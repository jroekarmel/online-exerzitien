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roe.AD\Documents\Code\online-exerzitien\templates\"/>
    </mc:Choice>
  </mc:AlternateContent>
  <xr:revisionPtr revIDLastSave="0" documentId="13_ncr:1_{ED2F9378-2B29-4B52-B551-003B5E3BC18F}" xr6:coauthVersionLast="47" xr6:coauthVersionMax="47" xr10:uidLastSave="{00000000-0000-0000-0000-000000000000}"/>
  <bookViews>
    <workbookView xWindow="-120" yWindow="-120" windowWidth="29040" windowHeight="15720" tabRatio="500" activeTab="1" xr2:uid="{00000000-000D-0000-FFFF-FFFF00000000}"/>
  </bookViews>
  <sheets>
    <sheet name="Exerzitien_archive_de" sheetId="1" r:id="rId1"/>
    <sheet name="header_block_de" sheetId="2" r:id="rId2"/>
    <sheet name="form_block_de" sheetId="3" r:id="rId3"/>
    <sheet name="exerzitien-katalog" sheetId="4" r:id="rId4"/>
    <sheet name="Tabelle2" sheetId="5" r:id="rId5"/>
    <sheet name="Exerzitien_archive_en" sheetId="6" r:id="rId6"/>
  </sheets>
  <definedNames>
    <definedName name="Verbindung1" localSheetId="3" hidden="1">'exerzitien-katalog'!$A$1:$L$30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N77" i="1" l="1"/>
  <c r="O77" i="1"/>
  <c r="P77" i="1"/>
  <c r="Q77" i="1"/>
  <c r="R77" i="1"/>
  <c r="S77" i="1"/>
  <c r="T77" i="1"/>
  <c r="U77" i="1"/>
  <c r="V77" i="1"/>
  <c r="W77" i="1"/>
  <c r="X77" i="1"/>
  <c r="Y77" i="1"/>
  <c r="Z77" i="1"/>
  <c r="AA77" i="1"/>
  <c r="AB77" i="1"/>
  <c r="AC77" i="1"/>
  <c r="AD77" i="1"/>
  <c r="AE77" i="1"/>
  <c r="AF77" i="1"/>
  <c r="AG77" i="1"/>
  <c r="M77" i="1"/>
  <c r="L15" i="1"/>
  <c r="M15" i="1"/>
  <c r="N15" i="1"/>
  <c r="O15" i="1"/>
  <c r="P15" i="1"/>
  <c r="Q15" i="1"/>
  <c r="R15" i="1"/>
  <c r="S15" i="1"/>
  <c r="T15" i="1"/>
  <c r="U15" i="1"/>
  <c r="V15" i="1"/>
  <c r="W15" i="1"/>
  <c r="X15" i="1"/>
  <c r="Y15" i="1"/>
  <c r="Z15" i="1"/>
  <c r="AA15" i="1"/>
  <c r="AB15" i="1"/>
  <c r="AC15" i="1"/>
  <c r="AD15" i="1"/>
  <c r="AE15" i="1"/>
  <c r="AF15" i="1"/>
  <c r="AG15" i="1"/>
  <c r="L27" i="1"/>
  <c r="M27" i="1"/>
  <c r="N27" i="1"/>
  <c r="O27" i="1"/>
  <c r="P27" i="1"/>
  <c r="Q27" i="1"/>
  <c r="R27" i="1"/>
  <c r="S27" i="1"/>
  <c r="T27" i="1"/>
  <c r="U27" i="1"/>
  <c r="V27" i="1"/>
  <c r="W27" i="1"/>
  <c r="X27" i="1"/>
  <c r="Y27" i="1"/>
  <c r="Z27" i="1"/>
  <c r="AA27" i="1"/>
  <c r="AB27" i="1"/>
  <c r="AC27" i="1"/>
  <c r="AD27" i="1"/>
  <c r="AE27" i="1"/>
  <c r="AF27" i="1"/>
  <c r="AG27" i="1"/>
  <c r="L61" i="1"/>
  <c r="M61" i="1"/>
  <c r="N61" i="1"/>
  <c r="O61" i="1"/>
  <c r="P61" i="1"/>
  <c r="Q61" i="1"/>
  <c r="R61" i="1"/>
  <c r="S61" i="1"/>
  <c r="T61" i="1"/>
  <c r="U61" i="1"/>
  <c r="V61" i="1"/>
  <c r="W61" i="1"/>
  <c r="X61" i="1"/>
  <c r="Y61" i="1"/>
  <c r="Z61" i="1"/>
  <c r="AA61" i="1"/>
  <c r="AB61" i="1"/>
  <c r="AC61" i="1"/>
  <c r="AD61" i="1"/>
  <c r="AE61" i="1"/>
  <c r="AF61" i="1"/>
  <c r="AG61" i="1"/>
  <c r="L62" i="1"/>
  <c r="M62" i="1"/>
  <c r="N62" i="1"/>
  <c r="O62" i="1"/>
  <c r="P62" i="1"/>
  <c r="Q62" i="1"/>
  <c r="R62" i="1"/>
  <c r="S62" i="1"/>
  <c r="T62" i="1"/>
  <c r="U62" i="1"/>
  <c r="V62" i="1"/>
  <c r="W62" i="1"/>
  <c r="X62" i="1"/>
  <c r="Y62" i="1"/>
  <c r="Z62" i="1"/>
  <c r="AA62" i="1"/>
  <c r="AB62" i="1"/>
  <c r="AC62" i="1"/>
  <c r="AD62" i="1"/>
  <c r="AE62" i="1"/>
  <c r="AF62" i="1"/>
  <c r="AG62" i="1"/>
  <c r="L63" i="1"/>
  <c r="M63" i="1"/>
  <c r="N63" i="1"/>
  <c r="O63" i="1"/>
  <c r="P63" i="1"/>
  <c r="Q63" i="1"/>
  <c r="R63" i="1"/>
  <c r="S63" i="1"/>
  <c r="T63" i="1"/>
  <c r="U63" i="1"/>
  <c r="V63" i="1"/>
  <c r="W63" i="1"/>
  <c r="X63" i="1"/>
  <c r="Y63" i="1"/>
  <c r="Z63" i="1"/>
  <c r="AA63" i="1"/>
  <c r="AB63" i="1"/>
  <c r="AC63" i="1"/>
  <c r="AD63" i="1"/>
  <c r="AE63" i="1"/>
  <c r="AF63" i="1"/>
  <c r="AG63" i="1"/>
  <c r="L64" i="1"/>
  <c r="M64" i="1"/>
  <c r="N64" i="1"/>
  <c r="O64" i="1"/>
  <c r="P64" i="1"/>
  <c r="Q64" i="1"/>
  <c r="R64" i="1"/>
  <c r="S64" i="1"/>
  <c r="T64" i="1"/>
  <c r="U64" i="1"/>
  <c r="V64" i="1"/>
  <c r="W64" i="1"/>
  <c r="X64" i="1"/>
  <c r="Y64" i="1"/>
  <c r="Z64" i="1"/>
  <c r="AA64" i="1"/>
  <c r="AB64" i="1"/>
  <c r="AC64" i="1"/>
  <c r="AD64" i="1"/>
  <c r="AE64" i="1"/>
  <c r="AF64" i="1"/>
  <c r="AG64" i="1"/>
  <c r="L65" i="1"/>
  <c r="M65" i="1"/>
  <c r="N65" i="1"/>
  <c r="O65" i="1"/>
  <c r="P65" i="1"/>
  <c r="Q65" i="1"/>
  <c r="R65" i="1"/>
  <c r="S65" i="1"/>
  <c r="T65" i="1"/>
  <c r="U65" i="1"/>
  <c r="V65" i="1"/>
  <c r="W65" i="1"/>
  <c r="X65" i="1"/>
  <c r="Y65" i="1"/>
  <c r="Z65" i="1"/>
  <c r="AA65" i="1"/>
  <c r="AB65" i="1"/>
  <c r="AC65" i="1"/>
  <c r="AD65" i="1"/>
  <c r="AE65" i="1"/>
  <c r="AF65" i="1"/>
  <c r="AG65" i="1"/>
  <c r="L77" i="1"/>
  <c r="L90" i="1"/>
  <c r="M90" i="1"/>
  <c r="N90" i="1"/>
  <c r="O90" i="1"/>
  <c r="P90" i="1"/>
  <c r="Q90" i="1"/>
  <c r="R90" i="1"/>
  <c r="S90" i="1"/>
  <c r="T90" i="1"/>
  <c r="U90" i="1"/>
  <c r="V90" i="1"/>
  <c r="W90" i="1"/>
  <c r="X90" i="1"/>
  <c r="Y90" i="1"/>
  <c r="Z90" i="1"/>
  <c r="AA90" i="1"/>
  <c r="AB90" i="1"/>
  <c r="AC90" i="1"/>
  <c r="AD90" i="1"/>
  <c r="AE90" i="1"/>
  <c r="AF90" i="1"/>
  <c r="AG90" i="1"/>
  <c r="L113" i="1"/>
  <c r="M113" i="1"/>
  <c r="N113" i="1"/>
  <c r="O113" i="1"/>
  <c r="P113" i="1"/>
  <c r="Q113" i="1"/>
  <c r="R113" i="1"/>
  <c r="S113" i="1"/>
  <c r="T113" i="1"/>
  <c r="U113" i="1"/>
  <c r="V113" i="1"/>
  <c r="W113" i="1"/>
  <c r="X113" i="1"/>
  <c r="Y113" i="1"/>
  <c r="Z113" i="1"/>
  <c r="AA113" i="1"/>
  <c r="AB113" i="1"/>
  <c r="AC113" i="1"/>
  <c r="AD113" i="1"/>
  <c r="AE113" i="1"/>
  <c r="AF113" i="1"/>
  <c r="AG113" i="1"/>
  <c r="K77" i="1"/>
  <c r="K62" i="1"/>
  <c r="J62" i="1"/>
  <c r="I62" i="1"/>
  <c r="H62" i="1"/>
  <c r="G62" i="1"/>
  <c r="F62" i="1"/>
  <c r="E62" i="1"/>
  <c r="D62" i="1"/>
  <c r="C62" i="1"/>
  <c r="K61" i="1"/>
  <c r="J61" i="1"/>
  <c r="I61" i="1"/>
  <c r="H61" i="1"/>
  <c r="G61" i="1"/>
  <c r="F61" i="1"/>
  <c r="E61" i="1"/>
  <c r="D61" i="1"/>
  <c r="C61" i="1"/>
  <c r="K15" i="1"/>
  <c r="J15" i="1"/>
  <c r="I15" i="1"/>
  <c r="H15" i="1"/>
  <c r="G15" i="1"/>
  <c r="F15" i="1"/>
  <c r="E15" i="1"/>
  <c r="D15" i="1"/>
  <c r="C15" i="1"/>
  <c r="F113" i="1"/>
  <c r="G113" i="1"/>
  <c r="H113" i="1"/>
  <c r="I113" i="1"/>
  <c r="J113" i="1"/>
  <c r="K113" i="1"/>
  <c r="E113" i="1"/>
  <c r="AD3" i="1" a="1"/>
  <c r="AD3" i="1" s="1"/>
  <c r="AE3" i="1" a="1"/>
  <c r="AE3" i="1" s="1"/>
  <c r="AD4" i="1" a="1"/>
  <c r="AD4" i="1" s="1"/>
  <c r="AE4" i="1" a="1"/>
  <c r="AE4" i="1" s="1"/>
  <c r="AD5" i="1" a="1"/>
  <c r="AD5" i="1" s="1"/>
  <c r="AE5" i="1" a="1"/>
  <c r="AE5" i="1" s="1"/>
  <c r="AD6" i="1" a="1"/>
  <c r="AD6" i="1" s="1"/>
  <c r="AE6" i="1" a="1"/>
  <c r="AE6" i="1" s="1"/>
  <c r="AD7" i="1" a="1"/>
  <c r="AD7" i="1" s="1"/>
  <c r="AE7" i="1" a="1"/>
  <c r="AE7" i="1" s="1"/>
  <c r="AD8" i="1" a="1"/>
  <c r="AD8" i="1" s="1"/>
  <c r="AE8" i="1" a="1"/>
  <c r="AE8" i="1" s="1"/>
  <c r="AD9" i="1" a="1"/>
  <c r="AD9" i="1" s="1"/>
  <c r="AE9" i="1" a="1"/>
  <c r="AE9" i="1" s="1"/>
  <c r="V3" i="1" a="1"/>
  <c r="V3" i="1" s="1"/>
  <c r="W3" i="1" a="1"/>
  <c r="W3" i="1" s="1"/>
  <c r="X3" i="1" a="1"/>
  <c r="X3" i="1" s="1"/>
  <c r="Y3" i="1" a="1"/>
  <c r="Y3" i="1" s="1"/>
  <c r="Z3" i="1" a="1"/>
  <c r="Z3" i="1"/>
  <c r="AA3" i="1" a="1"/>
  <c r="AA3" i="1" s="1"/>
  <c r="AB3" i="1" a="1"/>
  <c r="AB3" i="1" s="1"/>
  <c r="AC3" i="1" a="1"/>
  <c r="AC3" i="1" s="1"/>
  <c r="V4" i="1" a="1"/>
  <c r="V4" i="1" s="1"/>
  <c r="W4" i="1" a="1"/>
  <c r="W4" i="1" s="1"/>
  <c r="X4" i="1" a="1"/>
  <c r="X4" i="1"/>
  <c r="Y4" i="1" a="1"/>
  <c r="Y4" i="1" s="1"/>
  <c r="Z4" i="1" a="1"/>
  <c r="Z4" i="1" s="1"/>
  <c r="AA4" i="1" a="1"/>
  <c r="AA4" i="1" s="1"/>
  <c r="AB4" i="1" a="1"/>
  <c r="AB4" i="1" s="1"/>
  <c r="AC4" i="1" a="1"/>
  <c r="AC4" i="1" s="1"/>
  <c r="V5" i="1" a="1"/>
  <c r="V5" i="1" s="1"/>
  <c r="W5" i="1" a="1"/>
  <c r="W5" i="1" s="1"/>
  <c r="X5" i="1" a="1"/>
  <c r="X5" i="1" s="1"/>
  <c r="Y5" i="1" a="1"/>
  <c r="Y5" i="1" s="1"/>
  <c r="Z5" i="1" a="1"/>
  <c r="Z5" i="1" s="1"/>
  <c r="AA5" i="1" a="1"/>
  <c r="AA5" i="1" s="1"/>
  <c r="AB5" i="1" a="1"/>
  <c r="AB5" i="1"/>
  <c r="AC5" i="1" a="1"/>
  <c r="AC5" i="1" s="1"/>
  <c r="V6" i="1" a="1"/>
  <c r="V6" i="1" s="1"/>
  <c r="W6" i="1" a="1"/>
  <c r="W6" i="1" s="1"/>
  <c r="X6" i="1" a="1"/>
  <c r="X6" i="1" s="1"/>
  <c r="Y6" i="1" a="1"/>
  <c r="Y6" i="1" s="1"/>
  <c r="Z6" i="1" a="1"/>
  <c r="Z6" i="1"/>
  <c r="AA6" i="1" a="1"/>
  <c r="AA6" i="1" s="1"/>
  <c r="AB6" i="1" a="1"/>
  <c r="AB6" i="1" s="1"/>
  <c r="AC6" i="1" a="1"/>
  <c r="AC6" i="1" s="1"/>
  <c r="V7" i="1" a="1"/>
  <c r="V7" i="1" s="1"/>
  <c r="W7" i="1" a="1"/>
  <c r="W7" i="1" s="1"/>
  <c r="X7" i="1" a="1"/>
  <c r="X7" i="1"/>
  <c r="Y7" i="1" a="1"/>
  <c r="Y7" i="1" s="1"/>
  <c r="Z7" i="1" a="1"/>
  <c r="Z7" i="1" s="1"/>
  <c r="AA7" i="1" a="1"/>
  <c r="AA7" i="1" s="1"/>
  <c r="AB7" i="1" a="1"/>
  <c r="AB7" i="1" s="1"/>
  <c r="AC7" i="1" a="1"/>
  <c r="AC7" i="1" s="1"/>
  <c r="V8" i="1" a="1"/>
  <c r="V8" i="1" s="1"/>
  <c r="W8" i="1" a="1"/>
  <c r="W8" i="1" s="1"/>
  <c r="X8" i="1" a="1"/>
  <c r="X8" i="1" s="1"/>
  <c r="Y8" i="1" a="1"/>
  <c r="Y8" i="1" s="1"/>
  <c r="Z8" i="1" a="1"/>
  <c r="Z8" i="1" s="1"/>
  <c r="AA8" i="1" a="1"/>
  <c r="AA8" i="1" s="1"/>
  <c r="AB8" i="1" a="1"/>
  <c r="AB8" i="1" s="1"/>
  <c r="AC8" i="1" a="1"/>
  <c r="AC8" i="1" s="1"/>
  <c r="V9" i="1" a="1"/>
  <c r="V9" i="1" s="1"/>
  <c r="W9" i="1" a="1"/>
  <c r="W9" i="1" s="1"/>
  <c r="X9" i="1" a="1"/>
  <c r="X9" i="1" s="1"/>
  <c r="Y9" i="1" a="1"/>
  <c r="Y9" i="1" s="1"/>
  <c r="Z9" i="1" a="1"/>
  <c r="Z9" i="1" s="1"/>
  <c r="AA9" i="1" a="1"/>
  <c r="AA9" i="1" s="1"/>
  <c r="AB9" i="1" a="1"/>
  <c r="AB9" i="1" s="1"/>
  <c r="AC9" i="1" a="1"/>
  <c r="AC9" i="1" s="1"/>
  <c r="I3" i="1" a="1"/>
  <c r="I3" i="1" s="1"/>
  <c r="J3" i="1" a="1"/>
  <c r="J3" i="1" s="1"/>
  <c r="K3" i="1" a="1"/>
  <c r="K3" i="1" s="1"/>
  <c r="L3" i="1" a="1"/>
  <c r="L3" i="1" s="1"/>
  <c r="M3" i="1" a="1"/>
  <c r="M3" i="1"/>
  <c r="N3" i="1" a="1"/>
  <c r="N3" i="1" s="1"/>
  <c r="O3" i="1" a="1"/>
  <c r="O3" i="1" s="1"/>
  <c r="P3" i="1" a="1"/>
  <c r="P3" i="1" s="1"/>
  <c r="Q3" i="1" a="1"/>
  <c r="Q3" i="1" s="1"/>
  <c r="R3" i="1" a="1"/>
  <c r="R3" i="1" s="1"/>
  <c r="S3" i="1" a="1"/>
  <c r="S3" i="1"/>
  <c r="T3" i="1" a="1"/>
  <c r="T3" i="1" s="1"/>
  <c r="U3" i="1" a="1"/>
  <c r="U3" i="1" s="1"/>
  <c r="I4" i="1" a="1"/>
  <c r="I4" i="1" s="1"/>
  <c r="J4" i="1" a="1"/>
  <c r="J4" i="1" s="1"/>
  <c r="K4" i="1" a="1"/>
  <c r="K4" i="1" s="1"/>
  <c r="L4" i="1" a="1"/>
  <c r="L4" i="1"/>
  <c r="M4" i="1" a="1"/>
  <c r="M4" i="1" s="1"/>
  <c r="N4" i="1" a="1"/>
  <c r="N4" i="1" s="1"/>
  <c r="O4" i="1" a="1"/>
  <c r="O4" i="1" s="1"/>
  <c r="P4" i="1" a="1"/>
  <c r="P4" i="1" s="1"/>
  <c r="Q4" i="1" a="1"/>
  <c r="Q4" i="1" s="1"/>
  <c r="R4" i="1" a="1"/>
  <c r="R4" i="1"/>
  <c r="S4" i="1" a="1"/>
  <c r="S4" i="1" s="1"/>
  <c r="T4" i="1" a="1"/>
  <c r="T4" i="1" s="1"/>
  <c r="U4" i="1" a="1"/>
  <c r="U4" i="1" s="1"/>
  <c r="I5" i="1" a="1"/>
  <c r="I5" i="1" s="1"/>
  <c r="I65" i="1" s="1"/>
  <c r="J5" i="1" a="1"/>
  <c r="J5" i="1" s="1"/>
  <c r="J65" i="1" s="1"/>
  <c r="K5" i="1" a="1"/>
  <c r="K5" i="1"/>
  <c r="L5" i="1" a="1"/>
  <c r="L5" i="1" s="1"/>
  <c r="M5" i="1" a="1"/>
  <c r="M5" i="1" s="1"/>
  <c r="N5" i="1" a="1"/>
  <c r="N5" i="1" s="1"/>
  <c r="O5" i="1" a="1"/>
  <c r="O5" i="1" s="1"/>
  <c r="P5" i="1" a="1"/>
  <c r="P5" i="1" s="1"/>
  <c r="Q5" i="1" a="1"/>
  <c r="Q5" i="1"/>
  <c r="R5" i="1" a="1"/>
  <c r="R5" i="1" s="1"/>
  <c r="S5" i="1" a="1"/>
  <c r="S5" i="1" s="1"/>
  <c r="T5" i="1" a="1"/>
  <c r="T5" i="1" s="1"/>
  <c r="U5" i="1" a="1"/>
  <c r="U5" i="1" s="1"/>
  <c r="I6" i="1" a="1"/>
  <c r="I6" i="1" s="1"/>
  <c r="I77" i="1" s="1"/>
  <c r="J6" i="1" a="1"/>
  <c r="J6" i="1"/>
  <c r="K6" i="1" a="1"/>
  <c r="K6" i="1" s="1"/>
  <c r="L6" i="1" a="1"/>
  <c r="L6" i="1" s="1"/>
  <c r="M6" i="1" a="1"/>
  <c r="M6" i="1" s="1"/>
  <c r="N6" i="1" a="1"/>
  <c r="N6" i="1" s="1"/>
  <c r="O6" i="1" a="1"/>
  <c r="O6" i="1" s="1"/>
  <c r="P6" i="1" a="1"/>
  <c r="P6" i="1"/>
  <c r="Q6" i="1" a="1"/>
  <c r="Q6" i="1" s="1"/>
  <c r="R6" i="1" a="1"/>
  <c r="R6" i="1" s="1"/>
  <c r="S6" i="1" a="1"/>
  <c r="S6" i="1" s="1"/>
  <c r="T6" i="1" a="1"/>
  <c r="T6" i="1" s="1"/>
  <c r="U6" i="1" a="1"/>
  <c r="U6" i="1" s="1"/>
  <c r="I7" i="1" a="1"/>
  <c r="I7" i="1"/>
  <c r="J7" i="1" a="1"/>
  <c r="J7" i="1" s="1"/>
  <c r="K7" i="1" a="1"/>
  <c r="K7" i="1" s="1"/>
  <c r="L7" i="1" a="1"/>
  <c r="L7" i="1" s="1"/>
  <c r="M7" i="1" a="1"/>
  <c r="M7" i="1" s="1"/>
  <c r="N7" i="1" a="1"/>
  <c r="N7" i="1" s="1"/>
  <c r="O7" i="1" a="1"/>
  <c r="O7" i="1"/>
  <c r="P7" i="1" a="1"/>
  <c r="P7" i="1" s="1"/>
  <c r="Q7" i="1" a="1"/>
  <c r="Q7" i="1" s="1"/>
  <c r="R7" i="1" a="1"/>
  <c r="R7" i="1" s="1"/>
  <c r="S7" i="1" a="1"/>
  <c r="S7" i="1" s="1"/>
  <c r="T7" i="1" a="1"/>
  <c r="T7" i="1" s="1"/>
  <c r="U7" i="1" a="1"/>
  <c r="U7" i="1"/>
  <c r="I8" i="1" a="1"/>
  <c r="I8" i="1" s="1"/>
  <c r="J8" i="1" a="1"/>
  <c r="J8" i="1" s="1"/>
  <c r="J63" i="1" s="1"/>
  <c r="K8" i="1" a="1"/>
  <c r="K8" i="1" s="1"/>
  <c r="L8" i="1" a="1"/>
  <c r="L8" i="1" s="1"/>
  <c r="M8" i="1" a="1"/>
  <c r="M8" i="1" s="1"/>
  <c r="N8" i="1" a="1"/>
  <c r="N8" i="1" s="1"/>
  <c r="O8" i="1" a="1"/>
  <c r="O8" i="1" s="1"/>
  <c r="P8" i="1" a="1"/>
  <c r="P8" i="1" s="1"/>
  <c r="Q8" i="1" a="1"/>
  <c r="Q8" i="1" s="1"/>
  <c r="R8" i="1" a="1"/>
  <c r="R8" i="1" s="1"/>
  <c r="S8" i="1" a="1"/>
  <c r="S8" i="1" s="1"/>
  <c r="T8" i="1" a="1"/>
  <c r="T8" i="1" s="1"/>
  <c r="U8" i="1" a="1"/>
  <c r="U8" i="1" s="1"/>
  <c r="I9" i="1" a="1"/>
  <c r="I9" i="1" s="1"/>
  <c r="J9" i="1" a="1"/>
  <c r="J9" i="1" s="1"/>
  <c r="K9" i="1" a="1"/>
  <c r="K9" i="1" s="1"/>
  <c r="L9" i="1" a="1"/>
  <c r="L9" i="1" s="1"/>
  <c r="M9" i="1" a="1"/>
  <c r="M9" i="1" s="1"/>
  <c r="N9" i="1" a="1"/>
  <c r="N9" i="1" s="1"/>
  <c r="O9" i="1" a="1"/>
  <c r="O9" i="1" s="1"/>
  <c r="P9" i="1" a="1"/>
  <c r="P9" i="1" s="1"/>
  <c r="Q9" i="1" a="1"/>
  <c r="Q9" i="1" s="1"/>
  <c r="R9" i="1" a="1"/>
  <c r="R9" i="1" s="1"/>
  <c r="S9" i="1" a="1"/>
  <c r="S9" i="1"/>
  <c r="T9" i="1" a="1"/>
  <c r="T9" i="1" s="1"/>
  <c r="U9" i="1" a="1"/>
  <c r="U9" i="1" s="1"/>
  <c r="I27" i="1"/>
  <c r="J27" i="1"/>
  <c r="K27" i="1"/>
  <c r="I64" i="1"/>
  <c r="J64" i="1"/>
  <c r="K64" i="1"/>
  <c r="K65" i="1"/>
  <c r="J77" i="1"/>
  <c r="I90" i="1"/>
  <c r="J90" i="1"/>
  <c r="K90" i="1"/>
  <c r="F3" i="1" a="1"/>
  <c r="F3" i="1" s="1"/>
  <c r="G3" i="1" a="1"/>
  <c r="G3" i="1" s="1"/>
  <c r="H3" i="1" a="1"/>
  <c r="H3" i="1" s="1"/>
  <c r="F4" i="1" a="1"/>
  <c r="F4" i="1"/>
  <c r="G4" i="1" a="1"/>
  <c r="G4" i="1" s="1"/>
  <c r="H4" i="1" a="1"/>
  <c r="H4" i="1"/>
  <c r="F5" i="1" a="1"/>
  <c r="F5" i="1" s="1"/>
  <c r="F65" i="1" s="1"/>
  <c r="G5" i="1" a="1"/>
  <c r="G5" i="1" s="1"/>
  <c r="G65" i="1" s="1"/>
  <c r="H5" i="1" a="1"/>
  <c r="H5" i="1" s="1"/>
  <c r="H65" i="1" s="1"/>
  <c r="F6" i="1" a="1"/>
  <c r="F6" i="1"/>
  <c r="F77" i="1" s="1"/>
  <c r="G6" i="1" a="1"/>
  <c r="G6" i="1" s="1"/>
  <c r="G77" i="1" s="1"/>
  <c r="H6" i="1" a="1"/>
  <c r="H6" i="1" s="1"/>
  <c r="H77" i="1" s="1"/>
  <c r="F7" i="1" a="1"/>
  <c r="F7" i="1" s="1"/>
  <c r="G7" i="1" a="1"/>
  <c r="G7" i="1" s="1"/>
  <c r="H7" i="1" a="1"/>
  <c r="H7" i="1" s="1"/>
  <c r="F8" i="1" a="1"/>
  <c r="F8" i="1" s="1"/>
  <c r="G8" i="1" a="1"/>
  <c r="G8" i="1" s="1"/>
  <c r="H8" i="1" a="1"/>
  <c r="H8" i="1" s="1"/>
  <c r="F9" i="1" a="1"/>
  <c r="F9" i="1" s="1"/>
  <c r="G9" i="1" a="1"/>
  <c r="G9" i="1" s="1"/>
  <c r="H9" i="1" a="1"/>
  <c r="H9" i="1" s="1"/>
  <c r="F27" i="1"/>
  <c r="G27" i="1"/>
  <c r="H27" i="1"/>
  <c r="F64" i="1"/>
  <c r="G64" i="1"/>
  <c r="H64" i="1"/>
  <c r="F90" i="1"/>
  <c r="G90" i="1"/>
  <c r="H90" i="1"/>
  <c r="E27" i="1"/>
  <c r="Q90" i="6"/>
  <c r="P90" i="6"/>
  <c r="O90" i="6"/>
  <c r="N90" i="6"/>
  <c r="M90" i="6"/>
  <c r="L90" i="6"/>
  <c r="K90" i="6"/>
  <c r="J90" i="6"/>
  <c r="I90" i="6"/>
  <c r="H90" i="6"/>
  <c r="G90" i="6"/>
  <c r="F90" i="6"/>
  <c r="E90" i="6"/>
  <c r="D90" i="6"/>
  <c r="Q64" i="6"/>
  <c r="P64" i="6"/>
  <c r="O64" i="6"/>
  <c r="N64" i="6"/>
  <c r="M64" i="6"/>
  <c r="L64" i="6"/>
  <c r="K64" i="6"/>
  <c r="J64" i="6"/>
  <c r="I64" i="6"/>
  <c r="H64" i="6"/>
  <c r="G64" i="6"/>
  <c r="F64" i="6"/>
  <c r="E64" i="6"/>
  <c r="D64" i="6"/>
  <c r="C64" i="6"/>
  <c r="B64" i="6"/>
  <c r="Q9" i="6"/>
  <c r="P9" i="6"/>
  <c r="O9" i="6"/>
  <c r="N9" i="6"/>
  <c r="M9" i="6"/>
  <c r="L9" i="6"/>
  <c r="K9" i="6"/>
  <c r="J9" i="6"/>
  <c r="I9" i="6"/>
  <c r="H9" i="6"/>
  <c r="G9" i="6"/>
  <c r="F9" i="6"/>
  <c r="E9" i="6"/>
  <c r="D9" i="6"/>
  <c r="C9" i="6"/>
  <c r="B9" i="6"/>
  <c r="Q8" i="6"/>
  <c r="Q63" i="6" s="1"/>
  <c r="P8" i="6"/>
  <c r="P63" i="6" s="1"/>
  <c r="O8" i="6"/>
  <c r="O63" i="6" s="1"/>
  <c r="N8" i="6"/>
  <c r="N63" i="6" s="1"/>
  <c r="M8" i="6"/>
  <c r="M63" i="6" s="1"/>
  <c r="L8" i="6"/>
  <c r="L63" i="6" s="1"/>
  <c r="K8" i="6"/>
  <c r="K63" i="6" s="1"/>
  <c r="J8" i="6"/>
  <c r="J63" i="6" s="1"/>
  <c r="I8" i="6"/>
  <c r="I63" i="6" s="1"/>
  <c r="H8" i="6"/>
  <c r="H63" i="6" s="1"/>
  <c r="G8" i="6"/>
  <c r="G63" i="6" s="1"/>
  <c r="F8" i="6"/>
  <c r="F63" i="6" s="1"/>
  <c r="E8" i="6"/>
  <c r="E63" i="6" s="1"/>
  <c r="D8" i="6"/>
  <c r="D63" i="6" s="1"/>
  <c r="C8" i="6"/>
  <c r="C63" i="6" s="1"/>
  <c r="B8" i="6"/>
  <c r="B63" i="6" s="1"/>
  <c r="Q7" i="6"/>
  <c r="P7" i="6"/>
  <c r="O7" i="6"/>
  <c r="N7" i="6"/>
  <c r="M7" i="6"/>
  <c r="L7" i="6"/>
  <c r="K7" i="6"/>
  <c r="J7" i="6"/>
  <c r="I7" i="6"/>
  <c r="H7" i="6"/>
  <c r="G7" i="6"/>
  <c r="F7" i="6"/>
  <c r="E7" i="6"/>
  <c r="D7" i="6"/>
  <c r="C7" i="6"/>
  <c r="B7" i="6"/>
  <c r="Q6" i="6"/>
  <c r="Q77" i="6" s="1"/>
  <c r="P6" i="6"/>
  <c r="P77" i="6" s="1"/>
  <c r="O6" i="6"/>
  <c r="O77" i="6" s="1"/>
  <c r="N6" i="6"/>
  <c r="N77" i="6" s="1"/>
  <c r="M6" i="6"/>
  <c r="M77" i="6" s="1"/>
  <c r="L6" i="6"/>
  <c r="L77" i="6" s="1"/>
  <c r="K6" i="6"/>
  <c r="K77" i="6" s="1"/>
  <c r="J6" i="6"/>
  <c r="J77" i="6" s="1"/>
  <c r="I6" i="6"/>
  <c r="I77" i="6" s="1"/>
  <c r="H6" i="6"/>
  <c r="H77" i="6" s="1"/>
  <c r="G6" i="6"/>
  <c r="G77" i="6" s="1"/>
  <c r="F6" i="6"/>
  <c r="F77" i="6" s="1"/>
  <c r="E6" i="6"/>
  <c r="E77" i="6" s="1"/>
  <c r="D6" i="6"/>
  <c r="D77" i="6" s="1"/>
  <c r="C6" i="6"/>
  <c r="C77" i="6" s="1"/>
  <c r="B6" i="6"/>
  <c r="B77" i="6" s="1"/>
  <c r="A6" i="6"/>
  <c r="Q5" i="6"/>
  <c r="Q65" i="6" s="1"/>
  <c r="P5" i="6"/>
  <c r="P65" i="6" s="1"/>
  <c r="O5" i="6"/>
  <c r="O65" i="6" s="1"/>
  <c r="N5" i="6"/>
  <c r="N65" i="6" s="1"/>
  <c r="M5" i="6"/>
  <c r="M65" i="6" s="1"/>
  <c r="L5" i="6"/>
  <c r="L65" i="6" s="1"/>
  <c r="K5" i="6"/>
  <c r="K65" i="6" s="1"/>
  <c r="J5" i="6"/>
  <c r="J65" i="6" s="1"/>
  <c r="I5" i="6"/>
  <c r="I65" i="6" s="1"/>
  <c r="H5" i="6"/>
  <c r="H65" i="6" s="1"/>
  <c r="G5" i="6"/>
  <c r="G65" i="6" s="1"/>
  <c r="F5" i="6"/>
  <c r="F65" i="6" s="1"/>
  <c r="E5" i="6"/>
  <c r="E65" i="6" s="1"/>
  <c r="D5" i="6"/>
  <c r="D65" i="6" s="1"/>
  <c r="C5" i="6"/>
  <c r="C65" i="6" s="1"/>
  <c r="B5" i="6"/>
  <c r="B65" i="6" s="1"/>
  <c r="A5" i="6"/>
  <c r="Q4" i="6"/>
  <c r="Q61" i="6" s="1"/>
  <c r="P4" i="6"/>
  <c r="P61" i="6" s="1"/>
  <c r="O4" i="6"/>
  <c r="O61" i="6" s="1"/>
  <c r="N4" i="6"/>
  <c r="N61" i="6" s="1"/>
  <c r="M4" i="6"/>
  <c r="M61" i="6" s="1"/>
  <c r="L4" i="6"/>
  <c r="L61" i="6" s="1"/>
  <c r="K4" i="6"/>
  <c r="K61" i="6" s="1"/>
  <c r="J4" i="6"/>
  <c r="J61" i="6" s="1"/>
  <c r="I4" i="6"/>
  <c r="I61" i="6" s="1"/>
  <c r="H4" i="6"/>
  <c r="H61" i="6" s="1"/>
  <c r="G4" i="6"/>
  <c r="G61" i="6" s="1"/>
  <c r="F4" i="6"/>
  <c r="F61" i="6" s="1"/>
  <c r="E4" i="6"/>
  <c r="E61" i="6" s="1"/>
  <c r="D4" i="6"/>
  <c r="D61" i="6" s="1"/>
  <c r="C4" i="6"/>
  <c r="C61" i="6" s="1"/>
  <c r="B4" i="6"/>
  <c r="B61" i="6" s="1"/>
  <c r="A4" i="6"/>
  <c r="Q3" i="6"/>
  <c r="Q15" i="6" s="1"/>
  <c r="P3" i="6"/>
  <c r="P15" i="6" s="1"/>
  <c r="O3" i="6"/>
  <c r="O15" i="6" s="1"/>
  <c r="N3" i="6"/>
  <c r="N15" i="6" s="1"/>
  <c r="M3" i="6"/>
  <c r="M15" i="6" s="1"/>
  <c r="L3" i="6"/>
  <c r="L15" i="6" s="1"/>
  <c r="K3" i="6"/>
  <c r="K62" i="6" s="1"/>
  <c r="J3" i="6"/>
  <c r="J62" i="6" s="1"/>
  <c r="I3" i="6"/>
  <c r="I62" i="6" s="1"/>
  <c r="H3" i="6"/>
  <c r="H62" i="6" s="1"/>
  <c r="G3" i="6"/>
  <c r="G15" i="6" s="1"/>
  <c r="F3" i="6"/>
  <c r="F15" i="6" s="1"/>
  <c r="E3" i="6"/>
  <c r="E15" i="6" s="1"/>
  <c r="D3" i="6"/>
  <c r="D15" i="6" s="1"/>
  <c r="C3" i="6"/>
  <c r="C15" i="6" s="1"/>
  <c r="B3" i="6"/>
  <c r="B15" i="6" s="1"/>
  <c r="A3" i="6"/>
  <c r="E90" i="1"/>
  <c r="E64" i="1"/>
  <c r="D64" i="1"/>
  <c r="C64" i="1"/>
  <c r="E9" i="1" a="1"/>
  <c r="E9" i="1" s="1"/>
  <c r="D9" i="1" a="1"/>
  <c r="D9" i="1" s="1"/>
  <c r="C9" i="1" a="1"/>
  <c r="C9" i="1" s="1"/>
  <c r="E8" i="1" a="1"/>
  <c r="E8" i="1" s="1"/>
  <c r="E63" i="1" s="1"/>
  <c r="D8" i="1" a="1"/>
  <c r="D8" i="1" s="1"/>
  <c r="C8" i="1" a="1"/>
  <c r="C8" i="1" s="1"/>
  <c r="E7" i="1" a="1"/>
  <c r="E7" i="1"/>
  <c r="D7" i="1" a="1"/>
  <c r="D7" i="1" s="1"/>
  <c r="C7" i="1" a="1"/>
  <c r="C7" i="1" s="1"/>
  <c r="E6" i="1" a="1"/>
  <c r="E6" i="1" s="1"/>
  <c r="E77" i="1" s="1"/>
  <c r="D6" i="1" a="1"/>
  <c r="D6" i="1"/>
  <c r="D77" i="1" s="1"/>
  <c r="C6" i="1" a="1"/>
  <c r="C6" i="1" s="1"/>
  <c r="C77" i="1" s="1"/>
  <c r="B6" i="1"/>
  <c r="E5" i="1" a="1"/>
  <c r="E5" i="1" s="1"/>
  <c r="E65" i="1" s="1"/>
  <c r="D5" i="1" a="1"/>
  <c r="D5" i="1"/>
  <c r="D65" i="1" s="1"/>
  <c r="C5" i="1" a="1"/>
  <c r="C5" i="1" s="1"/>
  <c r="C65" i="1" s="1"/>
  <c r="B5" i="1"/>
  <c r="E4" i="1" a="1"/>
  <c r="E4" i="1"/>
  <c r="D4" i="1" a="1"/>
  <c r="D4" i="1" s="1"/>
  <c r="C4" i="1" a="1"/>
  <c r="C4" i="1"/>
  <c r="B4" i="1"/>
  <c r="E3" i="1" a="1"/>
  <c r="E3" i="1"/>
  <c r="D3" i="1" a="1"/>
  <c r="D3" i="1" s="1"/>
  <c r="C3" i="1" a="1"/>
  <c r="C3" i="1"/>
  <c r="B3" i="1"/>
  <c r="C63" i="1" l="1"/>
  <c r="K63" i="1"/>
  <c r="I63" i="1"/>
  <c r="D63" i="1"/>
  <c r="H63" i="1"/>
  <c r="G63" i="1"/>
  <c r="F63" i="1"/>
  <c r="H15" i="6"/>
  <c r="L62" i="6"/>
  <c r="I15" i="6"/>
  <c r="M62" i="6"/>
  <c r="J15" i="6"/>
  <c r="B62" i="6"/>
  <c r="N62" i="6"/>
  <c r="K15" i="6"/>
  <c r="C62" i="6"/>
  <c r="O62" i="6"/>
  <c r="D62" i="6"/>
  <c r="P62" i="6"/>
  <c r="E62" i="6"/>
  <c r="Q62" i="6"/>
  <c r="F62" i="6"/>
  <c r="G6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Verbindung1" type="5" refreshedVersion="3" background="1" saveData="1">
    <dbPr connection="Provider=Microsoft.Mashup.OleDb.1;Data Source=$Workbook$;Location=exerzitien-katalog;Extended Properties=&quot;&quot;" command="SELECT * FROM [exerzitien-katalog]"/>
  </connection>
</connections>
</file>

<file path=xl/sharedStrings.xml><?xml version="1.0" encoding="utf-8"?>
<sst xmlns="http://schemas.openxmlformats.org/spreadsheetml/2006/main" count="6079" uniqueCount="840">
  <si>
    <t>2024_ad</t>
  </si>
  <si>
    <t>2024_fs</t>
  </si>
  <si>
    <t>2023_ad</t>
  </si>
  <si>
    <t>2023_fs</t>
  </si>
  <si>
    <r>
      <rPr>
        <sz val="11"/>
        <color rgb="FF808080"/>
        <rFont val="Consolas"/>
        <family val="3"/>
        <charset val="1"/>
      </rPr>
      <t>&lt;!</t>
    </r>
    <r>
      <rPr>
        <sz val="11"/>
        <color rgb="FF7EE787"/>
        <rFont val="Consolas"/>
        <family val="3"/>
        <charset val="1"/>
      </rPr>
      <t>doctype</t>
    </r>
    <r>
      <rPr>
        <sz val="11"/>
        <color rgb="FFBBBEBF"/>
        <rFont val="Consolas"/>
        <family val="3"/>
        <charset val="1"/>
      </rPr>
      <t xml:space="preserve"> </t>
    </r>
    <r>
      <rPr>
        <sz val="11"/>
        <color rgb="FF9CDCFE"/>
        <rFont val="Consolas"/>
        <family val="3"/>
        <charset val="1"/>
      </rPr>
      <t>html</t>
    </r>
    <r>
      <rPr>
        <sz val="11"/>
        <color rgb="FF808080"/>
        <rFont val="Consolas"/>
        <family val="3"/>
        <charset val="1"/>
      </rPr>
      <t>&gt;</t>
    </r>
  </si>
  <si>
    <t>&lt;!doctype html&gt;</t>
  </si>
  <si>
    <r>
      <rPr>
        <sz val="11"/>
        <color rgb="FF808080"/>
        <rFont val="Consolas"/>
        <family val="3"/>
        <charset val="1"/>
      </rPr>
      <t>&lt;</t>
    </r>
    <r>
      <rPr>
        <sz val="11"/>
        <color rgb="FF7EE787"/>
        <rFont val="Consolas"/>
        <family val="3"/>
        <charset val="1"/>
      </rPr>
      <t>html</t>
    </r>
    <r>
      <rPr>
        <sz val="11"/>
        <color rgb="FFBBBEBF"/>
        <rFont val="Consolas"/>
        <family val="3"/>
        <charset val="1"/>
      </rPr>
      <t xml:space="preserve"> </t>
    </r>
    <r>
      <rPr>
        <sz val="11"/>
        <color rgb="FF9CDCFE"/>
        <rFont val="Consolas"/>
        <family val="3"/>
        <charset val="1"/>
      </rPr>
      <t>lang</t>
    </r>
    <r>
      <rPr>
        <sz val="11"/>
        <color rgb="FFBBBEBF"/>
        <rFont val="Consolas"/>
        <family val="3"/>
        <charset val="1"/>
      </rPr>
      <t>=</t>
    </r>
    <r>
      <rPr>
        <sz val="11"/>
        <color rgb="FFA5D6FF"/>
        <rFont val="Consolas"/>
        <family val="3"/>
        <charset val="1"/>
      </rPr>
      <t>"de"</t>
    </r>
    <r>
      <rPr>
        <sz val="11"/>
        <color rgb="FF808080"/>
        <rFont val="Consolas"/>
        <family val="3"/>
        <charset val="1"/>
      </rPr>
      <t>&gt;</t>
    </r>
  </si>
  <si>
    <t>&lt;html lang="de"&gt;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</si>
  <si>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head</t>
    </r>
    <r>
      <rPr>
        <sz val="11"/>
        <color rgb="FF808080"/>
        <rFont val="Consolas"/>
        <family val="3"/>
        <charset val="1"/>
      </rPr>
      <t>&gt;</t>
    </r>
  </si>
  <si>
    <t>  &lt;head&gt;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</si>
  <si>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meta</t>
    </r>
    <r>
      <rPr>
        <sz val="11"/>
        <color rgb="FFBBBEBF"/>
        <rFont val="Consolas"/>
        <family val="3"/>
        <charset val="1"/>
      </rPr>
      <t xml:space="preserve"> </t>
    </r>
    <r>
      <rPr>
        <sz val="11"/>
        <color rgb="FF9CDCFE"/>
        <rFont val="Consolas"/>
        <family val="3"/>
        <charset val="1"/>
      </rPr>
      <t>charset</t>
    </r>
    <r>
      <rPr>
        <sz val="11"/>
        <color rgb="FFBBBEBF"/>
        <rFont val="Consolas"/>
        <family val="3"/>
        <charset val="1"/>
      </rPr>
      <t>=</t>
    </r>
    <r>
      <rPr>
        <sz val="11"/>
        <color rgb="FFA5D6FF"/>
        <rFont val="Consolas"/>
        <family val="3"/>
        <charset val="1"/>
      </rPr>
      <t>"UTF-8"</t>
    </r>
    <r>
      <rPr>
        <sz val="11"/>
        <color rgb="FFBBBEBF"/>
        <rFont val="Consolas"/>
        <family val="3"/>
        <charset val="1"/>
      </rPr>
      <t xml:space="preserve"> </t>
    </r>
    <r>
      <rPr>
        <sz val="11"/>
        <color rgb="FF808080"/>
        <rFont val="Consolas"/>
        <family val="3"/>
        <charset val="1"/>
      </rPr>
      <t>/&gt;</t>
    </r>
  </si>
  <si>
    <t>    &lt;meta charset="UTF-8" /&gt;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</si>
  <si>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meta</t>
    </r>
    <r>
      <rPr>
        <sz val="11"/>
        <color rgb="FFBBBEBF"/>
        <rFont val="Consolas"/>
        <family val="3"/>
        <charset val="1"/>
      </rPr>
      <t xml:space="preserve"> </t>
    </r>
    <r>
      <rPr>
        <sz val="11"/>
        <color rgb="FF9CDCFE"/>
        <rFont val="Consolas"/>
        <family val="3"/>
        <charset val="1"/>
      </rPr>
      <t>name</t>
    </r>
    <r>
      <rPr>
        <sz val="11"/>
        <color rgb="FFBBBEBF"/>
        <rFont val="Consolas"/>
        <family val="3"/>
        <charset val="1"/>
      </rPr>
      <t>=</t>
    </r>
    <r>
      <rPr>
        <sz val="11"/>
        <color rgb="FFA5D6FF"/>
        <rFont val="Consolas"/>
        <family val="3"/>
        <charset val="1"/>
      </rPr>
      <t>"viewport"</t>
    </r>
    <r>
      <rPr>
        <sz val="11"/>
        <color rgb="FFBBBEBF"/>
        <rFont val="Consolas"/>
        <family val="3"/>
        <charset val="1"/>
      </rPr>
      <t xml:space="preserve"> </t>
    </r>
    <r>
      <rPr>
        <sz val="11"/>
        <color rgb="FF9CDCFE"/>
        <rFont val="Consolas"/>
        <family val="3"/>
        <charset val="1"/>
      </rPr>
      <t>content</t>
    </r>
    <r>
      <rPr>
        <sz val="11"/>
        <color rgb="FFBBBEBF"/>
        <rFont val="Consolas"/>
        <family val="3"/>
        <charset val="1"/>
      </rPr>
      <t>=</t>
    </r>
    <r>
      <rPr>
        <sz val="11"/>
        <color rgb="FFA5D6FF"/>
        <rFont val="Consolas"/>
        <family val="3"/>
        <charset val="1"/>
      </rPr>
      <t>"width=device-width, initial-scale=1.0"</t>
    </r>
    <r>
      <rPr>
        <sz val="11"/>
        <color rgb="FFBBBEBF"/>
        <rFont val="Consolas"/>
        <family val="3"/>
        <charset val="1"/>
      </rPr>
      <t xml:space="preserve"> </t>
    </r>
    <r>
      <rPr>
        <sz val="11"/>
        <color rgb="FF808080"/>
        <rFont val="Consolas"/>
        <family val="3"/>
        <charset val="1"/>
      </rPr>
      <t>/&gt;</t>
    </r>
  </si>
  <si>
    <t>    &lt;meta name="viewport" content="width=device-width, initial-scale=1.0" /&gt;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</si>
  <si>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title</t>
    </r>
    <r>
      <rPr>
        <sz val="11"/>
        <color rgb="FF808080"/>
        <rFont val="Consolas"/>
        <family val="3"/>
        <charset val="1"/>
      </rPr>
      <t>&gt;</t>
    </r>
    <r>
      <rPr>
        <sz val="11"/>
        <color rgb="FFBBBEBF"/>
        <rFont val="Consolas"/>
        <family val="3"/>
        <charset val="1"/>
      </rPr>
      <t>Fastenzeit 2026 mit Johannes vom Kreuz</t>
    </r>
    <r>
      <rPr>
        <sz val="11"/>
        <color rgb="FF808080"/>
        <rFont val="Consolas"/>
        <family val="3"/>
        <charset val="1"/>
      </rPr>
      <t>&lt;/</t>
    </r>
    <r>
      <rPr>
        <sz val="11"/>
        <color rgb="FF7EE787"/>
        <rFont val="Consolas"/>
        <family val="3"/>
        <charset val="1"/>
      </rPr>
      <t>title</t>
    </r>
    <r>
      <rPr>
        <sz val="11"/>
        <color rgb="FF808080"/>
        <rFont val="Consolas"/>
        <family val="3"/>
        <charset val="1"/>
      </rPr>
      <t>&gt;</t>
    </r>
  </si>
  <si>
    <r>
      <rPr>
        <sz val="11"/>
        <color rgb="FFBBBEBF"/>
        <rFont val="Consolas"/>
        <family val="3"/>
        <charset val="1"/>
      </rPr>
      <t xml:space="preserve">    </t>
    </r>
    <r>
      <rPr>
        <sz val="11"/>
        <color rgb="FF808080"/>
        <rFont val="Consolas"/>
        <family val="3"/>
        <charset val="1"/>
      </rPr>
      <t>&lt;</t>
    </r>
    <r>
      <rPr>
        <sz val="11"/>
        <color rgb="FF7EE787"/>
        <rFont val="Consolas"/>
        <family val="3"/>
        <charset val="1"/>
      </rPr>
      <t>link</t>
    </r>
    <r>
      <rPr>
        <sz val="11"/>
        <color rgb="FFBBBEBF"/>
        <rFont val="Consolas"/>
        <family val="3"/>
        <charset val="1"/>
      </rPr>
      <t xml:space="preserve"> </t>
    </r>
    <r>
      <rPr>
        <sz val="11"/>
        <color rgb="FF9CDCFE"/>
        <rFont val="Consolas"/>
        <family val="3"/>
        <charset val="1"/>
      </rPr>
      <t>rel</t>
    </r>
    <r>
      <rPr>
        <sz val="11"/>
        <color rgb="FFBBBEBF"/>
        <rFont val="Consolas"/>
        <family val="3"/>
        <charset val="1"/>
      </rPr>
      <t>=</t>
    </r>
    <r>
      <rPr>
        <sz val="11"/>
        <color rgb="FFA5D6FF"/>
        <rFont val="Consolas"/>
        <family val="3"/>
        <charset val="1"/>
      </rPr>
      <t>"preconnect"</t>
    </r>
    <r>
      <rPr>
        <sz val="11"/>
        <color rgb="FFBBBEBF"/>
        <rFont val="Consolas"/>
        <family val="3"/>
        <charset val="1"/>
      </rPr>
      <t xml:space="preserve"> </t>
    </r>
    <r>
      <rPr>
        <sz val="11"/>
        <color rgb="FF9CDCFE"/>
        <rFont val="Consolas"/>
        <family val="3"/>
        <charset val="1"/>
      </rPr>
      <t>href</t>
    </r>
    <r>
      <rPr>
        <sz val="11"/>
        <color rgb="FFBBBEBF"/>
        <rFont val="Consolas"/>
        <family val="3"/>
        <charset val="1"/>
      </rPr>
      <t>=</t>
    </r>
    <r>
      <rPr>
        <sz val="11"/>
        <color rgb="FFA5D6FF"/>
        <rFont val="Consolas"/>
        <family val="3"/>
        <charset val="1"/>
      </rPr>
      <t>"https://fonts.googleapis.com"</t>
    </r>
    <r>
      <rPr>
        <sz val="11"/>
        <color rgb="FFBBBEBF"/>
        <rFont val="Consolas"/>
        <family val="3"/>
        <charset val="1"/>
      </rPr>
      <t xml:space="preserve"> </t>
    </r>
    <r>
      <rPr>
        <sz val="11"/>
        <color rgb="FF808080"/>
        <rFont val="Consolas"/>
        <family val="3"/>
        <charset val="1"/>
      </rPr>
      <t>/&gt;</t>
    </r>
  </si>
  <si>
    <t>    &lt;link rel="preconnect" href="https://fonts.googleapis.com" /&gt;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</si>
  <si>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link</t>
    </r>
    <r>
      <rPr>
        <sz val="11"/>
        <color rgb="FFBBBEBF"/>
        <rFont val="Consolas"/>
        <family val="3"/>
        <charset val="1"/>
      </rPr>
      <t xml:space="preserve"> </t>
    </r>
    <r>
      <rPr>
        <sz val="11"/>
        <color rgb="FF9CDCFE"/>
        <rFont val="Consolas"/>
        <family val="3"/>
        <charset val="1"/>
      </rPr>
      <t>rel</t>
    </r>
    <r>
      <rPr>
        <sz val="11"/>
        <color rgb="FFBBBEBF"/>
        <rFont val="Consolas"/>
        <family val="3"/>
        <charset val="1"/>
      </rPr>
      <t>=</t>
    </r>
    <r>
      <rPr>
        <sz val="11"/>
        <color rgb="FFA5D6FF"/>
        <rFont val="Consolas"/>
        <family val="3"/>
        <charset val="1"/>
      </rPr>
      <t>"preconnect"</t>
    </r>
    <r>
      <rPr>
        <sz val="11"/>
        <color rgb="FFBBBEBF"/>
        <rFont val="Consolas"/>
        <family val="3"/>
        <charset val="1"/>
      </rPr>
      <t xml:space="preserve"> </t>
    </r>
    <r>
      <rPr>
        <sz val="11"/>
        <color rgb="FF9CDCFE"/>
        <rFont val="Consolas"/>
        <family val="3"/>
        <charset val="1"/>
      </rPr>
      <t>href</t>
    </r>
    <r>
      <rPr>
        <sz val="11"/>
        <color rgb="FFBBBEBF"/>
        <rFont val="Consolas"/>
        <family val="3"/>
        <charset val="1"/>
      </rPr>
      <t>=</t>
    </r>
    <r>
      <rPr>
        <sz val="11"/>
        <color rgb="FFA5D6FF"/>
        <rFont val="Consolas"/>
        <family val="3"/>
        <charset val="1"/>
      </rPr>
      <t>"https://fonts.gstatic.com"</t>
    </r>
    <r>
      <rPr>
        <sz val="11"/>
        <color rgb="FFBBBEBF"/>
        <rFont val="Consolas"/>
        <family val="3"/>
        <charset val="1"/>
      </rPr>
      <t xml:space="preserve"> </t>
    </r>
    <r>
      <rPr>
        <sz val="11"/>
        <color rgb="FF9CDCFE"/>
        <rFont val="Consolas"/>
        <family val="3"/>
        <charset val="1"/>
      </rPr>
      <t>crossorigin</t>
    </r>
    <r>
      <rPr>
        <sz val="11"/>
        <color rgb="FFBBBEBF"/>
        <rFont val="Consolas"/>
        <family val="3"/>
        <charset val="1"/>
      </rPr>
      <t xml:space="preserve"> </t>
    </r>
    <r>
      <rPr>
        <sz val="11"/>
        <color rgb="FF808080"/>
        <rFont val="Consolas"/>
        <family val="3"/>
        <charset val="1"/>
      </rPr>
      <t>/&gt;</t>
    </r>
  </si>
  <si>
    <t>    &lt;link rel="preconnect" href="https://fonts.gstatic.com" crossorigin /&gt;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</si>
  <si>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link</t>
    </r>
  </si>
  <si>
    <t>    &lt;link</t>
  </si>
  <si>
    <r>
      <rPr>
        <sz val="11"/>
        <color rgb="FFBBBEBF"/>
        <rFont val="Consolas"/>
        <family val="3"/>
        <charset val="1"/>
      </rPr>
      <t xml:space="preserve">      </t>
    </r>
    <r>
      <rPr>
        <sz val="11"/>
        <color rgb="FF9CDCFE"/>
        <rFont val="Consolas"/>
        <family val="3"/>
        <charset val="1"/>
      </rPr>
      <t>href</t>
    </r>
    <r>
      <rPr>
        <sz val="11"/>
        <color rgb="FFBBBEBF"/>
        <rFont val="Consolas"/>
        <family val="3"/>
        <charset val="1"/>
      </rPr>
      <t>=</t>
    </r>
    <r>
      <rPr>
        <sz val="11"/>
        <color rgb="FFA5D6FF"/>
        <rFont val="Consolas"/>
        <family val="3"/>
        <charset val="1"/>
      </rPr>
      <t>"https://fonts.googleapis.com/css2?family=Cormorant+Garamond:wght@500;600;700&amp;family=Inter:wght@400;500;600;700&amp;display=swap"</t>
    </r>
  </si>
  <si>
    <t>      href="https://fonts.googleapis.com/css2?family=Cormorant+Garamond:wght@500;600;700&amp;family=Inter:wght@400;500;600;700&amp;display=swap"</t>
  </si>
  <si>
    <r>
      <rPr>
        <sz val="11"/>
        <color rgb="FFBBBEBF"/>
        <rFont val="Consolas"/>
        <family val="3"/>
        <charset val="1"/>
      </rPr>
      <t xml:space="preserve">      </t>
    </r>
    <r>
      <rPr>
        <sz val="11"/>
        <color rgb="FF9CDCFE"/>
        <rFont val="Consolas"/>
        <family val="3"/>
        <charset val="1"/>
      </rPr>
      <t>rel</t>
    </r>
    <r>
      <rPr>
        <sz val="11"/>
        <color rgb="FFBBBEBF"/>
        <rFont val="Consolas"/>
        <family val="3"/>
        <charset val="1"/>
      </rPr>
      <t>=</t>
    </r>
    <r>
      <rPr>
        <sz val="11"/>
        <color rgb="FFA5D6FF"/>
        <rFont val="Consolas"/>
        <family val="3"/>
        <charset val="1"/>
      </rPr>
      <t>"stylesheet"</t>
    </r>
  </si>
  <si>
    <t>      rel="stylesheet"</t>
  </si>
  <si>
    <r>
      <rPr>
        <sz val="11"/>
        <color rgb="FFBBBEBF"/>
        <rFont val="Consolas"/>
        <family val="3"/>
        <charset val="1"/>
      </rPr>
      <t xml:space="preserve">    </t>
    </r>
    <r>
      <rPr>
        <sz val="11"/>
        <color rgb="FF808080"/>
        <rFont val="Consolas"/>
        <family val="3"/>
        <charset val="1"/>
      </rPr>
      <t>/&gt;</t>
    </r>
  </si>
  <si>
    <t>    /&gt;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</si>
  <si>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link</t>
    </r>
    <r>
      <rPr>
        <sz val="11"/>
        <color rgb="FFBBBEBF"/>
        <rFont val="Consolas"/>
        <family val="3"/>
        <charset val="1"/>
      </rPr>
      <t xml:space="preserve"> </t>
    </r>
    <r>
      <rPr>
        <sz val="11"/>
        <color rgb="FF9CDCFE"/>
        <rFont val="Consolas"/>
        <family val="3"/>
        <charset val="1"/>
      </rPr>
      <t>rel</t>
    </r>
    <r>
      <rPr>
        <sz val="11"/>
        <color rgb="FFBBBEBF"/>
        <rFont val="Consolas"/>
        <family val="3"/>
        <charset val="1"/>
      </rPr>
      <t>=</t>
    </r>
    <r>
      <rPr>
        <sz val="11"/>
        <color rgb="FFA5D6FF"/>
        <rFont val="Consolas"/>
        <family val="3"/>
        <charset val="1"/>
      </rPr>
      <t>"stylesheet"</t>
    </r>
    <r>
      <rPr>
        <sz val="11"/>
        <color rgb="FFBBBEBF"/>
        <rFont val="Consolas"/>
        <family val="3"/>
        <charset val="1"/>
      </rPr>
      <t xml:space="preserve"> </t>
    </r>
    <r>
      <rPr>
        <sz val="11"/>
        <color rgb="FF9CDCFE"/>
        <rFont val="Consolas"/>
        <family val="3"/>
        <charset val="1"/>
      </rPr>
      <t>href</t>
    </r>
    <r>
      <rPr>
        <sz val="11"/>
        <color rgb="FFBBBEBF"/>
        <rFont val="Consolas"/>
        <family val="3"/>
        <charset val="1"/>
      </rPr>
      <t>=</t>
    </r>
    <r>
      <rPr>
        <sz val="11"/>
        <color rgb="FFA5D6FF"/>
        <rFont val="Consolas"/>
        <family val="3"/>
        <charset val="1"/>
      </rPr>
      <t>"../style.css"</t>
    </r>
    <r>
      <rPr>
        <sz val="11"/>
        <color rgb="FFBBBEBF"/>
        <rFont val="Consolas"/>
        <family val="3"/>
        <charset val="1"/>
      </rPr>
      <t xml:space="preserve"> </t>
    </r>
    <r>
      <rPr>
        <sz val="11"/>
        <color rgb="FF808080"/>
        <rFont val="Consolas"/>
        <family val="3"/>
        <charset val="1"/>
      </rPr>
      <t>/&gt;</t>
    </r>
  </si>
  <si>
    <t>    &lt;link rel="stylesheet" href="../style.css" /&gt;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</si>
  <si>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head</t>
    </r>
    <r>
      <rPr>
        <sz val="11"/>
        <color rgb="FF808080"/>
        <rFont val="Consolas"/>
        <family val="3"/>
        <charset val="1"/>
      </rPr>
      <t>&gt;</t>
    </r>
  </si>
  <si>
    <t>  &lt;/head&gt;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</si>
  <si>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body</t>
    </r>
    <r>
      <rPr>
        <sz val="11"/>
        <color rgb="FF808080"/>
        <rFont val="Consolas"/>
        <family val="3"/>
        <charset val="1"/>
      </rPr>
      <t>&gt;</t>
    </r>
  </si>
  <si>
    <t>  &lt;body&gt;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</si>
  <si>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a</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"skip-link"</t>
    </r>
    <r>
      <rPr>
        <sz val="11"/>
        <color rgb="FFBBBEBF"/>
        <rFont val="Consolas"/>
        <family val="3"/>
        <charset val="1"/>
      </rPr>
      <t xml:space="preserve"> </t>
    </r>
    <r>
      <rPr>
        <sz val="11"/>
        <color rgb="FF9CDCFE"/>
        <rFont val="Consolas"/>
        <family val="3"/>
        <charset val="1"/>
      </rPr>
      <t>href</t>
    </r>
    <r>
      <rPr>
        <sz val="11"/>
        <color rgb="FFBBBEBF"/>
        <rFont val="Consolas"/>
        <family val="3"/>
        <charset val="1"/>
      </rPr>
      <t>=</t>
    </r>
    <r>
      <rPr>
        <sz val="11"/>
        <color rgb="FFA5D6FF"/>
        <rFont val="Consolas"/>
        <family val="3"/>
        <charset val="1"/>
      </rPr>
      <t>"#main"</t>
    </r>
    <r>
      <rPr>
        <sz val="11"/>
        <color rgb="FF808080"/>
        <rFont val="Consolas"/>
        <family val="3"/>
        <charset val="1"/>
      </rPr>
      <t>&gt;</t>
    </r>
    <r>
      <rPr>
        <sz val="11"/>
        <color rgb="FFBBBEBF"/>
        <rFont val="Consolas"/>
        <family val="3"/>
        <charset val="1"/>
      </rPr>
      <t>Zum Inhalt springen</t>
    </r>
    <r>
      <rPr>
        <sz val="11"/>
        <color rgb="FF808080"/>
        <rFont val="Consolas"/>
        <family val="3"/>
        <charset val="1"/>
      </rPr>
      <t>&lt;/</t>
    </r>
    <r>
      <rPr>
        <sz val="11"/>
        <color rgb="FF7EE787"/>
        <rFont val="Consolas"/>
        <family val="3"/>
        <charset val="1"/>
      </rPr>
      <t>a</t>
    </r>
    <r>
      <rPr>
        <sz val="11"/>
        <color rgb="FF808080"/>
        <rFont val="Consolas"/>
        <family val="3"/>
        <charset val="1"/>
      </rPr>
      <t>&gt;</t>
    </r>
  </si>
  <si>
    <t>    &lt;a class="skip-link" href="#main"&gt;Zum Inhalt springen&lt;/a&gt;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</si>
  <si>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header</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"site-header"</t>
    </r>
    <r>
      <rPr>
        <sz val="11"/>
        <color rgb="FF808080"/>
        <rFont val="Consolas"/>
        <family val="3"/>
        <charset val="1"/>
      </rPr>
      <t>&gt;</t>
    </r>
  </si>
  <si>
    <t>    &lt;header class="site-header"&gt;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</si>
  <si>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div</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"cover-img"</t>
    </r>
    <r>
      <rPr>
        <sz val="11"/>
        <color rgb="FF808080"/>
        <rFont val="Consolas"/>
        <family val="3"/>
        <charset val="1"/>
      </rPr>
      <t>&gt;</t>
    </r>
  </si>
  <si>
    <t>      &lt;div class="cover-img"&gt;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</si>
  <si>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img</t>
    </r>
    <r>
      <rPr>
        <sz val="11"/>
        <color rgb="FFBBBEBF"/>
        <rFont val="Consolas"/>
        <family val="3"/>
        <charset val="1"/>
      </rPr>
      <t xml:space="preserve"> </t>
    </r>
    <r>
      <rPr>
        <sz val="11"/>
        <color rgb="FF9CDCFE"/>
        <rFont val="Consolas"/>
        <family val="3"/>
        <charset val="1"/>
      </rPr>
      <t>src</t>
    </r>
    <r>
      <rPr>
        <sz val="11"/>
        <color rgb="FFBBBEBF"/>
        <rFont val="Consolas"/>
        <family val="3"/>
        <charset val="1"/>
      </rPr>
      <t>=</t>
    </r>
    <r>
      <rPr>
        <sz val="11"/>
        <color rgb="FFA5D6FF"/>
        <rFont val="Consolas"/>
        <family val="3"/>
        <charset val="1"/>
      </rPr>
      <t>"../img/website_banner.jpg"</t>
    </r>
    <r>
      <rPr>
        <sz val="11"/>
        <color rgb="FFBBBEBF"/>
        <rFont val="Consolas"/>
        <family val="3"/>
        <charset val="1"/>
      </rPr>
      <t xml:space="preserve"> </t>
    </r>
    <r>
      <rPr>
        <sz val="11"/>
        <color rgb="FF9CDCFE"/>
        <rFont val="Consolas"/>
        <family val="3"/>
        <charset val="1"/>
      </rPr>
      <t>alt</t>
    </r>
    <r>
      <rPr>
        <sz val="11"/>
        <color rgb="FFBBBEBF"/>
        <rFont val="Consolas"/>
        <family val="3"/>
        <charset val="1"/>
      </rPr>
      <t>=</t>
    </r>
    <r>
      <rPr>
        <sz val="11"/>
        <color rgb="FFA5D6FF"/>
        <rFont val="Consolas"/>
        <family val="3"/>
        <charset val="1"/>
      </rPr>
      <t>""</t>
    </r>
    <r>
      <rPr>
        <sz val="11"/>
        <color rgb="FF808080"/>
        <rFont val="Consolas"/>
        <family val="3"/>
        <charset val="1"/>
      </rPr>
      <t>&gt;</t>
    </r>
  </si>
  <si>
    <t>        &lt;img src="../img/website_banner.jpg" alt=""&gt;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</si>
  <si>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div</t>
    </r>
    <r>
      <rPr>
        <sz val="11"/>
        <color rgb="FF808080"/>
        <rFont val="Consolas"/>
        <family val="3"/>
        <charset val="1"/>
      </rPr>
      <t>&gt;</t>
    </r>
  </si>
  <si>
    <t>      &lt;/div&gt;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</si>
  <si>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header</t>
    </r>
    <r>
      <rPr>
        <sz val="11"/>
        <color rgb="FF808080"/>
        <rFont val="Consolas"/>
        <family val="3"/>
        <charset val="1"/>
      </rPr>
      <t>&gt;</t>
    </r>
  </si>
  <si>
    <t>    &lt;/header&gt;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</si>
  <si>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div</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"container header-inner"</t>
    </r>
    <r>
      <rPr>
        <sz val="11"/>
        <color rgb="FF808080"/>
        <rFont val="Consolas"/>
        <family val="3"/>
        <charset val="1"/>
      </rPr>
      <t>&gt;</t>
    </r>
  </si>
  <si>
    <t>      &lt;div class="container header-inner"&gt;</t>
  </si>
  <si>
    <t>&lt;nav class="header-inner"&gt;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</si>
  <si>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a</t>
    </r>
    <r>
      <rPr>
        <sz val="11"/>
        <color rgb="FFBBBEBF"/>
        <rFont val="Consolas"/>
        <family val="3"/>
        <charset val="1"/>
      </rPr>
      <t xml:space="preserve"> </t>
    </r>
    <r>
      <rPr>
        <sz val="11"/>
        <color rgb="FF9CDCFE"/>
        <rFont val="Consolas"/>
        <family val="3"/>
        <charset val="1"/>
      </rPr>
      <t>href</t>
    </r>
    <r>
      <rPr>
        <sz val="11"/>
        <color rgb="FFBBBEBF"/>
        <rFont val="Consolas"/>
        <family val="3"/>
        <charset val="1"/>
      </rPr>
      <t>=</t>
    </r>
    <r>
      <rPr>
        <sz val="11"/>
        <color rgb="FFA5D6FF"/>
        <rFont val="Consolas"/>
        <family val="3"/>
        <charset val="1"/>
      </rPr>
      <t>".."</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"brand"</t>
    </r>
    <r>
      <rPr>
        <sz val="11"/>
        <color rgb="FFBBBEBF"/>
        <rFont val="Consolas"/>
        <family val="3"/>
        <charset val="1"/>
      </rPr>
      <t xml:space="preserve"> </t>
    </r>
    <r>
      <rPr>
        <sz val="11"/>
        <color rgb="FF9CDCFE"/>
        <rFont val="Consolas"/>
        <family val="3"/>
        <charset val="1"/>
      </rPr>
      <t>aria-label</t>
    </r>
    <r>
      <rPr>
        <sz val="11"/>
        <color rgb="FFBBBEBF"/>
        <rFont val="Consolas"/>
        <family val="3"/>
        <charset val="1"/>
      </rPr>
      <t>=</t>
    </r>
    <r>
      <rPr>
        <sz val="11"/>
        <color rgb="FFA5D6FF"/>
        <rFont val="Consolas"/>
        <family val="3"/>
        <charset val="1"/>
      </rPr>
      <t>"Startseite"</t>
    </r>
    <r>
      <rPr>
        <sz val="11"/>
        <color rgb="FF808080"/>
        <rFont val="Consolas"/>
        <family val="3"/>
        <charset val="1"/>
      </rPr>
      <t>&gt;</t>
    </r>
  </si>
  <si>
    <t>        &lt;a href=".." class="brand" aria-label="Startseite"&gt;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</si>
  <si>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span</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"brand-mark"</t>
    </r>
    <r>
      <rPr>
        <sz val="11"/>
        <color rgb="FFBBBEBF"/>
        <rFont val="Consolas"/>
        <family val="3"/>
        <charset val="1"/>
      </rPr>
      <t xml:space="preserve"> </t>
    </r>
    <r>
      <rPr>
        <sz val="11"/>
        <color rgb="FF9CDCFE"/>
        <rFont val="Consolas"/>
        <family val="3"/>
        <charset val="1"/>
      </rPr>
      <t>aria-hidden</t>
    </r>
    <r>
      <rPr>
        <sz val="11"/>
        <color rgb="FFBBBEBF"/>
        <rFont val="Consolas"/>
        <family val="3"/>
        <charset val="1"/>
      </rPr>
      <t>=</t>
    </r>
    <r>
      <rPr>
        <sz val="11"/>
        <color rgb="FFA5D6FF"/>
        <rFont val="Consolas"/>
        <family val="3"/>
        <charset val="1"/>
      </rPr>
      <t>"true"</t>
    </r>
    <r>
      <rPr>
        <sz val="11"/>
        <color rgb="FF808080"/>
        <rFont val="Consolas"/>
        <family val="3"/>
        <charset val="1"/>
      </rPr>
      <t>&gt;&lt;</t>
    </r>
    <r>
      <rPr>
        <sz val="11"/>
        <color rgb="FF7EE787"/>
        <rFont val="Consolas"/>
        <family val="3"/>
        <charset val="1"/>
      </rPr>
      <t>img</t>
    </r>
    <r>
      <rPr>
        <sz val="11"/>
        <color rgb="FFBBBEBF"/>
        <rFont val="Consolas"/>
        <family val="3"/>
        <charset val="1"/>
      </rPr>
      <t xml:space="preserve"> </t>
    </r>
    <r>
      <rPr>
        <sz val="11"/>
        <color rgb="FF9CDCFE"/>
        <rFont val="Consolas"/>
        <family val="3"/>
        <charset val="1"/>
      </rPr>
      <t>src</t>
    </r>
    <r>
      <rPr>
        <sz val="11"/>
        <color rgb="FFBBBEBF"/>
        <rFont val="Consolas"/>
        <family val="3"/>
        <charset val="1"/>
      </rPr>
      <t>=</t>
    </r>
    <r>
      <rPr>
        <sz val="11"/>
        <color rgb="FFA5D6FF"/>
        <rFont val="Consolas"/>
        <family val="3"/>
        <charset val="1"/>
      </rPr>
      <t>"../img/apple-touch-icon.png"</t>
    </r>
    <r>
      <rPr>
        <sz val="11"/>
        <color rgb="FFBBBEBF"/>
        <rFont val="Consolas"/>
        <family val="3"/>
        <charset val="1"/>
      </rPr>
      <t xml:space="preserve"> </t>
    </r>
    <r>
      <rPr>
        <sz val="11"/>
        <color rgb="FF9CDCFE"/>
        <rFont val="Consolas"/>
        <family val="3"/>
        <charset val="1"/>
      </rPr>
      <t>style</t>
    </r>
    <r>
      <rPr>
        <sz val="11"/>
        <color rgb="FFBBBEBF"/>
        <rFont val="Consolas"/>
        <family val="3"/>
        <charset val="1"/>
      </rPr>
      <t>=</t>
    </r>
    <r>
      <rPr>
        <sz val="11"/>
        <color rgb="FFA5D6FF"/>
        <rFont val="Consolas"/>
        <family val="3"/>
        <charset val="1"/>
      </rPr>
      <t>"border-radius: var(--radius-lg)"</t>
    </r>
    <r>
      <rPr>
        <sz val="11"/>
        <color rgb="FF808080"/>
        <rFont val="Consolas"/>
        <family val="3"/>
        <charset val="1"/>
      </rPr>
      <t>&gt;&lt;/</t>
    </r>
    <r>
      <rPr>
        <sz val="11"/>
        <color rgb="FF7EE787"/>
        <rFont val="Consolas"/>
        <family val="3"/>
        <charset val="1"/>
      </rPr>
      <t>span</t>
    </r>
    <r>
      <rPr>
        <sz val="11"/>
        <color rgb="FF808080"/>
        <rFont val="Consolas"/>
        <family val="3"/>
        <charset val="1"/>
      </rPr>
      <t>&gt;</t>
    </r>
  </si>
  <si>
    <t>          &lt;span class="brand-mark" aria-hidden="true"&gt;&lt;img src="../img/apple-touch-icon.png" style="border-radius: var(--radius-lg)"&gt;&lt;/span&gt;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</si>
  <si>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span</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"brand-text"</t>
    </r>
    <r>
      <rPr>
        <sz val="11"/>
        <color rgb="FF808080"/>
        <rFont val="Consolas"/>
        <family val="3"/>
        <charset val="1"/>
      </rPr>
      <t>&gt;</t>
    </r>
  </si>
  <si>
    <t>          &lt;span class="brand-text"&gt;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</si>
  <si>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span</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"brand-kicker"</t>
    </r>
    <r>
      <rPr>
        <sz val="11"/>
        <color rgb="FF808080"/>
        <rFont val="Consolas"/>
        <family val="3"/>
        <charset val="1"/>
      </rPr>
      <t>&gt;</t>
    </r>
    <r>
      <rPr>
        <sz val="11"/>
        <color rgb="FFBBBEBF"/>
        <rFont val="Consolas"/>
        <family val="3"/>
        <charset val="1"/>
      </rPr>
      <t>Karmel</t>
    </r>
    <r>
      <rPr>
        <sz val="11"/>
        <color rgb="FF808080"/>
        <rFont val="Consolas"/>
        <family val="3"/>
        <charset val="1"/>
      </rPr>
      <t>&lt;/</t>
    </r>
    <r>
      <rPr>
        <sz val="11"/>
        <color rgb="FF7EE787"/>
        <rFont val="Consolas"/>
        <family val="3"/>
        <charset val="1"/>
      </rPr>
      <t>span</t>
    </r>
    <r>
      <rPr>
        <sz val="11"/>
        <color rgb="FF808080"/>
        <rFont val="Consolas"/>
        <family val="3"/>
        <charset val="1"/>
      </rPr>
      <t>&gt;</t>
    </r>
  </si>
  <si>
    <t>            &lt;span class="brand-kicker"&gt;Karmel&lt;/span&gt;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</si>
  <si>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span</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"brand-name"</t>
    </r>
    <r>
      <rPr>
        <sz val="11"/>
        <color rgb="FF808080"/>
        <rFont val="Consolas"/>
        <family val="3"/>
        <charset val="1"/>
      </rPr>
      <t>&gt;</t>
    </r>
    <r>
      <rPr>
        <sz val="11"/>
        <color rgb="FFBBBEBF"/>
        <rFont val="Consolas"/>
        <family val="3"/>
        <charset val="1"/>
      </rPr>
      <t>Online-Exerzitien</t>
    </r>
    <r>
      <rPr>
        <sz val="11"/>
        <color rgb="FF808080"/>
        <rFont val="Consolas"/>
        <family val="3"/>
        <charset val="1"/>
      </rPr>
      <t>&lt;/</t>
    </r>
    <r>
      <rPr>
        <sz val="11"/>
        <color rgb="FF7EE787"/>
        <rFont val="Consolas"/>
        <family val="3"/>
        <charset val="1"/>
      </rPr>
      <t>span</t>
    </r>
    <r>
      <rPr>
        <sz val="11"/>
        <color rgb="FF808080"/>
        <rFont val="Consolas"/>
        <family val="3"/>
        <charset val="1"/>
      </rPr>
      <t>&gt;</t>
    </r>
  </si>
  <si>
    <t>            &lt;span class="brand-name"&gt;Online-Exerzitien&lt;/span&gt;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</si>
  <si>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span</t>
    </r>
    <r>
      <rPr>
        <sz val="11"/>
        <color rgb="FF808080"/>
        <rFont val="Consolas"/>
        <family val="3"/>
        <charset val="1"/>
      </rPr>
      <t>&gt;</t>
    </r>
  </si>
  <si>
    <t>          &lt;/span&gt;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</si>
  <si>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a</t>
    </r>
    <r>
      <rPr>
        <sz val="11"/>
        <color rgb="FF808080"/>
        <rFont val="Consolas"/>
        <family val="3"/>
        <charset val="1"/>
      </rPr>
      <t>&gt;</t>
    </r>
  </si>
  <si>
    <t>        &lt;/a&gt;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</si>
  <si>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div</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"header-actions"</t>
    </r>
    <r>
      <rPr>
        <sz val="11"/>
        <color rgb="FF808080"/>
        <rFont val="Consolas"/>
        <family val="3"/>
        <charset val="1"/>
      </rPr>
      <t>&gt;</t>
    </r>
  </si>
  <si>
    <t>        &lt;div class="header-actions"&gt;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</si>
  <si>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nav</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"language-switcher"</t>
    </r>
    <r>
      <rPr>
        <sz val="11"/>
        <color rgb="FFBBBEBF"/>
        <rFont val="Consolas"/>
        <family val="3"/>
        <charset val="1"/>
      </rPr>
      <t xml:space="preserve"> </t>
    </r>
    <r>
      <rPr>
        <sz val="11"/>
        <color rgb="FF9CDCFE"/>
        <rFont val="Consolas"/>
        <family val="3"/>
        <charset val="1"/>
      </rPr>
      <t>aria-label</t>
    </r>
    <r>
      <rPr>
        <sz val="11"/>
        <color rgb="FFBBBEBF"/>
        <rFont val="Consolas"/>
        <family val="3"/>
        <charset val="1"/>
      </rPr>
      <t>=</t>
    </r>
    <r>
      <rPr>
        <sz val="11"/>
        <color rgb="FFA5D6FF"/>
        <rFont val="Consolas"/>
        <family val="3"/>
        <charset val="1"/>
      </rPr>
      <t>"Sprachauswahl"</t>
    </r>
    <r>
      <rPr>
        <sz val="11"/>
        <color rgb="FF808080"/>
        <rFont val="Consolas"/>
        <family val="3"/>
        <charset val="1"/>
      </rPr>
      <t>&gt;</t>
    </r>
  </si>
  <si>
    <t>          &lt;nav class="language-switcher" aria-label="Sprachauswahl"&gt;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</si>
  <si>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a</t>
    </r>
  </si>
  <si>
    <t>            &lt;a</t>
  </si>
  <si>
    <r>
      <rPr>
        <sz val="11"/>
        <color rgb="FFBBBEBF"/>
        <rFont val="Consolas"/>
        <family val="3"/>
        <charset val="1"/>
      </rPr>
      <t xml:space="preserve">              </t>
    </r>
    <r>
      <rPr>
        <sz val="11"/>
        <color rgb="FF9CDCFE"/>
        <rFont val="Consolas"/>
        <family val="3"/>
        <charset val="1"/>
      </rPr>
      <t>href</t>
    </r>
    <r>
      <rPr>
        <sz val="11"/>
        <color rgb="FFBBBEBF"/>
        <rFont val="Consolas"/>
        <family val="3"/>
        <charset val="1"/>
      </rPr>
      <t>=</t>
    </r>
    <r>
      <rPr>
        <sz val="11"/>
        <color rgb="FFA5D6FF"/>
        <rFont val="Consolas"/>
        <family val="3"/>
        <charset val="1"/>
      </rPr>
      <t>"#"</t>
    </r>
  </si>
  <si>
    <t>              href="#"</t>
  </si>
  <si>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"lang-link is-active"</t>
    </r>
  </si>
  <si>
    <t>              class="lang-link is-active"</t>
  </si>
  <si>
    <r>
      <rPr>
        <sz val="11"/>
        <color rgb="FFBBBEBF"/>
        <rFont val="Consolas"/>
        <family val="3"/>
        <charset val="1"/>
      </rPr>
      <t xml:space="preserve">              </t>
    </r>
    <r>
      <rPr>
        <sz val="11"/>
        <color rgb="FF9CDCFE"/>
        <rFont val="Consolas"/>
        <family val="3"/>
        <charset val="1"/>
      </rPr>
      <t>lang</t>
    </r>
    <r>
      <rPr>
        <sz val="11"/>
        <color rgb="FFBBBEBF"/>
        <rFont val="Consolas"/>
        <family val="3"/>
        <charset val="1"/>
      </rPr>
      <t>=</t>
    </r>
    <r>
      <rPr>
        <sz val="11"/>
        <color rgb="FFA5D6FF"/>
        <rFont val="Consolas"/>
        <family val="3"/>
        <charset val="1"/>
      </rPr>
      <t>"de"</t>
    </r>
  </si>
  <si>
    <t>              lang="de"</t>
  </si>
  <si>
    <r>
      <rPr>
        <sz val="11"/>
        <color rgb="FFBBBEBF"/>
        <rFont val="Consolas"/>
        <family val="3"/>
        <charset val="1"/>
      </rPr>
      <t xml:space="preserve">              </t>
    </r>
    <r>
      <rPr>
        <sz val="11"/>
        <color rgb="FF9CDCFE"/>
        <rFont val="Consolas"/>
        <family val="3"/>
        <charset val="1"/>
      </rPr>
      <t>aria-current</t>
    </r>
    <r>
      <rPr>
        <sz val="11"/>
        <color rgb="FFBBBEBF"/>
        <rFont val="Consolas"/>
        <family val="3"/>
        <charset val="1"/>
      </rPr>
      <t>=</t>
    </r>
    <r>
      <rPr>
        <sz val="11"/>
        <color rgb="FFA5D6FF"/>
        <rFont val="Consolas"/>
        <family val="3"/>
        <charset val="1"/>
      </rPr>
      <t>"page"</t>
    </r>
  </si>
  <si>
    <t>              aria-current="page"</t>
  </si>
  <si>
    <r>
      <rPr>
        <sz val="11"/>
        <color rgb="FFBBBEBF"/>
        <rFont val="Consolas"/>
        <family val="3"/>
        <charset val="1"/>
      </rPr>
      <t xml:space="preserve">              </t>
    </r>
    <r>
      <rPr>
        <sz val="11"/>
        <color rgb="FF808080"/>
        <rFont val="Consolas"/>
        <family val="3"/>
        <charset val="1"/>
      </rPr>
      <t>&gt;</t>
    </r>
    <r>
      <rPr>
        <sz val="11"/>
        <color rgb="FFBBBEBF"/>
        <rFont val="Consolas"/>
        <family val="3"/>
        <charset val="1"/>
      </rPr>
      <t>DE</t>
    </r>
    <r>
      <rPr>
        <sz val="11"/>
        <color rgb="FF808080"/>
        <rFont val="Consolas"/>
        <family val="3"/>
        <charset val="1"/>
      </rPr>
      <t>&lt;/</t>
    </r>
    <r>
      <rPr>
        <sz val="11"/>
        <color rgb="FF7EE787"/>
        <rFont val="Consolas"/>
        <family val="3"/>
        <charset val="1"/>
      </rPr>
      <t>a</t>
    </r>
  </si>
  <si>
    <t>              &gt;DE&lt;/a</t>
  </si>
  <si>
    <r>
      <rPr>
        <sz val="11"/>
        <color rgb="FFBBBEBF"/>
        <rFont val="Consolas"/>
        <family val="3"/>
        <charset val="1"/>
      </rPr>
      <t xml:space="preserve">            </t>
    </r>
    <r>
      <rPr>
        <sz val="11"/>
        <color rgb="FF808080"/>
        <rFont val="Consolas"/>
        <family val="3"/>
        <charset val="1"/>
      </rPr>
      <t>&gt;</t>
    </r>
  </si>
  <si>
    <t>            &gt;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</si>
  <si>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a</t>
    </r>
    <r>
      <rPr>
        <sz val="11"/>
        <color rgb="FFBBBEBF"/>
        <rFont val="Consolas"/>
        <family val="3"/>
        <charset val="1"/>
      </rPr>
      <t xml:space="preserve"> </t>
    </r>
    <r>
      <rPr>
        <sz val="11"/>
        <color rgb="FF9CDCFE"/>
        <rFont val="Consolas"/>
        <family val="3"/>
        <charset val="1"/>
      </rPr>
      <t>href</t>
    </r>
    <r>
      <rPr>
        <sz val="11"/>
        <color rgb="FFBBBEBF"/>
        <rFont val="Consolas"/>
        <family val="3"/>
        <charset val="1"/>
      </rPr>
      <t>=</t>
    </r>
    <r>
      <rPr>
        <sz val="11"/>
        <color rgb="FFA5D6FF"/>
        <rFont val="Consolas"/>
        <family val="3"/>
        <charset val="1"/>
      </rPr>
      <t>"https://retraites.carmes-paris.org/careme-2026/careme-2026-st-jean-de-la-croix/"</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"lang-link"</t>
    </r>
    <r>
      <rPr>
        <sz val="11"/>
        <color rgb="FFBBBEBF"/>
        <rFont val="Consolas"/>
        <family val="3"/>
        <charset val="1"/>
      </rPr>
      <t xml:space="preserve"> </t>
    </r>
    <r>
      <rPr>
        <sz val="11"/>
        <color rgb="FF9CDCFE"/>
        <rFont val="Consolas"/>
        <family val="3"/>
        <charset val="1"/>
      </rPr>
      <t>lang</t>
    </r>
    <r>
      <rPr>
        <sz val="11"/>
        <color rgb="FFBBBEBF"/>
        <rFont val="Consolas"/>
        <family val="3"/>
        <charset val="1"/>
      </rPr>
      <t>=</t>
    </r>
    <r>
      <rPr>
        <sz val="11"/>
        <color rgb="FFA5D6FF"/>
        <rFont val="Consolas"/>
        <family val="3"/>
        <charset val="1"/>
      </rPr>
      <t>"fr"</t>
    </r>
    <r>
      <rPr>
        <sz val="11"/>
        <color rgb="FF808080"/>
        <rFont val="Consolas"/>
        <family val="3"/>
        <charset val="1"/>
      </rPr>
      <t>&gt;</t>
    </r>
    <r>
      <rPr>
        <sz val="11"/>
        <color rgb="FFBBBEBF"/>
        <rFont val="Consolas"/>
        <family val="3"/>
        <charset val="1"/>
      </rPr>
      <t>FR</t>
    </r>
    <r>
      <rPr>
        <sz val="11"/>
        <color rgb="FF808080"/>
        <rFont val="Consolas"/>
        <family val="3"/>
        <charset val="1"/>
      </rPr>
      <t>&lt;/</t>
    </r>
    <r>
      <rPr>
        <sz val="11"/>
        <color rgb="FF7EE787"/>
        <rFont val="Consolas"/>
        <family val="3"/>
        <charset val="1"/>
      </rPr>
      <t>a</t>
    </r>
    <r>
      <rPr>
        <sz val="11"/>
        <color rgb="FF808080"/>
        <rFont val="Consolas"/>
        <family val="3"/>
        <charset val="1"/>
      </rPr>
      <t>&gt;</t>
    </r>
  </si>
  <si>
    <t>            &lt;a href="https://retraites.carmes-paris.org/careme-2026/careme-2026-st-jean-de-la-croix/" class="lang-link" lang="fr"&gt;FR&lt;/a&gt;</t>
  </si>
  <si>
    <t>            &lt;a href="https://retraites.carmes-paris.org" class="lang-link" lang="fr"&gt;FR&lt;/a&gt;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</si>
  <si>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a</t>
    </r>
    <r>
      <rPr>
        <sz val="11"/>
        <color rgb="FFBBBEBF"/>
        <rFont val="Consolas"/>
        <family val="3"/>
        <charset val="1"/>
      </rPr>
      <t xml:space="preserve"> </t>
    </r>
    <r>
      <rPr>
        <sz val="11"/>
        <color rgb="FF9CDCFE"/>
        <rFont val="Consolas"/>
        <family val="3"/>
        <charset val="1"/>
      </rPr>
      <t>href</t>
    </r>
    <r>
      <rPr>
        <sz val="11"/>
        <color rgb="FFBBBEBF"/>
        <rFont val="Consolas"/>
        <family val="3"/>
        <charset val="1"/>
      </rPr>
      <t>=</t>
    </r>
    <r>
      <rPr>
        <sz val="11"/>
        <color rgb="FFA5D6FF"/>
        <rFont val="Consolas"/>
        <family val="3"/>
        <charset val="1"/>
      </rPr>
      <t>"#"</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"lang-link"</t>
    </r>
    <r>
      <rPr>
        <sz val="11"/>
        <color rgb="FFBBBEBF"/>
        <rFont val="Consolas"/>
        <family val="3"/>
        <charset val="1"/>
      </rPr>
      <t xml:space="preserve"> </t>
    </r>
    <r>
      <rPr>
        <sz val="11"/>
        <color rgb="FF9CDCFE"/>
        <rFont val="Consolas"/>
        <family val="3"/>
        <charset val="1"/>
      </rPr>
      <t>lang</t>
    </r>
    <r>
      <rPr>
        <sz val="11"/>
        <color rgb="FFBBBEBF"/>
        <rFont val="Consolas"/>
        <family val="3"/>
        <charset val="1"/>
      </rPr>
      <t>=</t>
    </r>
    <r>
      <rPr>
        <sz val="11"/>
        <color rgb="FFA5D6FF"/>
        <rFont val="Consolas"/>
        <family val="3"/>
        <charset val="1"/>
      </rPr>
      <t>"en"</t>
    </r>
    <r>
      <rPr>
        <sz val="11"/>
        <color rgb="FF808080"/>
        <rFont val="Consolas"/>
        <family val="3"/>
        <charset val="1"/>
      </rPr>
      <t>&gt;</t>
    </r>
    <r>
      <rPr>
        <sz val="11"/>
        <color rgb="FFBBBEBF"/>
        <rFont val="Consolas"/>
        <family val="3"/>
        <charset val="1"/>
      </rPr>
      <t>EN</t>
    </r>
    <r>
      <rPr>
        <sz val="11"/>
        <color rgb="FF808080"/>
        <rFont val="Consolas"/>
        <family val="3"/>
        <charset val="1"/>
      </rPr>
      <t>&lt;/</t>
    </r>
    <r>
      <rPr>
        <sz val="11"/>
        <color rgb="FF7EE787"/>
        <rFont val="Consolas"/>
        <family val="3"/>
        <charset val="1"/>
      </rPr>
      <t>a</t>
    </r>
    <r>
      <rPr>
        <sz val="11"/>
        <color rgb="FF808080"/>
        <rFont val="Consolas"/>
        <family val="3"/>
        <charset val="1"/>
      </rPr>
      <t>&gt;</t>
    </r>
  </si>
  <si>
    <t>            &lt;a href="#" class="lang-link" lang="en"&gt;EN&lt;/a&gt;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</si>
  <si>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nav</t>
    </r>
    <r>
      <rPr>
        <sz val="11"/>
        <color rgb="FF808080"/>
        <rFont val="Consolas"/>
        <family val="3"/>
        <charset val="1"/>
      </rPr>
      <t>&gt;</t>
    </r>
  </si>
  <si>
    <t>          &lt;/nav&gt;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</si>
  <si>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div</t>
    </r>
    <r>
      <rPr>
        <sz val="11"/>
        <color rgb="FF808080"/>
        <rFont val="Consolas"/>
        <family val="3"/>
        <charset val="1"/>
      </rPr>
      <t>&gt;</t>
    </r>
  </si>
  <si>
    <t>        &lt;/div&gt;</t>
  </si>
  <si>
    <t>      &lt;/nav&gt;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</si>
  <si>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main</t>
    </r>
    <r>
      <rPr>
        <sz val="11"/>
        <color rgb="FFBBBEBF"/>
        <rFont val="Consolas"/>
        <family val="3"/>
        <charset val="1"/>
      </rPr>
      <t xml:space="preserve"> </t>
    </r>
    <r>
      <rPr>
        <sz val="11"/>
        <color rgb="FF9CDCFE"/>
        <rFont val="Consolas"/>
        <family val="3"/>
        <charset val="1"/>
      </rPr>
      <t>id</t>
    </r>
    <r>
      <rPr>
        <sz val="11"/>
        <color rgb="FFBBBEBF"/>
        <rFont val="Consolas"/>
        <family val="3"/>
        <charset val="1"/>
      </rPr>
      <t>=</t>
    </r>
    <r>
      <rPr>
        <sz val="11"/>
        <color rgb="FFA5D6FF"/>
        <rFont val="Consolas"/>
        <family val="3"/>
        <charset val="1"/>
      </rPr>
      <t>"main"</t>
    </r>
    <r>
      <rPr>
        <sz val="11"/>
        <color rgb="FF808080"/>
        <rFont val="Consolas"/>
        <family val="3"/>
        <charset val="1"/>
      </rPr>
      <t>&gt;</t>
    </r>
  </si>
  <si>
    <t>    &lt;main id="main"&gt;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</si>
  <si>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section</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"hero"</t>
    </r>
    <r>
      <rPr>
        <sz val="11"/>
        <color rgb="FF808080"/>
        <rFont val="Consolas"/>
        <family val="3"/>
        <charset val="1"/>
      </rPr>
      <t>&gt;</t>
    </r>
  </si>
  <si>
    <t>      &lt;section class="hero"&gt;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</si>
  <si>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div</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"container hero-grid-1col"</t>
    </r>
    <r>
      <rPr>
        <sz val="11"/>
        <color rgb="FF808080"/>
        <rFont val="Consolas"/>
        <family val="3"/>
        <charset val="1"/>
      </rPr>
      <t>&gt;</t>
    </r>
  </si>
  <si>
    <t>        &lt;div class="container hero-grid-1col"&gt;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</si>
  <si>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h1</t>
    </r>
    <r>
      <rPr>
        <sz val="11"/>
        <color rgb="FF808080"/>
        <rFont val="Consolas"/>
        <family val="3"/>
        <charset val="1"/>
      </rPr>
      <t>&gt;</t>
    </r>
    <r>
      <rPr>
        <sz val="11"/>
        <color rgb="FFBBBEBF"/>
        <rFont val="Consolas"/>
        <family val="3"/>
        <charset val="1"/>
      </rPr>
      <t>„Christus in der Tiefe des Herzens begegnen”</t>
    </r>
    <r>
      <rPr>
        <sz val="11"/>
        <color rgb="FF808080"/>
        <rFont val="Consolas"/>
        <family val="3"/>
        <charset val="1"/>
      </rPr>
      <t>&lt;/</t>
    </r>
    <r>
      <rPr>
        <sz val="11"/>
        <color rgb="FF7EE787"/>
        <rFont val="Consolas"/>
        <family val="3"/>
        <charset val="1"/>
      </rPr>
      <t>h1</t>
    </r>
    <r>
      <rPr>
        <sz val="11"/>
        <color rgb="FF808080"/>
        <rFont val="Consolas"/>
        <family val="3"/>
        <charset val="1"/>
      </rPr>
      <t>&gt;</t>
    </r>
  </si>
  <si>
    <r>
      <rPr>
        <sz val="11"/>
        <color rgb="FFBBBEBF"/>
        <rFont val="Consolas"/>
        <family val="3"/>
        <charset val="1"/>
      </rPr>
      <t xml:space="preserve">          </t>
    </r>
    <r>
      <rPr>
        <sz val="11"/>
        <color rgb="FF808080"/>
        <rFont val="Consolas"/>
        <family val="3"/>
        <charset val="1"/>
      </rPr>
      <t>&lt;</t>
    </r>
    <r>
      <rPr>
        <sz val="11"/>
        <color rgb="FF7EE787"/>
        <rFont val="Consolas"/>
        <family val="3"/>
        <charset val="1"/>
      </rPr>
      <t>h2</t>
    </r>
    <r>
      <rPr>
        <sz val="11"/>
        <color rgb="FF808080"/>
        <rFont val="Consolas"/>
        <family val="3"/>
        <charset val="1"/>
      </rPr>
      <t>&gt;</t>
    </r>
    <r>
      <rPr>
        <sz val="11"/>
        <color rgb="FFBBBEBF"/>
        <rFont val="Consolas"/>
        <family val="3"/>
        <charset val="1"/>
      </rPr>
      <t>Fastenzeit 2026 mit dem heiligen Johannes vom Kreuz</t>
    </r>
    <r>
      <rPr>
        <sz val="11"/>
        <color rgb="FF808080"/>
        <rFont val="Consolas"/>
        <family val="3"/>
        <charset val="1"/>
      </rPr>
      <t>&lt;/</t>
    </r>
    <r>
      <rPr>
        <sz val="11"/>
        <color rgb="FF7EE787"/>
        <rFont val="Consolas"/>
        <family val="3"/>
        <charset val="1"/>
      </rPr>
      <t>h2</t>
    </r>
    <r>
      <rPr>
        <sz val="11"/>
        <color rgb="FF808080"/>
        <rFont val="Consolas"/>
        <family val="3"/>
        <charset val="1"/>
      </rPr>
      <t>&gt;</t>
    </r>
  </si>
  <si>
    <r>
      <rPr>
        <sz val="11"/>
        <color rgb="FF808080"/>
        <rFont val="Consolas"/>
        <family val="3"/>
        <charset val="1"/>
      </rPr>
      <t>&lt;</t>
    </r>
    <r>
      <rPr>
        <sz val="11"/>
        <color rgb="FF7EE787"/>
        <rFont val="Consolas"/>
        <family val="3"/>
        <charset val="1"/>
      </rPr>
      <t>h3</t>
    </r>
    <r>
      <rPr>
        <sz val="11"/>
        <color rgb="FF808080"/>
        <rFont val="Consolas"/>
        <family val="3"/>
        <charset val="1"/>
      </rPr>
      <t>&gt;</t>
    </r>
    <r>
      <rPr>
        <sz val="11"/>
        <color rgb="FFBBBEBF"/>
        <rFont val="Consolas"/>
        <family val="3"/>
        <charset val="1"/>
      </rPr>
      <t>Vom 18. Februar bis 5. April 2026</t>
    </r>
    <r>
      <rPr>
        <sz val="11"/>
        <color rgb="FF808080"/>
        <rFont val="Consolas"/>
        <family val="3"/>
        <charset val="1"/>
      </rPr>
      <t>&lt;/</t>
    </r>
    <r>
      <rPr>
        <sz val="11"/>
        <color rgb="FF7EE787"/>
        <rFont val="Consolas"/>
        <family val="3"/>
        <charset val="1"/>
      </rPr>
      <t>h3</t>
    </r>
    <r>
      <rPr>
        <sz val="11"/>
        <color rgb="FF808080"/>
        <rFont val="Consolas"/>
        <family val="3"/>
        <charset val="1"/>
      </rPr>
      <t>&gt;</t>
    </r>
  </si>
  <si>
    <r>
      <rPr>
        <sz val="11"/>
        <color rgb="FF808080"/>
        <rFont val="Consolas"/>
        <family val="3"/>
        <charset val="1"/>
      </rPr>
      <t>&lt;</t>
    </r>
    <r>
      <rPr>
        <sz val="11"/>
        <color rgb="FF7EE787"/>
        <rFont val="Consolas"/>
        <family val="3"/>
        <charset val="1"/>
      </rPr>
      <t>p</t>
    </r>
    <r>
      <rPr>
        <sz val="11"/>
        <color rgb="FF808080"/>
        <rFont val="Consolas"/>
        <family val="3"/>
        <charset val="1"/>
      </rPr>
      <t>&gt;</t>
    </r>
    <r>
      <rPr>
        <sz val="11"/>
        <color rgb="FFBBBEBF"/>
        <rFont val="Consolas"/>
        <family val="3"/>
        <charset val="1"/>
      </rPr>
      <t>Anlässlich des doppelten Jubiläums des heiligen Johannes vom Kreuz (1726-1926-2026):</t>
    </r>
  </si>
  <si>
    <r>
      <rPr>
        <sz val="11"/>
        <color rgb="FF808080"/>
        <rFont val="Consolas"/>
        <family val="3"/>
        <charset val="1"/>
      </rPr>
      <t>&lt;</t>
    </r>
    <r>
      <rPr>
        <sz val="11"/>
        <color rgb="FF7EE787"/>
        <rFont val="Consolas"/>
        <family val="3"/>
        <charset val="1"/>
      </rPr>
      <t>ul</t>
    </r>
    <r>
      <rPr>
        <sz val="11"/>
        <color rgb="FF808080"/>
        <rFont val="Consolas"/>
        <family val="3"/>
        <charset val="1"/>
      </rPr>
      <t>&gt;</t>
    </r>
  </si>
  <si>
    <r>
      <rPr>
        <sz val="11"/>
        <color rgb="FFBBBEBF"/>
        <rFont val="Consolas"/>
        <family val="3"/>
        <charset val="1"/>
      </rPr>
      <t xml:space="preserve">  </t>
    </r>
    <r>
      <rPr>
        <sz val="11"/>
        <color rgb="FF808080"/>
        <rFont val="Consolas"/>
        <family val="3"/>
        <charset val="1"/>
      </rPr>
      <t>&lt;</t>
    </r>
    <r>
      <rPr>
        <sz val="11"/>
        <color rgb="FF7EE787"/>
        <rFont val="Consolas"/>
        <family val="3"/>
        <charset val="1"/>
      </rPr>
      <t>li</t>
    </r>
    <r>
      <rPr>
        <sz val="11"/>
        <color rgb="FF808080"/>
        <rFont val="Consolas"/>
        <family val="3"/>
        <charset val="1"/>
      </rPr>
      <t>&gt;</t>
    </r>
    <r>
      <rPr>
        <sz val="11"/>
        <color rgb="FFBBBEBF"/>
        <rFont val="Consolas"/>
        <family val="3"/>
        <charset val="1"/>
      </rPr>
      <t>300. Jahrestag seiner Heiligsprechung (1726)</t>
    </r>
    <r>
      <rPr>
        <sz val="11"/>
        <color rgb="FF808080"/>
        <rFont val="Consolas"/>
        <family val="3"/>
        <charset val="1"/>
      </rPr>
      <t>&lt;/</t>
    </r>
    <r>
      <rPr>
        <sz val="11"/>
        <color rgb="FF7EE787"/>
        <rFont val="Consolas"/>
        <family val="3"/>
        <charset val="1"/>
      </rPr>
      <t>li</t>
    </r>
    <r>
      <rPr>
        <sz val="11"/>
        <color rgb="FF808080"/>
        <rFont val="Consolas"/>
        <family val="3"/>
        <charset val="1"/>
      </rPr>
      <t>&gt;</t>
    </r>
  </si>
  <si>
    <r>
      <rPr>
        <sz val="11"/>
        <color rgb="FFBBBEBF"/>
        <rFont val="Consolas"/>
        <family val="3"/>
        <charset val="1"/>
      </rPr>
      <t xml:space="preserve">  </t>
    </r>
    <r>
      <rPr>
        <sz val="11"/>
        <color rgb="FF808080"/>
        <rFont val="Consolas"/>
        <family val="3"/>
        <charset val="1"/>
      </rPr>
      <t>&lt;</t>
    </r>
    <r>
      <rPr>
        <sz val="11"/>
        <color rgb="FF7EE787"/>
        <rFont val="Consolas"/>
        <family val="3"/>
        <charset val="1"/>
      </rPr>
      <t>li</t>
    </r>
    <r>
      <rPr>
        <sz val="11"/>
        <color rgb="FF808080"/>
        <rFont val="Consolas"/>
        <family val="3"/>
        <charset val="1"/>
      </rPr>
      <t>&gt;</t>
    </r>
    <r>
      <rPr>
        <sz val="11"/>
        <color rgb="FFBBBEBF"/>
        <rFont val="Consolas"/>
        <family val="3"/>
        <charset val="1"/>
      </rPr>
      <t>100. Jahrestag seiner Ernennung zum Kirchenlehrer (1926)</t>
    </r>
    <r>
      <rPr>
        <sz val="11"/>
        <color rgb="FF808080"/>
        <rFont val="Consolas"/>
        <family val="3"/>
        <charset val="1"/>
      </rPr>
      <t>&lt;/</t>
    </r>
    <r>
      <rPr>
        <sz val="11"/>
        <color rgb="FF7EE787"/>
        <rFont val="Consolas"/>
        <family val="3"/>
        <charset val="1"/>
      </rPr>
      <t>li</t>
    </r>
    <r>
      <rPr>
        <sz val="11"/>
        <color rgb="FF808080"/>
        <rFont val="Consolas"/>
        <family val="3"/>
        <charset val="1"/>
      </rPr>
      <t>&gt;</t>
    </r>
  </si>
  <si>
    <r>
      <rPr>
        <sz val="11"/>
        <color rgb="FF808080"/>
        <rFont val="Consolas"/>
        <family val="3"/>
        <charset val="1"/>
      </rPr>
      <t>&lt;/</t>
    </r>
    <r>
      <rPr>
        <sz val="11"/>
        <color rgb="FF7EE787"/>
        <rFont val="Consolas"/>
        <family val="3"/>
        <charset val="1"/>
      </rPr>
      <t>ul</t>
    </r>
    <r>
      <rPr>
        <sz val="11"/>
        <color rgb="FF808080"/>
        <rFont val="Consolas"/>
        <family val="3"/>
        <charset val="1"/>
      </rPr>
      <t>&gt;</t>
    </r>
  </si>
  <si>
    <t xml:space="preserve">Wir bieten Ihnen Online-Exerzitien in der Schule des heiligen Johannes vom Kreuz an. In diesen Exerzitien werden wir im Lichte der Evangelien unsere </t>
  </si>
  <si>
    <t xml:space="preserve">Beziehung zu Jesus vertiefen, um im Heiligen Geist wieder zur Vertrautheit mit Ihm und mit Gott Vater in der Tiefe unseres Herzens zu gelangen. </t>
  </si>
  <si>
    <t xml:space="preserve">Es wird ein Weg der inneren Befreiung sein, auf dem uns Johannes vom Kreuz zuverlässig und sicher führen wird. Er wird uns in einer zunehmend auf </t>
  </si>
  <si>
    <t xml:space="preserve">das Äußere hin orientierten Welt lehren, wieder in unser tiefstes Inneres einzugehen, wo Christus, der Bräutigam der Kirche, uns begegnen und </t>
  </si>
  <si>
    <r>
      <rPr>
        <sz val="11"/>
        <color rgb="FFBBBEBF"/>
        <rFont val="Consolas"/>
        <family val="3"/>
        <charset val="1"/>
      </rPr>
      <t>reinigen will, damit wir mit Ihm im Feuer des Heiligen Geistes zu den innig geliebten Kindern des Vaters werden.</t>
    </r>
    <r>
      <rPr>
        <sz val="11"/>
        <color rgb="FF808080"/>
        <rFont val="Consolas"/>
        <family val="3"/>
        <charset val="1"/>
      </rPr>
      <t>&lt;/</t>
    </r>
    <r>
      <rPr>
        <sz val="11"/>
        <color rgb="FF7EE787"/>
        <rFont val="Consolas"/>
        <family val="3"/>
        <charset val="1"/>
      </rPr>
      <t>h2</t>
    </r>
    <r>
      <rPr>
        <sz val="11"/>
        <color rgb="FF808080"/>
        <rFont val="Consolas"/>
        <family val="3"/>
        <charset val="1"/>
      </rPr>
      <t>&gt;</t>
    </r>
    <r>
      <rPr>
        <sz val="11"/>
        <color rgb="FFBBBEBF"/>
        <rFont val="Consolas"/>
        <family val="3"/>
        <charset val="1"/>
      </rPr>
      <t>Fastenzeit 2026 mit</t>
    </r>
  </si>
  <si>
    <r>
      <rPr>
        <sz val="11"/>
        <color rgb="FFBBBEBF"/>
        <rFont val="Consolas"/>
        <family val="3"/>
        <charset val="1"/>
      </rPr>
      <t>dem heiligen Johannes vom Kreuz</t>
    </r>
    <r>
      <rPr>
        <sz val="11"/>
        <color rgb="FF808080"/>
        <rFont val="Consolas"/>
        <family val="3"/>
        <charset val="1"/>
      </rPr>
      <t>&lt;/</t>
    </r>
    <r>
      <rPr>
        <sz val="11"/>
        <color rgb="FF7EE787"/>
        <rFont val="Consolas"/>
        <family val="3"/>
        <charset val="1"/>
      </rPr>
      <t>p</t>
    </r>
    <r>
      <rPr>
        <sz val="11"/>
        <color rgb="FF808080"/>
        <rFont val="Consolas"/>
        <family val="3"/>
        <charset val="1"/>
      </rPr>
      <t>&gt;</t>
    </r>
    <r>
      <rPr>
        <sz val="11"/>
        <color rgb="FFBBBEBF"/>
        <rFont val="Consolas"/>
        <family val="3"/>
        <charset val="1"/>
      </rPr>
      <t xml:space="preserve">       </t>
    </r>
  </si>
  <si>
    <t xml:space="preserve">&lt;/p&gt;       </t>
  </si>
  <si>
    <r>
      <rPr>
        <sz val="11"/>
        <color rgb="FFBBBEBF"/>
        <rFont val="Consolas"/>
        <family val="3"/>
        <charset val="1"/>
      </rPr>
      <t xml:space="preserve">          </t>
    </r>
    <r>
      <rPr>
        <sz val="11"/>
        <color rgb="FF808080"/>
        <rFont val="Consolas"/>
        <family val="3"/>
        <charset val="1"/>
      </rPr>
      <t>&lt;</t>
    </r>
    <r>
      <rPr>
        <sz val="11"/>
        <color rgb="FF7EE787"/>
        <rFont val="Consolas"/>
        <family val="3"/>
        <charset val="1"/>
      </rPr>
      <t>div</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"image-zoom"</t>
    </r>
    <r>
      <rPr>
        <sz val="11"/>
        <color rgb="FF808080"/>
        <rFont val="Consolas"/>
        <family val="3"/>
        <charset val="1"/>
      </rPr>
      <t>&gt;</t>
    </r>
  </si>
  <si>
    <t>          &lt;div class="image-zoom"&gt;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</si>
  <si>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img</t>
    </r>
    <r>
      <rPr>
        <sz val="11"/>
        <color rgb="FFBBBEBF"/>
        <rFont val="Consolas"/>
        <family val="3"/>
        <charset val="1"/>
      </rPr>
      <t xml:space="preserve"> </t>
    </r>
    <r>
      <rPr>
        <sz val="11"/>
        <color rgb="FF9CDCFE"/>
        <rFont val="Consolas"/>
        <family val="3"/>
        <charset val="1"/>
      </rPr>
      <t>src</t>
    </r>
    <r>
      <rPr>
        <sz val="11"/>
        <color rgb="FFBBBEBF"/>
        <rFont val="Consolas"/>
        <family val="3"/>
        <charset val="1"/>
      </rPr>
      <t>=</t>
    </r>
    <r>
      <rPr>
        <sz val="11"/>
        <color rgb="FFA5D6FF"/>
        <rFont val="Consolas"/>
        <family val="3"/>
        <charset val="1"/>
      </rPr>
      <t>"../img/FS26_header_DE.png"</t>
    </r>
    <r>
      <rPr>
        <sz val="11"/>
        <color rgb="FFBBBEBF"/>
        <rFont val="Consolas"/>
        <family val="3"/>
        <charset val="1"/>
      </rPr>
      <t xml:space="preserve"> </t>
    </r>
    <r>
      <rPr>
        <sz val="11"/>
        <color rgb="FF9CDCFE"/>
        <rFont val="Consolas"/>
        <family val="3"/>
        <charset val="1"/>
      </rPr>
      <t>alt</t>
    </r>
    <r>
      <rPr>
        <sz val="11"/>
        <color rgb="FFBBBEBF"/>
        <rFont val="Consolas"/>
        <family val="3"/>
        <charset val="1"/>
      </rPr>
      <t>=</t>
    </r>
    <r>
      <rPr>
        <sz val="11"/>
        <color rgb="FFA5D6FF"/>
        <rFont val="Consolas"/>
        <family val="3"/>
        <charset val="1"/>
      </rPr>
      <t>""</t>
    </r>
    <r>
      <rPr>
        <sz val="11"/>
        <color rgb="FF808080"/>
        <rFont val="Consolas"/>
        <family val="3"/>
        <charset val="1"/>
      </rPr>
      <t>&gt;</t>
    </r>
  </si>
  <si>
    <r>
      <rPr>
        <sz val="11"/>
        <color rgb="FFBBBEBF"/>
        <rFont val="Consolas"/>
        <family val="3"/>
        <charset val="1"/>
      </rPr>
      <t xml:space="preserve">          </t>
    </r>
    <r>
      <rPr>
        <sz val="11"/>
        <color rgb="FF808080"/>
        <rFont val="Consolas"/>
        <family val="3"/>
        <charset val="1"/>
      </rPr>
      <t>&lt;/</t>
    </r>
    <r>
      <rPr>
        <sz val="11"/>
        <color rgb="FF7EE787"/>
        <rFont val="Consolas"/>
        <family val="3"/>
        <charset val="1"/>
      </rPr>
      <t>div</t>
    </r>
    <r>
      <rPr>
        <sz val="11"/>
        <color rgb="FF808080"/>
        <rFont val="Consolas"/>
        <family val="3"/>
        <charset val="1"/>
      </rPr>
      <t>&gt;</t>
    </r>
  </si>
  <si>
    <t>          &lt;/div&gt;</t>
  </si>
  <si>
    <r>
      <rPr>
        <sz val="11"/>
        <color rgb="FF808080"/>
        <rFont val="Consolas"/>
        <family val="3"/>
        <charset val="1"/>
      </rPr>
      <t>&lt;/</t>
    </r>
    <r>
      <rPr>
        <sz val="11"/>
        <color rgb="FF7EE787"/>
        <rFont val="Consolas"/>
        <family val="3"/>
        <charset val="1"/>
      </rPr>
      <t>div</t>
    </r>
    <r>
      <rPr>
        <sz val="11"/>
        <color rgb="FF808080"/>
        <rFont val="Consolas"/>
        <family val="3"/>
        <charset val="1"/>
      </rPr>
      <t>&gt;</t>
    </r>
  </si>
  <si>
    <t>&lt;/div&gt;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</si>
  <si>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section</t>
    </r>
    <r>
      <rPr>
        <sz val="11"/>
        <color rgb="FF808080"/>
        <rFont val="Consolas"/>
        <family val="3"/>
        <charset val="1"/>
      </rPr>
      <t>&gt;</t>
    </r>
  </si>
  <si>
    <t>      &lt;/section&gt;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</si>
  <si>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section</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"section section-intro"</t>
    </r>
    <r>
      <rPr>
        <sz val="11"/>
        <color rgb="FF808080"/>
        <rFont val="Consolas"/>
        <family val="3"/>
        <charset val="1"/>
      </rPr>
      <t>&gt;</t>
    </r>
  </si>
  <si>
    <t>      &lt;section class="section section-intro"&gt;</t>
  </si>
  <si>
    <r>
      <rPr>
        <sz val="11"/>
        <color rgb="FF808080"/>
        <rFont val="Consolas"/>
        <family val="3"/>
        <charset val="1"/>
      </rPr>
      <t>&lt;</t>
    </r>
    <r>
      <rPr>
        <sz val="11"/>
        <color rgb="FF7EE787"/>
        <rFont val="Consolas"/>
        <family val="3"/>
        <charset val="1"/>
      </rPr>
      <t>div</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"signup-panel"</t>
    </r>
    <r>
      <rPr>
        <sz val="11"/>
        <color rgb="FF808080"/>
        <rFont val="Consolas"/>
        <family val="3"/>
        <charset val="1"/>
      </rPr>
      <t>&gt;</t>
    </r>
  </si>
  <si>
    <t>&lt;div class="signup-panel"&gt;</t>
  </si>
  <si>
    <t>      &lt;section class="section section-archive" aria-labelledby="archiv-titel" id="weeks-cards"&gt;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</si>
  <si>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p</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"eyebrow"</t>
    </r>
    <r>
      <rPr>
        <sz val="11"/>
        <color rgb="FF808080"/>
        <rFont val="Consolas"/>
        <family val="3"/>
        <charset val="1"/>
      </rPr>
      <t>&gt;</t>
    </r>
    <r>
      <rPr>
        <sz val="11"/>
        <color rgb="FFBBBEBF"/>
        <rFont val="Consolas"/>
        <family val="3"/>
        <charset val="1"/>
      </rPr>
      <t>Anmeldung</t>
    </r>
    <r>
      <rPr>
        <sz val="11"/>
        <color rgb="FF808080"/>
        <rFont val="Consolas"/>
        <family val="3"/>
        <charset val="1"/>
      </rPr>
      <t>&lt;/</t>
    </r>
    <r>
      <rPr>
        <sz val="11"/>
        <color rgb="FF7EE787"/>
        <rFont val="Consolas"/>
        <family val="3"/>
        <charset val="1"/>
      </rPr>
      <t>p</t>
    </r>
    <r>
      <rPr>
        <sz val="11"/>
        <color rgb="FF808080"/>
        <rFont val="Consolas"/>
        <family val="3"/>
        <charset val="1"/>
      </rPr>
      <t>&gt;</t>
    </r>
  </si>
  <si>
    <t>            &lt;p class="eyebrow"&gt;Anmeldung&lt;/p&gt;</t>
  </si>
  <si>
    <t>        &lt;div class="container"&gt;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</si>
  <si>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h1</t>
    </r>
    <r>
      <rPr>
        <sz val="11"/>
        <color rgb="FF808080"/>
        <rFont val="Consolas"/>
        <family val="3"/>
        <charset val="1"/>
      </rPr>
      <t>&gt;</t>
    </r>
    <r>
      <rPr>
        <sz val="11"/>
        <color rgb="FFBBBEBF"/>
        <rFont val="Consolas"/>
        <family val="3"/>
        <charset val="1"/>
      </rPr>
      <t>Jetzt für die Online-Exerzitien anmelden</t>
    </r>
    <r>
      <rPr>
        <sz val="11"/>
        <color rgb="FF808080"/>
        <rFont val="Consolas"/>
        <family val="3"/>
        <charset val="1"/>
      </rPr>
      <t>&lt;/</t>
    </r>
    <r>
      <rPr>
        <sz val="11"/>
        <color rgb="FF7EE787"/>
        <rFont val="Consolas"/>
        <family val="3"/>
        <charset val="1"/>
      </rPr>
      <t>h1</t>
    </r>
    <r>
      <rPr>
        <sz val="11"/>
        <color rgb="FF808080"/>
        <rFont val="Consolas"/>
        <family val="3"/>
        <charset val="1"/>
      </rPr>
      <t>&gt;</t>
    </r>
  </si>
  <si>
    <t>            &lt;h1&gt;Jetzt für die Online-Exerzitien anmelden&lt;/h1&gt;</t>
  </si>
  <si>
    <t>          &lt;div class="section-head"&gt;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</si>
  <si>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p</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"lead"</t>
    </r>
    <r>
      <rPr>
        <sz val="11"/>
        <color rgb="FF808080"/>
        <rFont val="Consolas"/>
        <family val="3"/>
        <charset val="1"/>
      </rPr>
      <t>&gt;</t>
    </r>
  </si>
  <si>
    <t>            &lt;p class="lead"&gt;</t>
  </si>
  <si>
    <t>            &lt;p class="section-label"&gt;Impulse&lt;/p&gt;</t>
  </si>
  <si>
    <t>              Erhalten Sie die Impulse der Exerzitien direkt per E-Mail und</t>
  </si>
  <si>
    <t>            &lt;h2&gt;Die wöchentlichen Meditationen der Exerzitien&lt;/h2&gt;</t>
  </si>
  <si>
    <t>              gehen Sie den Weg durch Advent oder Fastenzeit im Geist des</t>
  </si>
  <si>
    <t>              Karmel.</t>
  </si>
  <si>
    <r>
      <rPr>
        <sz val="11"/>
        <color rgb="FFBBBEBF"/>
        <rFont val="Consolas"/>
        <family val="3"/>
        <charset val="1"/>
      </rPr>
      <t xml:space="preserve">            </t>
    </r>
    <r>
      <rPr>
        <sz val="11"/>
        <color rgb="FF808080"/>
        <rFont val="Consolas"/>
        <family val="3"/>
        <charset val="1"/>
      </rPr>
      <t>&lt;/</t>
    </r>
    <r>
      <rPr>
        <sz val="11"/>
        <color rgb="FF7EE787"/>
        <rFont val="Consolas"/>
        <family val="3"/>
        <charset val="1"/>
      </rPr>
      <t>p</t>
    </r>
    <r>
      <rPr>
        <sz val="11"/>
        <color rgb="FF808080"/>
        <rFont val="Consolas"/>
        <family val="3"/>
        <charset val="1"/>
      </rPr>
      <t>&gt;</t>
    </r>
  </si>
  <si>
    <t>            &lt;/p&gt;</t>
  </si>
  <si>
    <t>              Die Impulse werden hier erscheinen, wenn sie veröffentlicht sind...</t>
  </si>
  <si>
    <r>
      <rPr>
        <sz val="11"/>
        <color rgb="FFBBBEBF"/>
        <rFont val="Consolas"/>
        <family val="3"/>
        <charset val="1"/>
      </rPr>
      <t xml:space="preserve">            </t>
    </r>
    <r>
      <rPr>
        <sz val="11"/>
        <color rgb="FF808080"/>
        <rFont val="Consolas"/>
        <family val="3"/>
        <charset val="1"/>
      </rPr>
      <t>&lt;</t>
    </r>
    <r>
      <rPr>
        <sz val="11"/>
        <color rgb="FF7EE787"/>
        <rFont val="Consolas"/>
        <family val="3"/>
        <charset val="1"/>
      </rPr>
      <t>div</t>
    </r>
  </si>
  <si>
    <t>            &lt;div</t>
  </si>
  <si>
    <t>      &lt;!-- wird per JavaScript gefüllt --&gt;</t>
  </si>
  <si>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"form-placeholder"</t>
    </r>
  </si>
  <si>
    <t>              class="form-placeholder"</t>
  </si>
  <si>
    <t>    &lt;/div&gt;</t>
  </si>
  <si>
    <r>
      <rPr>
        <sz val="11"/>
        <color rgb="FFBBBEBF"/>
        <rFont val="Consolas"/>
        <family val="3"/>
        <charset val="1"/>
      </rPr>
      <t xml:space="preserve">              </t>
    </r>
    <r>
      <rPr>
        <sz val="11"/>
        <color rgb="FF9CDCFE"/>
        <rFont val="Consolas"/>
        <family val="3"/>
        <charset val="1"/>
      </rPr>
      <t>aria-label</t>
    </r>
    <r>
      <rPr>
        <sz val="11"/>
        <color rgb="FFBBBEBF"/>
        <rFont val="Consolas"/>
        <family val="3"/>
        <charset val="1"/>
      </rPr>
      <t>=</t>
    </r>
    <r>
      <rPr>
        <sz val="11"/>
        <color rgb="FFA5D6FF"/>
        <rFont val="Consolas"/>
        <family val="3"/>
        <charset val="1"/>
      </rPr>
      <t>"Platzhalter für Anmeldeformular"</t>
    </r>
  </si>
  <si>
    <t>              aria-label="Platzhalter für Anmeldeformular"</t>
  </si>
  <si>
    <r>
      <rPr>
        <sz val="11"/>
        <color rgb="FFBBBEBF"/>
        <rFont val="Consolas"/>
        <family val="3"/>
        <charset val="1"/>
      </rPr>
      <t xml:space="preserve">                </t>
    </r>
    <r>
      <rPr>
        <sz val="11"/>
        <color rgb="FF808080"/>
        <rFont val="Consolas"/>
        <family val="3"/>
        <charset val="1"/>
      </rPr>
      <t>&lt;</t>
    </r>
    <r>
      <rPr>
        <sz val="11"/>
        <color rgb="FF7EE787"/>
        <rFont val="Consolas"/>
        <family val="3"/>
        <charset val="1"/>
      </rPr>
      <t>p</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"form-label"</t>
    </r>
    <r>
      <rPr>
        <sz val="11"/>
        <color rgb="FF808080"/>
        <rFont val="Consolas"/>
        <family val="3"/>
        <charset val="1"/>
      </rPr>
      <t>&gt;</t>
    </r>
    <r>
      <rPr>
        <sz val="11"/>
        <color rgb="FFBBBEBF"/>
        <rFont val="Consolas"/>
        <family val="3"/>
        <charset val="1"/>
      </rPr>
      <t>Anmeldeformular</t>
    </r>
    <r>
      <rPr>
        <sz val="11"/>
        <color rgb="FF808080"/>
        <rFont val="Consolas"/>
        <family val="3"/>
        <charset val="1"/>
      </rPr>
      <t>&lt;/</t>
    </r>
    <r>
      <rPr>
        <sz val="11"/>
        <color rgb="FF7EE787"/>
        <rFont val="Consolas"/>
        <family val="3"/>
        <charset val="1"/>
      </rPr>
      <t>p</t>
    </r>
    <r>
      <rPr>
        <sz val="11"/>
        <color rgb="FF808080"/>
        <rFont val="Consolas"/>
        <family val="3"/>
        <charset val="1"/>
      </rPr>
      <t>&gt;</t>
    </r>
  </si>
  <si>
    <t>                &lt;p class="form-label"&gt;Anmeldeformular&lt;/p&gt;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</si>
  <si>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div</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"embed-box"</t>
    </r>
    <r>
      <rPr>
        <sz val="11"/>
        <color rgb="FF808080"/>
        <rFont val="Consolas"/>
        <family val="3"/>
        <charset val="1"/>
      </rPr>
      <t>&gt;</t>
    </r>
  </si>
  <si>
    <t>                &lt;div class="embed-box"&gt;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</si>
  <si>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section</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"section intro"</t>
    </r>
    <r>
      <rPr>
        <sz val="11"/>
        <color rgb="FFBBBEBF"/>
        <rFont val="Consolas"/>
        <family val="3"/>
        <charset val="1"/>
      </rPr>
      <t xml:space="preserve"> </t>
    </r>
    <r>
      <rPr>
        <sz val="11"/>
        <color rgb="FF9CDCFE"/>
        <rFont val="Consolas"/>
        <family val="3"/>
        <charset val="1"/>
      </rPr>
      <t>id</t>
    </r>
    <r>
      <rPr>
        <sz val="11"/>
        <color rgb="FFBBBEBF"/>
        <rFont val="Consolas"/>
        <family val="3"/>
        <charset val="1"/>
      </rPr>
      <t>=</t>
    </r>
    <r>
      <rPr>
        <sz val="11"/>
        <color rgb="FFA5D6FF"/>
        <rFont val="Consolas"/>
        <family val="3"/>
        <charset val="1"/>
      </rPr>
      <t>"abonniere"</t>
    </r>
    <r>
      <rPr>
        <sz val="11"/>
        <color rgb="FF808080"/>
        <rFont val="Consolas"/>
        <family val="3"/>
        <charset val="1"/>
      </rPr>
      <t>&gt;</t>
    </r>
  </si>
  <si>
    <t>                  &lt;section class="section intro" id="abonniere"&gt;</t>
  </si>
  <si>
    <r>
      <rPr>
        <sz val="11"/>
        <color rgb="FF808080"/>
        <rFont val="Consolas"/>
        <family val="3"/>
        <charset val="1"/>
      </rPr>
      <t>&lt;</t>
    </r>
    <r>
      <rPr>
        <sz val="11"/>
        <color rgb="FF7EE787"/>
        <rFont val="Consolas"/>
        <family val="3"/>
        <charset val="1"/>
      </rPr>
      <t>div</t>
    </r>
    <r>
      <rPr>
        <sz val="11"/>
        <color rgb="FFBBBEBF"/>
        <rFont val="Consolas"/>
        <family val="3"/>
        <charset val="1"/>
      </rPr>
      <t xml:space="preserve"> </t>
    </r>
    <r>
      <rPr>
        <sz val="11"/>
        <color rgb="FF9CDCFE"/>
        <rFont val="Consolas"/>
        <family val="3"/>
        <charset val="1"/>
      </rPr>
      <t>id</t>
    </r>
    <r>
      <rPr>
        <sz val="11"/>
        <color rgb="FFBBBEBF"/>
        <rFont val="Consolas"/>
        <family val="3"/>
        <charset val="1"/>
      </rPr>
      <t>=</t>
    </r>
    <r>
      <rPr>
        <sz val="11"/>
        <color rgb="FFA5D6FF"/>
        <rFont val="Consolas"/>
        <family val="3"/>
        <charset val="1"/>
      </rPr>
      <t>"mc_embed_shell"</t>
    </r>
    <r>
      <rPr>
        <sz val="11"/>
        <color rgb="FF808080"/>
        <rFont val="Consolas"/>
        <family val="3"/>
        <charset val="1"/>
      </rPr>
      <t>&gt;</t>
    </r>
    <r>
      <rPr>
        <sz val="11"/>
        <color rgb="FFBBBEBF"/>
        <rFont val="Consolas"/>
        <family val="3"/>
        <charset val="1"/>
      </rPr>
      <t xml:space="preserve">  </t>
    </r>
  </si>
  <si>
    <t>&lt;div id="mc_embed_shell"&gt;  </t>
  </si>
  <si>
    <r>
      <rPr>
        <sz val="11"/>
        <color rgb="FF808080"/>
        <rFont val="Consolas"/>
        <family val="3"/>
        <charset val="1"/>
      </rPr>
      <t>&lt;</t>
    </r>
    <r>
      <rPr>
        <sz val="11"/>
        <color rgb="FF7EE787"/>
        <rFont val="Consolas"/>
        <family val="3"/>
        <charset val="1"/>
      </rPr>
      <t>div</t>
    </r>
    <r>
      <rPr>
        <sz val="11"/>
        <color rgb="FFBBBEBF"/>
        <rFont val="Consolas"/>
        <family val="3"/>
        <charset val="1"/>
      </rPr>
      <t xml:space="preserve"> </t>
    </r>
    <r>
      <rPr>
        <sz val="11"/>
        <color rgb="FF9CDCFE"/>
        <rFont val="Consolas"/>
        <family val="3"/>
        <charset val="1"/>
      </rPr>
      <t>id</t>
    </r>
    <r>
      <rPr>
        <sz val="11"/>
        <color rgb="FFBBBEBF"/>
        <rFont val="Consolas"/>
        <family val="3"/>
        <charset val="1"/>
      </rPr>
      <t>=</t>
    </r>
    <r>
      <rPr>
        <sz val="11"/>
        <color rgb="FFA5D6FF"/>
        <rFont val="Consolas"/>
        <family val="3"/>
        <charset val="1"/>
      </rPr>
      <t>"mc_embed_signup"</t>
    </r>
    <r>
      <rPr>
        <sz val="11"/>
        <color rgb="FF808080"/>
        <rFont val="Consolas"/>
        <family val="3"/>
        <charset val="1"/>
      </rPr>
      <t>&gt;</t>
    </r>
  </si>
  <si>
    <t>&lt;div id="mc_embed_signup"&gt;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</si>
  <si>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form</t>
    </r>
    <r>
      <rPr>
        <sz val="11"/>
        <color rgb="FFBBBEBF"/>
        <rFont val="Consolas"/>
        <family val="3"/>
        <charset val="1"/>
      </rPr>
      <t xml:space="preserve"> </t>
    </r>
    <r>
      <rPr>
        <sz val="11"/>
        <color rgb="FF9CDCFE"/>
        <rFont val="Consolas"/>
        <family val="3"/>
        <charset val="1"/>
      </rPr>
      <t>action</t>
    </r>
    <r>
      <rPr>
        <sz val="11"/>
        <color rgb="FFBBBEBF"/>
        <rFont val="Consolas"/>
        <family val="3"/>
        <charset val="1"/>
      </rPr>
      <t>=</t>
    </r>
    <r>
      <rPr>
        <sz val="11"/>
        <color rgb="FFA5D6FF"/>
        <rFont val="Consolas"/>
        <family val="3"/>
        <charset val="1"/>
      </rPr>
      <t>"https://karmel.us6.list-manage.com/subscribe/post?u=7c9d2aa0ecc1fde64fd44bc67</t>
    </r>
    <r>
      <rPr>
        <sz val="11"/>
        <color rgb="FFFF7B72"/>
        <rFont val="Consolas"/>
        <family val="3"/>
        <charset val="1"/>
      </rPr>
      <t>&amp;amp;</t>
    </r>
    <r>
      <rPr>
        <sz val="11"/>
        <color rgb="FFA5D6FF"/>
        <rFont val="Consolas"/>
        <family val="3"/>
        <charset val="1"/>
      </rPr>
      <t>id=10430a5833</t>
    </r>
    <r>
      <rPr>
        <sz val="11"/>
        <color rgb="FFFF7B72"/>
        <rFont val="Consolas"/>
        <family val="3"/>
        <charset val="1"/>
      </rPr>
      <t>&amp;amp;</t>
    </r>
    <r>
      <rPr>
        <sz val="11"/>
        <color rgb="FFA5D6FF"/>
        <rFont val="Consolas"/>
        <family val="3"/>
        <charset val="1"/>
      </rPr>
      <t>f_id=009254e3f0"</t>
    </r>
    <r>
      <rPr>
        <sz val="11"/>
        <color rgb="FFBBBEBF"/>
        <rFont val="Consolas"/>
        <family val="3"/>
        <charset val="1"/>
      </rPr>
      <t xml:space="preserve"> </t>
    </r>
    <r>
      <rPr>
        <sz val="11"/>
        <color rgb="FF9CDCFE"/>
        <rFont val="Consolas"/>
        <family val="3"/>
        <charset val="1"/>
      </rPr>
      <t>method</t>
    </r>
    <r>
      <rPr>
        <sz val="11"/>
        <color rgb="FFBBBEBF"/>
        <rFont val="Consolas"/>
        <family val="3"/>
        <charset val="1"/>
      </rPr>
      <t>=</t>
    </r>
    <r>
      <rPr>
        <sz val="11"/>
        <color rgb="FFA5D6FF"/>
        <rFont val="Consolas"/>
        <family val="3"/>
        <charset val="1"/>
      </rPr>
      <t>"post"</t>
    </r>
    <r>
      <rPr>
        <sz val="11"/>
        <color rgb="FFBBBEBF"/>
        <rFont val="Consolas"/>
        <family val="3"/>
        <charset val="1"/>
      </rPr>
      <t xml:space="preserve"> </t>
    </r>
    <r>
      <rPr>
        <sz val="11"/>
        <color rgb="FF9CDCFE"/>
        <rFont val="Consolas"/>
        <family val="3"/>
        <charset val="1"/>
      </rPr>
      <t>id</t>
    </r>
    <r>
      <rPr>
        <sz val="11"/>
        <color rgb="FFBBBEBF"/>
        <rFont val="Consolas"/>
        <family val="3"/>
        <charset val="1"/>
      </rPr>
      <t>=</t>
    </r>
    <r>
      <rPr>
        <sz val="11"/>
        <color rgb="FFA5D6FF"/>
        <rFont val="Consolas"/>
        <family val="3"/>
        <charset val="1"/>
      </rPr>
      <t>"mc-embedded-subscribe-form"</t>
    </r>
    <r>
      <rPr>
        <sz val="11"/>
        <color rgb="FFBBBEBF"/>
        <rFont val="Consolas"/>
        <family val="3"/>
        <charset val="1"/>
      </rPr>
      <t xml:space="preserve"> </t>
    </r>
    <r>
      <rPr>
        <sz val="11"/>
        <color rgb="FF9CDCFE"/>
        <rFont val="Consolas"/>
        <family val="3"/>
        <charset val="1"/>
      </rPr>
      <t>name</t>
    </r>
    <r>
      <rPr>
        <sz val="11"/>
        <color rgb="FFBBBEBF"/>
        <rFont val="Consolas"/>
        <family val="3"/>
        <charset val="1"/>
      </rPr>
      <t>=</t>
    </r>
    <r>
      <rPr>
        <sz val="11"/>
        <color rgb="FFA5D6FF"/>
        <rFont val="Consolas"/>
        <family val="3"/>
        <charset val="1"/>
      </rPr>
      <t>"mc-embedded-subscribe-form"</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"validate"</t>
    </r>
    <r>
      <rPr>
        <sz val="11"/>
        <color rgb="FFBBBEBF"/>
        <rFont val="Consolas"/>
        <family val="3"/>
        <charset val="1"/>
      </rPr>
      <t xml:space="preserve"> </t>
    </r>
    <r>
      <rPr>
        <sz val="11"/>
        <color rgb="FF9CDCFE"/>
        <rFont val="Consolas"/>
        <family val="3"/>
        <charset val="1"/>
      </rPr>
      <t>target</t>
    </r>
    <r>
      <rPr>
        <sz val="11"/>
        <color rgb="FFBBBEBF"/>
        <rFont val="Consolas"/>
        <family val="3"/>
        <charset val="1"/>
      </rPr>
      <t>=</t>
    </r>
    <r>
      <rPr>
        <sz val="11"/>
        <color rgb="FFA5D6FF"/>
        <rFont val="Consolas"/>
        <family val="3"/>
        <charset val="1"/>
      </rPr>
      <t>"_self"</t>
    </r>
    <r>
      <rPr>
        <sz val="11"/>
        <color rgb="FFBBBEBF"/>
        <rFont val="Consolas"/>
        <family val="3"/>
        <charset val="1"/>
      </rPr>
      <t xml:space="preserve"> </t>
    </r>
    <r>
      <rPr>
        <sz val="11"/>
        <color rgb="FF9CDCFE"/>
        <rFont val="Consolas"/>
        <family val="3"/>
        <charset val="1"/>
      </rPr>
      <t>novalidate</t>
    </r>
    <r>
      <rPr>
        <sz val="11"/>
        <color rgb="FFBBBEBF"/>
        <rFont val="Consolas"/>
        <family val="3"/>
        <charset val="1"/>
      </rPr>
      <t>=</t>
    </r>
    <r>
      <rPr>
        <sz val="11"/>
        <color rgb="FFA5D6FF"/>
        <rFont val="Consolas"/>
        <family val="3"/>
        <charset val="1"/>
      </rPr>
      <t>""</t>
    </r>
    <r>
      <rPr>
        <sz val="11"/>
        <color rgb="FF808080"/>
        <rFont val="Consolas"/>
        <family val="3"/>
        <charset val="1"/>
      </rPr>
      <t>&gt;</t>
    </r>
  </si>
  <si>
    <t>    &lt;form action="https://karmel.us6.list-manage.com/subscribe/post?u=7c9d2aa0ecc1fde64fd44bc67&amp;amp;id=10430a5833&amp;amp;f_id=009254e3f0" method="post" id="mc-embedded-subscribe-form" name="mc-embedded-subscribe-form" class="validate" target="_self" novalidate=""&gt;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</si>
  <si>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div</t>
    </r>
    <r>
      <rPr>
        <sz val="11"/>
        <color rgb="FFBBBEBF"/>
        <rFont val="Consolas"/>
        <family val="3"/>
        <charset val="1"/>
      </rPr>
      <t xml:space="preserve"> </t>
    </r>
    <r>
      <rPr>
        <sz val="11"/>
        <color rgb="FF9CDCFE"/>
        <rFont val="Consolas"/>
        <family val="3"/>
        <charset val="1"/>
      </rPr>
      <t>id</t>
    </r>
    <r>
      <rPr>
        <sz val="11"/>
        <color rgb="FFBBBEBF"/>
        <rFont val="Consolas"/>
        <family val="3"/>
        <charset val="1"/>
      </rPr>
      <t>=</t>
    </r>
    <r>
      <rPr>
        <sz val="11"/>
        <color rgb="FFA5D6FF"/>
        <rFont val="Consolas"/>
        <family val="3"/>
        <charset val="1"/>
      </rPr>
      <t>"mc_embed_signup_scroll"</t>
    </r>
    <r>
      <rPr>
        <sz val="11"/>
        <color rgb="FF808080"/>
        <rFont val="Consolas"/>
        <family val="3"/>
        <charset val="1"/>
      </rPr>
      <t>&gt;</t>
    </r>
  </si>
  <si>
    <t>        &lt;div id="mc_embed_signup_scroll"&gt;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</si>
  <si>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div</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"mc-field-group"</t>
    </r>
    <r>
      <rPr>
        <sz val="11"/>
        <color rgb="FF808080"/>
        <rFont val="Consolas"/>
        <family val="3"/>
        <charset val="1"/>
      </rPr>
      <t>&gt;&lt;</t>
    </r>
    <r>
      <rPr>
        <sz val="11"/>
        <color rgb="FF7EE787"/>
        <rFont val="Consolas"/>
        <family val="3"/>
        <charset val="1"/>
      </rPr>
      <t>label</t>
    </r>
    <r>
      <rPr>
        <sz val="11"/>
        <color rgb="FFBBBEBF"/>
        <rFont val="Consolas"/>
        <family val="3"/>
        <charset val="1"/>
      </rPr>
      <t xml:space="preserve"> </t>
    </r>
    <r>
      <rPr>
        <sz val="11"/>
        <color rgb="FF9CDCFE"/>
        <rFont val="Consolas"/>
        <family val="3"/>
        <charset val="1"/>
      </rPr>
      <t>for</t>
    </r>
    <r>
      <rPr>
        <sz val="11"/>
        <color rgb="FFBBBEBF"/>
        <rFont val="Consolas"/>
        <family val="3"/>
        <charset val="1"/>
      </rPr>
      <t>=</t>
    </r>
    <r>
      <rPr>
        <sz val="11"/>
        <color rgb="FFA5D6FF"/>
        <rFont val="Consolas"/>
        <family val="3"/>
        <charset val="1"/>
      </rPr>
      <t>"mce-EMAIL"</t>
    </r>
    <r>
      <rPr>
        <sz val="11"/>
        <color rgb="FF808080"/>
        <rFont val="Consolas"/>
        <family val="3"/>
        <charset val="1"/>
      </rPr>
      <t>&gt;</t>
    </r>
    <r>
      <rPr>
        <sz val="11"/>
        <color rgb="FFBBBEBF"/>
        <rFont val="Consolas"/>
        <family val="3"/>
        <charset val="1"/>
      </rPr>
      <t>eMail Adresse</t>
    </r>
    <r>
      <rPr>
        <sz val="11"/>
        <color rgb="FF808080"/>
        <rFont val="Consolas"/>
        <family val="3"/>
        <charset val="1"/>
      </rPr>
      <t>&lt;</t>
    </r>
    <r>
      <rPr>
        <sz val="11"/>
        <color rgb="FF7EE787"/>
        <rFont val="Consolas"/>
        <family val="3"/>
        <charset val="1"/>
      </rPr>
      <t>span</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"asterisk"</t>
    </r>
    <r>
      <rPr>
        <sz val="11"/>
        <color rgb="FF808080"/>
        <rFont val="Consolas"/>
        <family val="3"/>
        <charset val="1"/>
      </rPr>
      <t>&gt;</t>
    </r>
    <r>
      <rPr>
        <sz val="11"/>
        <color rgb="FFBBBEBF"/>
        <rFont val="Consolas"/>
        <family val="3"/>
        <charset val="1"/>
      </rPr>
      <t>* (erforderlich)</t>
    </r>
    <r>
      <rPr>
        <sz val="11"/>
        <color rgb="FF808080"/>
        <rFont val="Consolas"/>
        <family val="3"/>
        <charset val="1"/>
      </rPr>
      <t>&lt;/</t>
    </r>
    <r>
      <rPr>
        <sz val="11"/>
        <color rgb="FF7EE787"/>
        <rFont val="Consolas"/>
        <family val="3"/>
        <charset val="1"/>
      </rPr>
      <t>span</t>
    </r>
    <r>
      <rPr>
        <sz val="11"/>
        <color rgb="FF808080"/>
        <rFont val="Consolas"/>
        <family val="3"/>
        <charset val="1"/>
      </rPr>
      <t>&gt;&lt;/</t>
    </r>
    <r>
      <rPr>
        <sz val="11"/>
        <color rgb="FF7EE787"/>
        <rFont val="Consolas"/>
        <family val="3"/>
        <charset val="1"/>
      </rPr>
      <t>label</t>
    </r>
    <r>
      <rPr>
        <sz val="11"/>
        <color rgb="FF808080"/>
        <rFont val="Consolas"/>
        <family val="3"/>
        <charset val="1"/>
      </rPr>
      <t>&gt;</t>
    </r>
  </si>
  <si>
    <t>            &lt;div class="mc-field-group"&gt;&lt;label for="mce-EMAIL"&gt;eMail Adresse&lt;span class="asterisk"&gt;* (erforderlich)&lt;/span&gt;&lt;/label&gt;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</si>
  <si>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input</t>
    </r>
    <r>
      <rPr>
        <sz val="11"/>
        <color rgb="FFBBBEBF"/>
        <rFont val="Consolas"/>
        <family val="3"/>
        <charset val="1"/>
      </rPr>
      <t xml:space="preserve"> </t>
    </r>
    <r>
      <rPr>
        <sz val="11"/>
        <color rgb="FF9CDCFE"/>
        <rFont val="Consolas"/>
        <family val="3"/>
        <charset val="1"/>
      </rPr>
      <t>type</t>
    </r>
    <r>
      <rPr>
        <sz val="11"/>
        <color rgb="FFBBBEBF"/>
        <rFont val="Consolas"/>
        <family val="3"/>
        <charset val="1"/>
      </rPr>
      <t>=</t>
    </r>
    <r>
      <rPr>
        <sz val="11"/>
        <color rgb="FFA5D6FF"/>
        <rFont val="Consolas"/>
        <family val="3"/>
        <charset val="1"/>
      </rPr>
      <t>"email"</t>
    </r>
    <r>
      <rPr>
        <sz val="11"/>
        <color rgb="FFBBBEBF"/>
        <rFont val="Consolas"/>
        <family val="3"/>
        <charset val="1"/>
      </rPr>
      <t xml:space="preserve"> </t>
    </r>
    <r>
      <rPr>
        <sz val="11"/>
        <color rgb="FF9CDCFE"/>
        <rFont val="Consolas"/>
        <family val="3"/>
        <charset val="1"/>
      </rPr>
      <t>name</t>
    </r>
    <r>
      <rPr>
        <sz val="11"/>
        <color rgb="FFBBBEBF"/>
        <rFont val="Consolas"/>
        <family val="3"/>
        <charset val="1"/>
      </rPr>
      <t>=</t>
    </r>
    <r>
      <rPr>
        <sz val="11"/>
        <color rgb="FFA5D6FF"/>
        <rFont val="Consolas"/>
        <family val="3"/>
        <charset val="1"/>
      </rPr>
      <t>"EMAIL"</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"required email"</t>
    </r>
    <r>
      <rPr>
        <sz val="11"/>
        <color rgb="FFBBBEBF"/>
        <rFont val="Consolas"/>
        <family val="3"/>
        <charset val="1"/>
      </rPr>
      <t xml:space="preserve"> </t>
    </r>
    <r>
      <rPr>
        <sz val="11"/>
        <color rgb="FF9CDCFE"/>
        <rFont val="Consolas"/>
        <family val="3"/>
        <charset val="1"/>
      </rPr>
      <t>id</t>
    </r>
    <r>
      <rPr>
        <sz val="11"/>
        <color rgb="FFBBBEBF"/>
        <rFont val="Consolas"/>
        <family val="3"/>
        <charset val="1"/>
      </rPr>
      <t>=</t>
    </r>
    <r>
      <rPr>
        <sz val="11"/>
        <color rgb="FFA5D6FF"/>
        <rFont val="Consolas"/>
        <family val="3"/>
        <charset val="1"/>
      </rPr>
      <t>"mce-EMAIL"</t>
    </r>
    <r>
      <rPr>
        <sz val="11"/>
        <color rgb="FFBBBEBF"/>
        <rFont val="Consolas"/>
        <family val="3"/>
        <charset val="1"/>
      </rPr>
      <t xml:space="preserve"> </t>
    </r>
    <r>
      <rPr>
        <sz val="11"/>
        <color rgb="FF9CDCFE"/>
        <rFont val="Consolas"/>
        <family val="3"/>
        <charset val="1"/>
      </rPr>
      <t>required</t>
    </r>
    <r>
      <rPr>
        <sz val="11"/>
        <color rgb="FFBBBEBF"/>
        <rFont val="Consolas"/>
        <family val="3"/>
        <charset val="1"/>
      </rPr>
      <t>=</t>
    </r>
    <r>
      <rPr>
        <sz val="11"/>
        <color rgb="FFA5D6FF"/>
        <rFont val="Consolas"/>
        <family val="3"/>
        <charset val="1"/>
      </rPr>
      <t>""</t>
    </r>
    <r>
      <rPr>
        <sz val="11"/>
        <color rgb="FFBBBEBF"/>
        <rFont val="Consolas"/>
        <family val="3"/>
        <charset val="1"/>
      </rPr>
      <t xml:space="preserve"> </t>
    </r>
    <r>
      <rPr>
        <sz val="11"/>
        <color rgb="FF9CDCFE"/>
        <rFont val="Consolas"/>
        <family val="3"/>
        <charset val="1"/>
      </rPr>
      <t>value</t>
    </r>
    <r>
      <rPr>
        <sz val="11"/>
        <color rgb="FFBBBEBF"/>
        <rFont val="Consolas"/>
        <family val="3"/>
        <charset val="1"/>
      </rPr>
      <t>=</t>
    </r>
    <r>
      <rPr>
        <sz val="11"/>
        <color rgb="FFA5D6FF"/>
        <rFont val="Consolas"/>
        <family val="3"/>
        <charset val="1"/>
      </rPr>
      <t>""</t>
    </r>
    <r>
      <rPr>
        <sz val="11"/>
        <color rgb="FF808080"/>
        <rFont val="Consolas"/>
        <family val="3"/>
        <charset val="1"/>
      </rPr>
      <t>&gt;&lt;/</t>
    </r>
    <r>
      <rPr>
        <sz val="11"/>
        <color rgb="FF7EE787"/>
        <rFont val="Consolas"/>
        <family val="3"/>
        <charset val="1"/>
      </rPr>
      <t>div</t>
    </r>
    <r>
      <rPr>
        <sz val="11"/>
        <color rgb="FF808080"/>
        <rFont val="Consolas"/>
        <family val="3"/>
        <charset val="1"/>
      </rPr>
      <t>&gt;</t>
    </r>
  </si>
  <si>
    <t>              &lt;input type="email" name="EMAIL" class="required email" id="mce-EMAIL" required="" value=""&gt;&lt;/div&gt;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</si>
  <si>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div</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"mc-field-group"</t>
    </r>
    <r>
      <rPr>
        <sz val="11"/>
        <color rgb="FF808080"/>
        <rFont val="Consolas"/>
        <family val="3"/>
        <charset val="1"/>
      </rPr>
      <t>&gt;&lt;</t>
    </r>
    <r>
      <rPr>
        <sz val="11"/>
        <color rgb="FF7EE787"/>
        <rFont val="Consolas"/>
        <family val="3"/>
        <charset val="1"/>
      </rPr>
      <t>label</t>
    </r>
    <r>
      <rPr>
        <sz val="11"/>
        <color rgb="FFBBBEBF"/>
        <rFont val="Consolas"/>
        <family val="3"/>
        <charset val="1"/>
      </rPr>
      <t xml:space="preserve"> </t>
    </r>
    <r>
      <rPr>
        <sz val="11"/>
        <color rgb="FF9CDCFE"/>
        <rFont val="Consolas"/>
        <family val="3"/>
        <charset val="1"/>
      </rPr>
      <t>for</t>
    </r>
    <r>
      <rPr>
        <sz val="11"/>
        <color rgb="FFBBBEBF"/>
        <rFont val="Consolas"/>
        <family val="3"/>
        <charset val="1"/>
      </rPr>
      <t>=</t>
    </r>
    <r>
      <rPr>
        <sz val="11"/>
        <color rgb="FFA5D6FF"/>
        <rFont val="Consolas"/>
        <family val="3"/>
        <charset val="1"/>
      </rPr>
      <t>"mce-FNAME"</t>
    </r>
    <r>
      <rPr>
        <sz val="11"/>
        <color rgb="FF808080"/>
        <rFont val="Consolas"/>
        <family val="3"/>
        <charset val="1"/>
      </rPr>
      <t>&gt;</t>
    </r>
    <r>
      <rPr>
        <sz val="11"/>
        <color rgb="FFBBBEBF"/>
        <rFont val="Consolas"/>
        <family val="3"/>
        <charset val="1"/>
      </rPr>
      <t xml:space="preserve">Vorname </t>
    </r>
    <r>
      <rPr>
        <sz val="11"/>
        <color rgb="FF808080"/>
        <rFont val="Consolas"/>
        <family val="3"/>
        <charset val="1"/>
      </rPr>
      <t>&lt;/</t>
    </r>
    <r>
      <rPr>
        <sz val="11"/>
        <color rgb="FF7EE787"/>
        <rFont val="Consolas"/>
        <family val="3"/>
        <charset val="1"/>
      </rPr>
      <t>label</t>
    </r>
    <r>
      <rPr>
        <sz val="11"/>
        <color rgb="FF808080"/>
        <rFont val="Consolas"/>
        <family val="3"/>
        <charset val="1"/>
      </rPr>
      <t>&gt;</t>
    </r>
  </si>
  <si>
    <t>              &lt;div class="mc-field-group"&gt;&lt;label for="mce-FNAME"&gt;Vorname &lt;/label&gt;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</si>
  <si>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input</t>
    </r>
    <r>
      <rPr>
        <sz val="11"/>
        <color rgb="FFBBBEBF"/>
        <rFont val="Consolas"/>
        <family val="3"/>
        <charset val="1"/>
      </rPr>
      <t xml:space="preserve"> </t>
    </r>
    <r>
      <rPr>
        <sz val="11"/>
        <color rgb="FF9CDCFE"/>
        <rFont val="Consolas"/>
        <family val="3"/>
        <charset val="1"/>
      </rPr>
      <t>type</t>
    </r>
    <r>
      <rPr>
        <sz val="11"/>
        <color rgb="FFBBBEBF"/>
        <rFont val="Consolas"/>
        <family val="3"/>
        <charset val="1"/>
      </rPr>
      <t>=</t>
    </r>
    <r>
      <rPr>
        <sz val="11"/>
        <color rgb="FFA5D6FF"/>
        <rFont val="Consolas"/>
        <family val="3"/>
        <charset val="1"/>
      </rPr>
      <t>"text"</t>
    </r>
    <r>
      <rPr>
        <sz val="11"/>
        <color rgb="FFBBBEBF"/>
        <rFont val="Consolas"/>
        <family val="3"/>
        <charset val="1"/>
      </rPr>
      <t xml:space="preserve"> </t>
    </r>
    <r>
      <rPr>
        <sz val="11"/>
        <color rgb="FF9CDCFE"/>
        <rFont val="Consolas"/>
        <family val="3"/>
        <charset val="1"/>
      </rPr>
      <t>name</t>
    </r>
    <r>
      <rPr>
        <sz val="11"/>
        <color rgb="FFBBBEBF"/>
        <rFont val="Consolas"/>
        <family val="3"/>
        <charset val="1"/>
      </rPr>
      <t>=</t>
    </r>
    <r>
      <rPr>
        <sz val="11"/>
        <color rgb="FFA5D6FF"/>
        <rFont val="Consolas"/>
        <family val="3"/>
        <charset val="1"/>
      </rPr>
      <t>"FNAME"</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 text"</t>
    </r>
    <r>
      <rPr>
        <sz val="11"/>
        <color rgb="FFBBBEBF"/>
        <rFont val="Consolas"/>
        <family val="3"/>
        <charset val="1"/>
      </rPr>
      <t xml:space="preserve"> </t>
    </r>
    <r>
      <rPr>
        <sz val="11"/>
        <color rgb="FF9CDCFE"/>
        <rFont val="Consolas"/>
        <family val="3"/>
        <charset val="1"/>
      </rPr>
      <t>id</t>
    </r>
    <r>
      <rPr>
        <sz val="11"/>
        <color rgb="FFBBBEBF"/>
        <rFont val="Consolas"/>
        <family val="3"/>
        <charset val="1"/>
      </rPr>
      <t>=</t>
    </r>
    <r>
      <rPr>
        <sz val="11"/>
        <color rgb="FFA5D6FF"/>
        <rFont val="Consolas"/>
        <family val="3"/>
        <charset val="1"/>
      </rPr>
      <t>"mce-FNAME"</t>
    </r>
    <r>
      <rPr>
        <sz val="11"/>
        <color rgb="FFBBBEBF"/>
        <rFont val="Consolas"/>
        <family val="3"/>
        <charset val="1"/>
      </rPr>
      <t xml:space="preserve"> </t>
    </r>
    <r>
      <rPr>
        <sz val="11"/>
        <color rgb="FF9CDCFE"/>
        <rFont val="Consolas"/>
        <family val="3"/>
        <charset val="1"/>
      </rPr>
      <t>value</t>
    </r>
    <r>
      <rPr>
        <sz val="11"/>
        <color rgb="FFBBBEBF"/>
        <rFont val="Consolas"/>
        <family val="3"/>
        <charset val="1"/>
      </rPr>
      <t>=</t>
    </r>
    <r>
      <rPr>
        <sz val="11"/>
        <color rgb="FFA5D6FF"/>
        <rFont val="Consolas"/>
        <family val="3"/>
        <charset val="1"/>
      </rPr>
      <t>""</t>
    </r>
    <r>
      <rPr>
        <sz val="11"/>
        <color rgb="FF808080"/>
        <rFont val="Consolas"/>
        <family val="3"/>
        <charset val="1"/>
      </rPr>
      <t>&gt;&lt;/</t>
    </r>
    <r>
      <rPr>
        <sz val="11"/>
        <color rgb="FF7EE787"/>
        <rFont val="Consolas"/>
        <family val="3"/>
        <charset val="1"/>
      </rPr>
      <t>div</t>
    </r>
    <r>
      <rPr>
        <sz val="11"/>
        <color rgb="FF808080"/>
        <rFont val="Consolas"/>
        <family val="3"/>
        <charset val="1"/>
      </rPr>
      <t>&gt;</t>
    </r>
  </si>
  <si>
    <t>                &lt;input type="text" name="FNAME" class=" text" id="mce-FNAME" value=""&gt;&lt;/div&gt;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</si>
  <si>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div</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"mc-field-group"</t>
    </r>
    <r>
      <rPr>
        <sz val="11"/>
        <color rgb="FF808080"/>
        <rFont val="Consolas"/>
        <family val="3"/>
        <charset val="1"/>
      </rPr>
      <t>&gt;&lt;</t>
    </r>
    <r>
      <rPr>
        <sz val="11"/>
        <color rgb="FF7EE787"/>
        <rFont val="Consolas"/>
        <family val="3"/>
        <charset val="1"/>
      </rPr>
      <t>label</t>
    </r>
    <r>
      <rPr>
        <sz val="11"/>
        <color rgb="FFBBBEBF"/>
        <rFont val="Consolas"/>
        <family val="3"/>
        <charset val="1"/>
      </rPr>
      <t xml:space="preserve"> </t>
    </r>
    <r>
      <rPr>
        <sz val="11"/>
        <color rgb="FF9CDCFE"/>
        <rFont val="Consolas"/>
        <family val="3"/>
        <charset val="1"/>
      </rPr>
      <t>for</t>
    </r>
    <r>
      <rPr>
        <sz val="11"/>
        <color rgb="FFBBBEBF"/>
        <rFont val="Consolas"/>
        <family val="3"/>
        <charset val="1"/>
      </rPr>
      <t>=</t>
    </r>
    <r>
      <rPr>
        <sz val="11"/>
        <color rgb="FFA5D6FF"/>
        <rFont val="Consolas"/>
        <family val="3"/>
        <charset val="1"/>
      </rPr>
      <t>"mce-LNAME"</t>
    </r>
    <r>
      <rPr>
        <sz val="11"/>
        <color rgb="FF808080"/>
        <rFont val="Consolas"/>
        <family val="3"/>
        <charset val="1"/>
      </rPr>
      <t>&gt;</t>
    </r>
    <r>
      <rPr>
        <sz val="11"/>
        <color rgb="FFBBBEBF"/>
        <rFont val="Consolas"/>
        <family val="3"/>
        <charset val="1"/>
      </rPr>
      <t xml:space="preserve">Nachname </t>
    </r>
    <r>
      <rPr>
        <sz val="11"/>
        <color rgb="FF808080"/>
        <rFont val="Consolas"/>
        <family val="3"/>
        <charset val="1"/>
      </rPr>
      <t>&lt;/</t>
    </r>
    <r>
      <rPr>
        <sz val="11"/>
        <color rgb="FF7EE787"/>
        <rFont val="Consolas"/>
        <family val="3"/>
        <charset val="1"/>
      </rPr>
      <t>label</t>
    </r>
    <r>
      <rPr>
        <sz val="11"/>
        <color rgb="FF808080"/>
        <rFont val="Consolas"/>
        <family val="3"/>
        <charset val="1"/>
      </rPr>
      <t>&gt;</t>
    </r>
  </si>
  <si>
    <t>                &lt;div class="mc-field-group"&gt;&lt;label for="mce-LNAME"&gt;Nachname &lt;/label&gt;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</si>
  <si>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input</t>
    </r>
    <r>
      <rPr>
        <sz val="11"/>
        <color rgb="FFBBBEBF"/>
        <rFont val="Consolas"/>
        <family val="3"/>
        <charset val="1"/>
      </rPr>
      <t xml:space="preserve"> </t>
    </r>
    <r>
      <rPr>
        <sz val="11"/>
        <color rgb="FF9CDCFE"/>
        <rFont val="Consolas"/>
        <family val="3"/>
        <charset val="1"/>
      </rPr>
      <t>type</t>
    </r>
    <r>
      <rPr>
        <sz val="11"/>
        <color rgb="FFBBBEBF"/>
        <rFont val="Consolas"/>
        <family val="3"/>
        <charset val="1"/>
      </rPr>
      <t>=</t>
    </r>
    <r>
      <rPr>
        <sz val="11"/>
        <color rgb="FFA5D6FF"/>
        <rFont val="Consolas"/>
        <family val="3"/>
        <charset val="1"/>
      </rPr>
      <t>"text"</t>
    </r>
    <r>
      <rPr>
        <sz val="11"/>
        <color rgb="FFBBBEBF"/>
        <rFont val="Consolas"/>
        <family val="3"/>
        <charset val="1"/>
      </rPr>
      <t xml:space="preserve"> </t>
    </r>
    <r>
      <rPr>
        <sz val="11"/>
        <color rgb="FF9CDCFE"/>
        <rFont val="Consolas"/>
        <family val="3"/>
        <charset val="1"/>
      </rPr>
      <t>name</t>
    </r>
    <r>
      <rPr>
        <sz val="11"/>
        <color rgb="FFBBBEBF"/>
        <rFont val="Consolas"/>
        <family val="3"/>
        <charset val="1"/>
      </rPr>
      <t>=</t>
    </r>
    <r>
      <rPr>
        <sz val="11"/>
        <color rgb="FFA5D6FF"/>
        <rFont val="Consolas"/>
        <family val="3"/>
        <charset val="1"/>
      </rPr>
      <t>"LNAME"</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 text"</t>
    </r>
    <r>
      <rPr>
        <sz val="11"/>
        <color rgb="FFBBBEBF"/>
        <rFont val="Consolas"/>
        <family val="3"/>
        <charset val="1"/>
      </rPr>
      <t xml:space="preserve"> </t>
    </r>
    <r>
      <rPr>
        <sz val="11"/>
        <color rgb="FF9CDCFE"/>
        <rFont val="Consolas"/>
        <family val="3"/>
        <charset val="1"/>
      </rPr>
      <t>id</t>
    </r>
    <r>
      <rPr>
        <sz val="11"/>
        <color rgb="FFBBBEBF"/>
        <rFont val="Consolas"/>
        <family val="3"/>
        <charset val="1"/>
      </rPr>
      <t>=</t>
    </r>
    <r>
      <rPr>
        <sz val="11"/>
        <color rgb="FFA5D6FF"/>
        <rFont val="Consolas"/>
        <family val="3"/>
        <charset val="1"/>
      </rPr>
      <t>"mce-LNAME"</t>
    </r>
    <r>
      <rPr>
        <sz val="11"/>
        <color rgb="FFBBBEBF"/>
        <rFont val="Consolas"/>
        <family val="3"/>
        <charset val="1"/>
      </rPr>
      <t xml:space="preserve"> </t>
    </r>
    <r>
      <rPr>
        <sz val="11"/>
        <color rgb="FF9CDCFE"/>
        <rFont val="Consolas"/>
        <family val="3"/>
        <charset val="1"/>
      </rPr>
      <t>value</t>
    </r>
    <r>
      <rPr>
        <sz val="11"/>
        <color rgb="FFBBBEBF"/>
        <rFont val="Consolas"/>
        <family val="3"/>
        <charset val="1"/>
      </rPr>
      <t>=</t>
    </r>
    <r>
      <rPr>
        <sz val="11"/>
        <color rgb="FFA5D6FF"/>
        <rFont val="Consolas"/>
        <family val="3"/>
        <charset val="1"/>
      </rPr>
      <t>""</t>
    </r>
    <r>
      <rPr>
        <sz val="11"/>
        <color rgb="FF808080"/>
        <rFont val="Consolas"/>
        <family val="3"/>
        <charset val="1"/>
      </rPr>
      <t>&gt;&lt;/</t>
    </r>
    <r>
      <rPr>
        <sz val="11"/>
        <color rgb="FF7EE787"/>
        <rFont val="Consolas"/>
        <family val="3"/>
        <charset val="1"/>
      </rPr>
      <t>div</t>
    </r>
    <r>
      <rPr>
        <sz val="11"/>
        <color rgb="FF808080"/>
        <rFont val="Consolas"/>
        <family val="3"/>
        <charset val="1"/>
      </rPr>
      <t>&gt;</t>
    </r>
  </si>
  <si>
    <t>                  &lt;input type="text" name="LNAME" class=" text" id="mce-LNAME" value=""&gt;&lt;/div&gt;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</si>
  <si>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div</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"mc-field-group input-group"</t>
    </r>
    <r>
      <rPr>
        <sz val="11"/>
        <color rgb="FF808080"/>
        <rFont val="Consolas"/>
        <family val="3"/>
        <charset val="1"/>
      </rPr>
      <t>&gt;</t>
    </r>
  </si>
  <si>
    <t>                    &lt;div class="mc-field-group input-group"&gt;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</si>
  <si>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strong</t>
    </r>
    <r>
      <rPr>
        <sz val="11"/>
        <color rgb="FF808080"/>
        <rFont val="Consolas"/>
        <family val="3"/>
        <charset val="1"/>
      </rPr>
      <t>&gt;</t>
    </r>
    <r>
      <rPr>
        <sz val="11"/>
        <color rgb="FFBBBEBF"/>
        <rFont val="Consolas"/>
        <family val="3"/>
        <charset val="1"/>
      </rPr>
      <t>Ich interessiere auch mich für:</t>
    </r>
    <r>
      <rPr>
        <sz val="11"/>
        <color rgb="FF808080"/>
        <rFont val="Consolas"/>
        <family val="3"/>
        <charset val="1"/>
      </rPr>
      <t>&lt;/</t>
    </r>
    <r>
      <rPr>
        <sz val="11"/>
        <color rgb="FF7EE787"/>
        <rFont val="Consolas"/>
        <family val="3"/>
        <charset val="1"/>
      </rPr>
      <t>strong</t>
    </r>
    <r>
      <rPr>
        <sz val="11"/>
        <color rgb="FF808080"/>
        <rFont val="Consolas"/>
        <family val="3"/>
        <charset val="1"/>
      </rPr>
      <t>&gt;</t>
    </r>
  </si>
  <si>
    <t>                        &lt;strong&gt;Ich interessiere auch mich für:&lt;/strong&gt;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</si>
  <si>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ul</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"interest-group"</t>
    </r>
    <r>
      <rPr>
        <sz val="11"/>
        <color rgb="FFBBBEBF"/>
        <rFont val="Consolas"/>
        <family val="3"/>
        <charset val="1"/>
      </rPr>
      <t xml:space="preserve"> </t>
    </r>
    <r>
      <rPr>
        <sz val="11"/>
        <color rgb="FF9CDCFE"/>
        <rFont val="Consolas"/>
        <family val="3"/>
        <charset val="1"/>
      </rPr>
      <t>style</t>
    </r>
    <r>
      <rPr>
        <sz val="11"/>
        <color rgb="FFBBBEBF"/>
        <rFont val="Consolas"/>
        <family val="3"/>
        <charset val="1"/>
      </rPr>
      <t>=</t>
    </r>
    <r>
      <rPr>
        <sz val="11"/>
        <color rgb="FFA5D6FF"/>
        <rFont val="Consolas"/>
        <family val="3"/>
        <charset val="1"/>
      </rPr>
      <t>"text-align: left;"</t>
    </r>
    <r>
      <rPr>
        <sz val="11"/>
        <color rgb="FF808080"/>
        <rFont val="Consolas"/>
        <family val="3"/>
        <charset val="1"/>
      </rPr>
      <t>&gt;</t>
    </r>
  </si>
  <si>
    <t>                        &lt;ul class="interest-group" style="text-align: left;"&gt;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</si>
  <si>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li</t>
    </r>
    <r>
      <rPr>
        <sz val="11"/>
        <color rgb="FF808080"/>
        <rFont val="Consolas"/>
        <family val="3"/>
        <charset val="1"/>
      </rPr>
      <t>&gt;&lt;</t>
    </r>
    <r>
      <rPr>
        <sz val="11"/>
        <color rgb="FF7EE787"/>
        <rFont val="Consolas"/>
        <family val="3"/>
        <charset val="1"/>
      </rPr>
      <t>input</t>
    </r>
    <r>
      <rPr>
        <sz val="11"/>
        <color rgb="FFBBBEBF"/>
        <rFont val="Consolas"/>
        <family val="3"/>
        <charset val="1"/>
      </rPr>
      <t xml:space="preserve"> </t>
    </r>
    <r>
      <rPr>
        <sz val="11"/>
        <color rgb="FF9CDCFE"/>
        <rFont val="Consolas"/>
        <family val="3"/>
        <charset val="1"/>
      </rPr>
      <t>type</t>
    </r>
    <r>
      <rPr>
        <sz val="11"/>
        <color rgb="FFBBBEBF"/>
        <rFont val="Consolas"/>
        <family val="3"/>
        <charset val="1"/>
      </rPr>
      <t>=</t>
    </r>
    <r>
      <rPr>
        <sz val="11"/>
        <color rgb="FFA5D6FF"/>
        <rFont val="Consolas"/>
        <family val="3"/>
        <charset val="1"/>
      </rPr>
      <t>"checkbox"</t>
    </r>
    <r>
      <rPr>
        <sz val="11"/>
        <color rgb="FFBBBEBF"/>
        <rFont val="Consolas"/>
        <family val="3"/>
        <charset val="1"/>
      </rPr>
      <t xml:space="preserve"> </t>
    </r>
    <r>
      <rPr>
        <sz val="11"/>
        <color rgb="FF9CDCFE"/>
        <rFont val="Consolas"/>
        <family val="3"/>
        <charset val="1"/>
      </rPr>
      <t>name</t>
    </r>
    <r>
      <rPr>
        <sz val="11"/>
        <color rgb="FFBBBEBF"/>
        <rFont val="Consolas"/>
        <family val="3"/>
        <charset val="1"/>
      </rPr>
      <t>=</t>
    </r>
    <r>
      <rPr>
        <sz val="11"/>
        <color rgb="FFA5D6FF"/>
        <rFont val="Consolas"/>
        <family val="3"/>
        <charset val="1"/>
      </rPr>
      <t>"group[16777][64]"</t>
    </r>
    <r>
      <rPr>
        <sz val="11"/>
        <color rgb="FFBBBEBF"/>
        <rFont val="Consolas"/>
        <family val="3"/>
        <charset val="1"/>
      </rPr>
      <t xml:space="preserve"> </t>
    </r>
    <r>
      <rPr>
        <sz val="11"/>
        <color rgb="FF9CDCFE"/>
        <rFont val="Consolas"/>
        <family val="3"/>
        <charset val="1"/>
      </rPr>
      <t>id</t>
    </r>
    <r>
      <rPr>
        <sz val="11"/>
        <color rgb="FFBBBEBF"/>
        <rFont val="Consolas"/>
        <family val="3"/>
        <charset val="1"/>
      </rPr>
      <t>=</t>
    </r>
    <r>
      <rPr>
        <sz val="11"/>
        <color rgb="FFA5D6FF"/>
        <rFont val="Consolas"/>
        <family val="3"/>
        <charset val="1"/>
      </rPr>
      <t>"mce-group[16777]-16777-0"</t>
    </r>
    <r>
      <rPr>
        <sz val="11"/>
        <color rgb="FFBBBEBF"/>
        <rFont val="Consolas"/>
        <family val="3"/>
        <charset val="1"/>
      </rPr>
      <t xml:space="preserve"> </t>
    </r>
    <r>
      <rPr>
        <sz val="11"/>
        <color rgb="FF9CDCFE"/>
        <rFont val="Consolas"/>
        <family val="3"/>
        <charset val="1"/>
      </rPr>
      <t>value</t>
    </r>
    <r>
      <rPr>
        <sz val="11"/>
        <color rgb="FFBBBEBF"/>
        <rFont val="Consolas"/>
        <family val="3"/>
        <charset val="1"/>
      </rPr>
      <t>=</t>
    </r>
    <r>
      <rPr>
        <sz val="11"/>
        <color rgb="FFA5D6FF"/>
        <rFont val="Consolas"/>
        <family val="3"/>
        <charset val="1"/>
      </rPr>
      <t>""</t>
    </r>
    <r>
      <rPr>
        <sz val="11"/>
        <color rgb="FF808080"/>
        <rFont val="Consolas"/>
        <family val="3"/>
        <charset val="1"/>
      </rPr>
      <t>&gt;&lt;</t>
    </r>
    <r>
      <rPr>
        <sz val="11"/>
        <color rgb="FF7EE787"/>
        <rFont val="Consolas"/>
        <family val="3"/>
        <charset val="1"/>
      </rPr>
      <t>label</t>
    </r>
    <r>
      <rPr>
        <sz val="11"/>
        <color rgb="FFBBBEBF"/>
        <rFont val="Consolas"/>
        <family val="3"/>
        <charset val="1"/>
      </rPr>
      <t xml:space="preserve"> </t>
    </r>
    <r>
      <rPr>
        <sz val="11"/>
        <color rgb="FF9CDCFE"/>
        <rFont val="Consolas"/>
        <family val="3"/>
        <charset val="1"/>
      </rPr>
      <t>for</t>
    </r>
    <r>
      <rPr>
        <sz val="11"/>
        <color rgb="FFBBBEBF"/>
        <rFont val="Consolas"/>
        <family val="3"/>
        <charset val="1"/>
      </rPr>
      <t>=</t>
    </r>
    <r>
      <rPr>
        <sz val="11"/>
        <color rgb="FFA5D6FF"/>
        <rFont val="Consolas"/>
        <family val="3"/>
        <charset val="1"/>
      </rPr>
      <t>"mce-group[16777]-16777-0"</t>
    </r>
    <r>
      <rPr>
        <sz val="11"/>
        <color rgb="FF808080"/>
        <rFont val="Consolas"/>
        <family val="3"/>
        <charset val="1"/>
      </rPr>
      <t>&gt;</t>
    </r>
    <r>
      <rPr>
        <sz val="11"/>
        <color rgb="FFBBBEBF"/>
        <rFont val="Consolas"/>
        <family val="3"/>
        <charset val="1"/>
      </rPr>
      <t>alle Veranstaltungen des Karmel in Österreich</t>
    </r>
    <r>
      <rPr>
        <sz val="11"/>
        <color rgb="FF808080"/>
        <rFont val="Consolas"/>
        <family val="3"/>
        <charset val="1"/>
      </rPr>
      <t>&lt;/</t>
    </r>
    <r>
      <rPr>
        <sz val="11"/>
        <color rgb="FF7EE787"/>
        <rFont val="Consolas"/>
        <family val="3"/>
        <charset val="1"/>
      </rPr>
      <t>label</t>
    </r>
    <r>
      <rPr>
        <sz val="11"/>
        <color rgb="FF808080"/>
        <rFont val="Consolas"/>
        <family val="3"/>
        <charset val="1"/>
      </rPr>
      <t>&gt;&lt;/</t>
    </r>
    <r>
      <rPr>
        <sz val="11"/>
        <color rgb="FF7EE787"/>
        <rFont val="Consolas"/>
        <family val="3"/>
        <charset val="1"/>
      </rPr>
      <t>li</t>
    </r>
    <r>
      <rPr>
        <sz val="11"/>
        <color rgb="FF808080"/>
        <rFont val="Consolas"/>
        <family val="3"/>
        <charset val="1"/>
      </rPr>
      <t>&gt;</t>
    </r>
  </si>
  <si>
    <t>                        &lt;li&gt;&lt;input type="checkbox" name="group[16777][64]" id="mce-group[16777]-16777-0" value=""&gt;&lt;label for="mce-group[16777]-16777-0"&gt;alle Veranstaltungen des Karmel in Österreich&lt;/label&gt;&lt;/li&gt;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</si>
  <si>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details</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"option-group"</t>
    </r>
    <r>
      <rPr>
        <sz val="11"/>
        <color rgb="FF808080"/>
        <rFont val="Consolas"/>
        <family val="3"/>
        <charset val="1"/>
      </rPr>
      <t>&gt;&lt;</t>
    </r>
    <r>
      <rPr>
        <sz val="11"/>
        <color rgb="FF7EE787"/>
        <rFont val="Consolas"/>
        <family val="3"/>
        <charset val="1"/>
      </rPr>
      <t>summary</t>
    </r>
    <r>
      <rPr>
        <sz val="11"/>
        <color rgb="FF808080"/>
        <rFont val="Consolas"/>
        <family val="3"/>
        <charset val="1"/>
      </rPr>
      <t>&gt;</t>
    </r>
    <r>
      <rPr>
        <sz val="11"/>
        <color rgb="FFBBBEBF"/>
        <rFont val="Consolas"/>
        <family val="3"/>
        <charset val="1"/>
      </rPr>
      <t>Orte und Formate einschränken</t>
    </r>
    <r>
      <rPr>
        <sz val="11"/>
        <color rgb="FF808080"/>
        <rFont val="Consolas"/>
        <family val="3"/>
        <charset val="1"/>
      </rPr>
      <t>&lt;/</t>
    </r>
    <r>
      <rPr>
        <sz val="11"/>
        <color rgb="FF7EE787"/>
        <rFont val="Consolas"/>
        <family val="3"/>
        <charset val="1"/>
      </rPr>
      <t>summary</t>
    </r>
    <r>
      <rPr>
        <sz val="11"/>
        <color rgb="FF808080"/>
        <rFont val="Consolas"/>
        <family val="3"/>
        <charset val="1"/>
      </rPr>
      <t>&gt;</t>
    </r>
  </si>
  <si>
    <t>                          &lt;details class="option-group"&gt;&lt;summary&gt;Orte und Formate einschränken&lt;/summary&gt;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</si>
  <si>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ul</t>
    </r>
    <r>
      <rPr>
        <sz val="11"/>
        <color rgb="FF808080"/>
        <rFont val="Consolas"/>
        <family val="3"/>
        <charset val="1"/>
      </rPr>
      <t>&gt;</t>
    </r>
  </si>
  <si>
    <t>                            &lt;ul&gt;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</si>
  <si>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li</t>
    </r>
    <r>
      <rPr>
        <sz val="11"/>
        <color rgb="FF808080"/>
        <rFont val="Consolas"/>
        <family val="3"/>
        <charset val="1"/>
      </rPr>
      <t>&gt;&lt;</t>
    </r>
    <r>
      <rPr>
        <sz val="11"/>
        <color rgb="FF7EE787"/>
        <rFont val="Consolas"/>
        <family val="3"/>
        <charset val="1"/>
      </rPr>
      <t>input</t>
    </r>
    <r>
      <rPr>
        <sz val="11"/>
        <color rgb="FFBBBEBF"/>
        <rFont val="Consolas"/>
        <family val="3"/>
        <charset val="1"/>
      </rPr>
      <t xml:space="preserve"> </t>
    </r>
    <r>
      <rPr>
        <sz val="11"/>
        <color rgb="FF9CDCFE"/>
        <rFont val="Consolas"/>
        <family val="3"/>
        <charset val="1"/>
      </rPr>
      <t>type</t>
    </r>
    <r>
      <rPr>
        <sz val="11"/>
        <color rgb="FFBBBEBF"/>
        <rFont val="Consolas"/>
        <family val="3"/>
        <charset val="1"/>
      </rPr>
      <t>=</t>
    </r>
    <r>
      <rPr>
        <sz val="11"/>
        <color rgb="FFA5D6FF"/>
        <rFont val="Consolas"/>
        <family val="3"/>
        <charset val="1"/>
      </rPr>
      <t>"checkbox"</t>
    </r>
    <r>
      <rPr>
        <sz val="11"/>
        <color rgb="FFBBBEBF"/>
        <rFont val="Consolas"/>
        <family val="3"/>
        <charset val="1"/>
      </rPr>
      <t xml:space="preserve"> </t>
    </r>
    <r>
      <rPr>
        <sz val="11"/>
        <color rgb="FF9CDCFE"/>
        <rFont val="Consolas"/>
        <family val="3"/>
        <charset val="1"/>
      </rPr>
      <t>name</t>
    </r>
    <r>
      <rPr>
        <sz val="11"/>
        <color rgb="FFBBBEBF"/>
        <rFont val="Consolas"/>
        <family val="3"/>
        <charset val="1"/>
      </rPr>
      <t>=</t>
    </r>
    <r>
      <rPr>
        <sz val="11"/>
        <color rgb="FFA5D6FF"/>
        <rFont val="Consolas"/>
        <family val="3"/>
        <charset val="1"/>
      </rPr>
      <t>"group[16777][512]"</t>
    </r>
    <r>
      <rPr>
        <sz val="11"/>
        <color rgb="FFBBBEBF"/>
        <rFont val="Consolas"/>
        <family val="3"/>
        <charset val="1"/>
      </rPr>
      <t xml:space="preserve"> </t>
    </r>
    <r>
      <rPr>
        <sz val="11"/>
        <color rgb="FF9CDCFE"/>
        <rFont val="Consolas"/>
        <family val="3"/>
        <charset val="1"/>
      </rPr>
      <t>id</t>
    </r>
    <r>
      <rPr>
        <sz val="11"/>
        <color rgb="FFBBBEBF"/>
        <rFont val="Consolas"/>
        <family val="3"/>
        <charset val="1"/>
      </rPr>
      <t>=</t>
    </r>
    <r>
      <rPr>
        <sz val="11"/>
        <color rgb="FFA5D6FF"/>
        <rFont val="Consolas"/>
        <family val="3"/>
        <charset val="1"/>
      </rPr>
      <t>"mce-group[16777]-16777-1"</t>
    </r>
    <r>
      <rPr>
        <sz val="11"/>
        <color rgb="FFBBBEBF"/>
        <rFont val="Consolas"/>
        <family val="3"/>
        <charset val="1"/>
      </rPr>
      <t xml:space="preserve"> </t>
    </r>
    <r>
      <rPr>
        <sz val="11"/>
        <color rgb="FF9CDCFE"/>
        <rFont val="Consolas"/>
        <family val="3"/>
        <charset val="1"/>
      </rPr>
      <t>value</t>
    </r>
    <r>
      <rPr>
        <sz val="11"/>
        <color rgb="FFBBBEBF"/>
        <rFont val="Consolas"/>
        <family val="3"/>
        <charset val="1"/>
      </rPr>
      <t>=</t>
    </r>
    <r>
      <rPr>
        <sz val="11"/>
        <color rgb="FFA5D6FF"/>
        <rFont val="Consolas"/>
        <family val="3"/>
        <charset val="1"/>
      </rPr>
      <t>""</t>
    </r>
    <r>
      <rPr>
        <sz val="11"/>
        <color rgb="FFBBBEBF"/>
        <rFont val="Consolas"/>
        <family val="3"/>
        <charset val="1"/>
      </rPr>
      <t xml:space="preserve"> </t>
    </r>
    <r>
      <rPr>
        <sz val="11"/>
        <color rgb="FF808080"/>
        <rFont val="Consolas"/>
        <family val="3"/>
        <charset val="1"/>
      </rPr>
      <t>&gt;&lt;</t>
    </r>
    <r>
      <rPr>
        <sz val="11"/>
        <color rgb="FF7EE787"/>
        <rFont val="Consolas"/>
        <family val="3"/>
        <charset val="1"/>
      </rPr>
      <t>label</t>
    </r>
    <r>
      <rPr>
        <sz val="11"/>
        <color rgb="FFBBBEBF"/>
        <rFont val="Consolas"/>
        <family val="3"/>
        <charset val="1"/>
      </rPr>
      <t xml:space="preserve"> </t>
    </r>
    <r>
      <rPr>
        <sz val="11"/>
        <color rgb="FF9CDCFE"/>
        <rFont val="Consolas"/>
        <family val="3"/>
        <charset val="1"/>
      </rPr>
      <t>for</t>
    </r>
    <r>
      <rPr>
        <sz val="11"/>
        <color rgb="FFBBBEBF"/>
        <rFont val="Consolas"/>
        <family val="3"/>
        <charset val="1"/>
      </rPr>
      <t>=</t>
    </r>
    <r>
      <rPr>
        <sz val="11"/>
        <color rgb="FFA5D6FF"/>
        <rFont val="Consolas"/>
        <family val="3"/>
        <charset val="1"/>
      </rPr>
      <t>"mce-group[16777]-16777-1"</t>
    </r>
    <r>
      <rPr>
        <sz val="11"/>
        <color rgb="FF808080"/>
        <rFont val="Consolas"/>
        <family val="3"/>
        <charset val="1"/>
      </rPr>
      <t>&gt;</t>
    </r>
    <r>
      <rPr>
        <sz val="11"/>
        <color rgb="FFBBBEBF"/>
        <rFont val="Consolas"/>
        <family val="3"/>
        <charset val="1"/>
      </rPr>
      <t>in Wien</t>
    </r>
    <r>
      <rPr>
        <sz val="11"/>
        <color rgb="FF808080"/>
        <rFont val="Consolas"/>
        <family val="3"/>
        <charset val="1"/>
      </rPr>
      <t>&lt;/</t>
    </r>
    <r>
      <rPr>
        <sz val="11"/>
        <color rgb="FF7EE787"/>
        <rFont val="Consolas"/>
        <family val="3"/>
        <charset val="1"/>
      </rPr>
      <t>label</t>
    </r>
    <r>
      <rPr>
        <sz val="11"/>
        <color rgb="FF808080"/>
        <rFont val="Consolas"/>
        <family val="3"/>
        <charset val="1"/>
      </rPr>
      <t>&gt;&lt;/</t>
    </r>
    <r>
      <rPr>
        <sz val="11"/>
        <color rgb="FF7EE787"/>
        <rFont val="Consolas"/>
        <family val="3"/>
        <charset val="1"/>
      </rPr>
      <t>li</t>
    </r>
    <r>
      <rPr>
        <sz val="11"/>
        <color rgb="FF808080"/>
        <rFont val="Consolas"/>
        <family val="3"/>
        <charset val="1"/>
      </rPr>
      <t>&gt;</t>
    </r>
  </si>
  <si>
    <t>                        &lt;li&gt;&lt;input type="checkbox" name="group[16777][512]" id="mce-group[16777]-16777-1" value="" &gt;&lt;label for="mce-group[16777]-16777-1"&gt;in Wien&lt;/label&gt;&lt;/li&gt;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</si>
  <si>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li</t>
    </r>
    <r>
      <rPr>
        <sz val="11"/>
        <color rgb="FF808080"/>
        <rFont val="Consolas"/>
        <family val="3"/>
        <charset val="1"/>
      </rPr>
      <t>&gt;&lt;</t>
    </r>
    <r>
      <rPr>
        <sz val="11"/>
        <color rgb="FF7EE787"/>
        <rFont val="Consolas"/>
        <family val="3"/>
        <charset val="1"/>
      </rPr>
      <t>input</t>
    </r>
    <r>
      <rPr>
        <sz val="11"/>
        <color rgb="FFBBBEBF"/>
        <rFont val="Consolas"/>
        <family val="3"/>
        <charset val="1"/>
      </rPr>
      <t xml:space="preserve"> </t>
    </r>
    <r>
      <rPr>
        <sz val="11"/>
        <color rgb="FF9CDCFE"/>
        <rFont val="Consolas"/>
        <family val="3"/>
        <charset val="1"/>
      </rPr>
      <t>type</t>
    </r>
    <r>
      <rPr>
        <sz val="11"/>
        <color rgb="FFBBBEBF"/>
        <rFont val="Consolas"/>
        <family val="3"/>
        <charset val="1"/>
      </rPr>
      <t>=</t>
    </r>
    <r>
      <rPr>
        <sz val="11"/>
        <color rgb="FFA5D6FF"/>
        <rFont val="Consolas"/>
        <family val="3"/>
        <charset val="1"/>
      </rPr>
      <t>"checkbox"</t>
    </r>
    <r>
      <rPr>
        <sz val="11"/>
        <color rgb="FFBBBEBF"/>
        <rFont val="Consolas"/>
        <family val="3"/>
        <charset val="1"/>
      </rPr>
      <t xml:space="preserve"> </t>
    </r>
    <r>
      <rPr>
        <sz val="11"/>
        <color rgb="FF9CDCFE"/>
        <rFont val="Consolas"/>
        <family val="3"/>
        <charset val="1"/>
      </rPr>
      <t>name</t>
    </r>
    <r>
      <rPr>
        <sz val="11"/>
        <color rgb="FFBBBEBF"/>
        <rFont val="Consolas"/>
        <family val="3"/>
        <charset val="1"/>
      </rPr>
      <t>=</t>
    </r>
    <r>
      <rPr>
        <sz val="11"/>
        <color rgb="FFA5D6FF"/>
        <rFont val="Consolas"/>
        <family val="3"/>
        <charset val="1"/>
      </rPr>
      <t>"group[16777][1024]"</t>
    </r>
    <r>
      <rPr>
        <sz val="11"/>
        <color rgb="FFBBBEBF"/>
        <rFont val="Consolas"/>
        <family val="3"/>
        <charset val="1"/>
      </rPr>
      <t xml:space="preserve"> </t>
    </r>
    <r>
      <rPr>
        <sz val="11"/>
        <color rgb="FF9CDCFE"/>
        <rFont val="Consolas"/>
        <family val="3"/>
        <charset val="1"/>
      </rPr>
      <t>id</t>
    </r>
    <r>
      <rPr>
        <sz val="11"/>
        <color rgb="FFBBBEBF"/>
        <rFont val="Consolas"/>
        <family val="3"/>
        <charset val="1"/>
      </rPr>
      <t>=</t>
    </r>
    <r>
      <rPr>
        <sz val="11"/>
        <color rgb="FFA5D6FF"/>
        <rFont val="Consolas"/>
        <family val="3"/>
        <charset val="1"/>
      </rPr>
      <t>"mce-group[16777]-16777-2"</t>
    </r>
    <r>
      <rPr>
        <sz val="11"/>
        <color rgb="FFBBBEBF"/>
        <rFont val="Consolas"/>
        <family val="3"/>
        <charset val="1"/>
      </rPr>
      <t xml:space="preserve"> </t>
    </r>
    <r>
      <rPr>
        <sz val="11"/>
        <color rgb="FF9CDCFE"/>
        <rFont val="Consolas"/>
        <family val="3"/>
        <charset val="1"/>
      </rPr>
      <t>value</t>
    </r>
    <r>
      <rPr>
        <sz val="11"/>
        <color rgb="FFBBBEBF"/>
        <rFont val="Consolas"/>
        <family val="3"/>
        <charset val="1"/>
      </rPr>
      <t>=</t>
    </r>
    <r>
      <rPr>
        <sz val="11"/>
        <color rgb="FFA5D6FF"/>
        <rFont val="Consolas"/>
        <family val="3"/>
        <charset val="1"/>
      </rPr>
      <t>""</t>
    </r>
    <r>
      <rPr>
        <sz val="11"/>
        <color rgb="FFBBBEBF"/>
        <rFont val="Consolas"/>
        <family val="3"/>
        <charset val="1"/>
      </rPr>
      <t xml:space="preserve"> </t>
    </r>
    <r>
      <rPr>
        <sz val="11"/>
        <color rgb="FF808080"/>
        <rFont val="Consolas"/>
        <family val="3"/>
        <charset val="1"/>
      </rPr>
      <t>&gt;&lt;</t>
    </r>
    <r>
      <rPr>
        <sz val="11"/>
        <color rgb="FF7EE787"/>
        <rFont val="Consolas"/>
        <family val="3"/>
        <charset val="1"/>
      </rPr>
      <t>label</t>
    </r>
    <r>
      <rPr>
        <sz val="11"/>
        <color rgb="FFBBBEBF"/>
        <rFont val="Consolas"/>
        <family val="3"/>
        <charset val="1"/>
      </rPr>
      <t xml:space="preserve"> </t>
    </r>
    <r>
      <rPr>
        <sz val="11"/>
        <color rgb="FF9CDCFE"/>
        <rFont val="Consolas"/>
        <family val="3"/>
        <charset val="1"/>
      </rPr>
      <t>for</t>
    </r>
    <r>
      <rPr>
        <sz val="11"/>
        <color rgb="FFBBBEBF"/>
        <rFont val="Consolas"/>
        <family val="3"/>
        <charset val="1"/>
      </rPr>
      <t>=</t>
    </r>
    <r>
      <rPr>
        <sz val="11"/>
        <color rgb="FFA5D6FF"/>
        <rFont val="Consolas"/>
        <family val="3"/>
        <charset val="1"/>
      </rPr>
      <t>"mce-group[16777]-16777-2"</t>
    </r>
    <r>
      <rPr>
        <sz val="11"/>
        <color rgb="FF808080"/>
        <rFont val="Consolas"/>
        <family val="3"/>
        <charset val="1"/>
      </rPr>
      <t>&gt;</t>
    </r>
    <r>
      <rPr>
        <sz val="11"/>
        <color rgb="FFBBBEBF"/>
        <rFont val="Consolas"/>
        <family val="3"/>
        <charset val="1"/>
      </rPr>
      <t>in Linz</t>
    </r>
    <r>
      <rPr>
        <sz val="11"/>
        <color rgb="FF808080"/>
        <rFont val="Consolas"/>
        <family val="3"/>
        <charset val="1"/>
      </rPr>
      <t>&lt;/</t>
    </r>
    <r>
      <rPr>
        <sz val="11"/>
        <color rgb="FF7EE787"/>
        <rFont val="Consolas"/>
        <family val="3"/>
        <charset val="1"/>
      </rPr>
      <t>label</t>
    </r>
    <r>
      <rPr>
        <sz val="11"/>
        <color rgb="FF808080"/>
        <rFont val="Consolas"/>
        <family val="3"/>
        <charset val="1"/>
      </rPr>
      <t>&gt;&lt;/</t>
    </r>
    <r>
      <rPr>
        <sz val="11"/>
        <color rgb="FF7EE787"/>
        <rFont val="Consolas"/>
        <family val="3"/>
        <charset val="1"/>
      </rPr>
      <t>li</t>
    </r>
    <r>
      <rPr>
        <sz val="11"/>
        <color rgb="FF808080"/>
        <rFont val="Consolas"/>
        <family val="3"/>
        <charset val="1"/>
      </rPr>
      <t>&gt;</t>
    </r>
  </si>
  <si>
    <t>                        &lt;li&gt;&lt;input type="checkbox" name="group[16777][1024]" id="mce-group[16777]-16777-2" value="" &gt;&lt;label for="mce-group[16777]-16777-2"&gt;in Linz&lt;/label&gt;&lt;/li&gt;</t>
  </si>
  <si>
    <t>&lt;form action="https://karmel.us6.list-manage.com/subscribe/post?u=7c9d2aa0ecc1fde64fd44bc67&amp;amp;id=10430a5833&amp;amp;f_id=009254e3f0" method="post" id="mc-embedded-subscribe-form" name="mc-embedded-subscribe-form" class="validate" target="_self" novalidate=""&gt;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</si>
  <si>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li</t>
    </r>
    <r>
      <rPr>
        <sz val="11"/>
        <color rgb="FF808080"/>
        <rFont val="Consolas"/>
        <family val="3"/>
        <charset val="1"/>
      </rPr>
      <t>&gt;&lt;</t>
    </r>
    <r>
      <rPr>
        <sz val="11"/>
        <color rgb="FF7EE787"/>
        <rFont val="Consolas"/>
        <family val="3"/>
        <charset val="1"/>
      </rPr>
      <t>input</t>
    </r>
    <r>
      <rPr>
        <sz val="11"/>
        <color rgb="FFBBBEBF"/>
        <rFont val="Consolas"/>
        <family val="3"/>
        <charset val="1"/>
      </rPr>
      <t xml:space="preserve"> </t>
    </r>
    <r>
      <rPr>
        <sz val="11"/>
        <color rgb="FF9CDCFE"/>
        <rFont val="Consolas"/>
        <family val="3"/>
        <charset val="1"/>
      </rPr>
      <t>type</t>
    </r>
    <r>
      <rPr>
        <sz val="11"/>
        <color rgb="FFBBBEBF"/>
        <rFont val="Consolas"/>
        <family val="3"/>
        <charset val="1"/>
      </rPr>
      <t>=</t>
    </r>
    <r>
      <rPr>
        <sz val="11"/>
        <color rgb="FFA5D6FF"/>
        <rFont val="Consolas"/>
        <family val="3"/>
        <charset val="1"/>
      </rPr>
      <t>"checkbox"</t>
    </r>
    <r>
      <rPr>
        <sz val="11"/>
        <color rgb="FFBBBEBF"/>
        <rFont val="Consolas"/>
        <family val="3"/>
        <charset val="1"/>
      </rPr>
      <t xml:space="preserve"> </t>
    </r>
    <r>
      <rPr>
        <sz val="11"/>
        <color rgb="FF9CDCFE"/>
        <rFont val="Consolas"/>
        <family val="3"/>
        <charset val="1"/>
      </rPr>
      <t>name</t>
    </r>
    <r>
      <rPr>
        <sz val="11"/>
        <color rgb="FFBBBEBF"/>
        <rFont val="Consolas"/>
        <family val="3"/>
        <charset val="1"/>
      </rPr>
      <t>=</t>
    </r>
    <r>
      <rPr>
        <sz val="11"/>
        <color rgb="FFA5D6FF"/>
        <rFont val="Consolas"/>
        <family val="3"/>
        <charset val="1"/>
      </rPr>
      <t>"group[16777][2048]"</t>
    </r>
    <r>
      <rPr>
        <sz val="11"/>
        <color rgb="FFBBBEBF"/>
        <rFont val="Consolas"/>
        <family val="3"/>
        <charset val="1"/>
      </rPr>
      <t xml:space="preserve"> </t>
    </r>
    <r>
      <rPr>
        <sz val="11"/>
        <color rgb="FF9CDCFE"/>
        <rFont val="Consolas"/>
        <family val="3"/>
        <charset val="1"/>
      </rPr>
      <t>id</t>
    </r>
    <r>
      <rPr>
        <sz val="11"/>
        <color rgb="FFBBBEBF"/>
        <rFont val="Consolas"/>
        <family val="3"/>
        <charset val="1"/>
      </rPr>
      <t>=</t>
    </r>
    <r>
      <rPr>
        <sz val="11"/>
        <color rgb="FFA5D6FF"/>
        <rFont val="Consolas"/>
        <family val="3"/>
        <charset val="1"/>
      </rPr>
      <t>"mce-group[16777]-16777-3"</t>
    </r>
    <r>
      <rPr>
        <sz val="11"/>
        <color rgb="FFBBBEBF"/>
        <rFont val="Consolas"/>
        <family val="3"/>
        <charset val="1"/>
      </rPr>
      <t xml:space="preserve"> </t>
    </r>
    <r>
      <rPr>
        <sz val="11"/>
        <color rgb="FF9CDCFE"/>
        <rFont val="Consolas"/>
        <family val="3"/>
        <charset val="1"/>
      </rPr>
      <t>value</t>
    </r>
    <r>
      <rPr>
        <sz val="11"/>
        <color rgb="FFBBBEBF"/>
        <rFont val="Consolas"/>
        <family val="3"/>
        <charset val="1"/>
      </rPr>
      <t>=</t>
    </r>
    <r>
      <rPr>
        <sz val="11"/>
        <color rgb="FFA5D6FF"/>
        <rFont val="Consolas"/>
        <family val="3"/>
        <charset val="1"/>
      </rPr>
      <t>""</t>
    </r>
    <r>
      <rPr>
        <sz val="11"/>
        <color rgb="FFBBBEBF"/>
        <rFont val="Consolas"/>
        <family val="3"/>
        <charset val="1"/>
      </rPr>
      <t xml:space="preserve"> </t>
    </r>
    <r>
      <rPr>
        <sz val="11"/>
        <color rgb="FF808080"/>
        <rFont val="Consolas"/>
        <family val="3"/>
        <charset val="1"/>
      </rPr>
      <t>&gt;&lt;</t>
    </r>
    <r>
      <rPr>
        <sz val="11"/>
        <color rgb="FF7EE787"/>
        <rFont val="Consolas"/>
        <family val="3"/>
        <charset val="1"/>
      </rPr>
      <t>label</t>
    </r>
    <r>
      <rPr>
        <sz val="11"/>
        <color rgb="FFBBBEBF"/>
        <rFont val="Consolas"/>
        <family val="3"/>
        <charset val="1"/>
      </rPr>
      <t xml:space="preserve"> </t>
    </r>
    <r>
      <rPr>
        <sz val="11"/>
        <color rgb="FF9CDCFE"/>
        <rFont val="Consolas"/>
        <family val="3"/>
        <charset val="1"/>
      </rPr>
      <t>for</t>
    </r>
    <r>
      <rPr>
        <sz val="11"/>
        <color rgb="FFBBBEBF"/>
        <rFont val="Consolas"/>
        <family val="3"/>
        <charset val="1"/>
      </rPr>
      <t>=</t>
    </r>
    <r>
      <rPr>
        <sz val="11"/>
        <color rgb="FFA5D6FF"/>
        <rFont val="Consolas"/>
        <family val="3"/>
        <charset val="1"/>
      </rPr>
      <t>"mce-group[16777]-16777-3"</t>
    </r>
    <r>
      <rPr>
        <sz val="11"/>
        <color rgb="FF808080"/>
        <rFont val="Consolas"/>
        <family val="3"/>
        <charset val="1"/>
      </rPr>
      <t>&gt;</t>
    </r>
    <r>
      <rPr>
        <sz val="11"/>
        <color rgb="FFBBBEBF"/>
        <rFont val="Consolas"/>
        <family val="3"/>
        <charset val="1"/>
      </rPr>
      <t>in Graz</t>
    </r>
    <r>
      <rPr>
        <sz val="11"/>
        <color rgb="FF808080"/>
        <rFont val="Consolas"/>
        <family val="3"/>
        <charset val="1"/>
      </rPr>
      <t>&lt;/</t>
    </r>
    <r>
      <rPr>
        <sz val="11"/>
        <color rgb="FF7EE787"/>
        <rFont val="Consolas"/>
        <family val="3"/>
        <charset val="1"/>
      </rPr>
      <t>label</t>
    </r>
    <r>
      <rPr>
        <sz val="11"/>
        <color rgb="FF808080"/>
        <rFont val="Consolas"/>
        <family val="3"/>
        <charset val="1"/>
      </rPr>
      <t>&gt;&lt;/</t>
    </r>
    <r>
      <rPr>
        <sz val="11"/>
        <color rgb="FF7EE787"/>
        <rFont val="Consolas"/>
        <family val="3"/>
        <charset val="1"/>
      </rPr>
      <t>li</t>
    </r>
    <r>
      <rPr>
        <sz val="11"/>
        <color rgb="FF808080"/>
        <rFont val="Consolas"/>
        <family val="3"/>
        <charset val="1"/>
      </rPr>
      <t>&gt;</t>
    </r>
  </si>
  <si>
    <t>                        &lt;li&gt;&lt;input type="checkbox" name="group[16777][2048]" id="mce-group[16777]-16777-3" value="" &gt;&lt;label for="mce-group[16777]-16777-3"&gt;in Graz&lt;/label&gt;&lt;/li&gt;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</si>
  <si>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li</t>
    </r>
    <r>
      <rPr>
        <sz val="11"/>
        <color rgb="FF808080"/>
        <rFont val="Consolas"/>
        <family val="3"/>
        <charset val="1"/>
      </rPr>
      <t>&gt;&lt;</t>
    </r>
    <r>
      <rPr>
        <sz val="11"/>
        <color rgb="FF7EE787"/>
        <rFont val="Consolas"/>
        <family val="3"/>
        <charset val="1"/>
      </rPr>
      <t>input</t>
    </r>
    <r>
      <rPr>
        <sz val="11"/>
        <color rgb="FFBBBEBF"/>
        <rFont val="Consolas"/>
        <family val="3"/>
        <charset val="1"/>
      </rPr>
      <t xml:space="preserve"> </t>
    </r>
    <r>
      <rPr>
        <sz val="11"/>
        <color rgb="FF9CDCFE"/>
        <rFont val="Consolas"/>
        <family val="3"/>
        <charset val="1"/>
      </rPr>
      <t>type</t>
    </r>
    <r>
      <rPr>
        <sz val="11"/>
        <color rgb="FFBBBEBF"/>
        <rFont val="Consolas"/>
        <family val="3"/>
        <charset val="1"/>
      </rPr>
      <t>=</t>
    </r>
    <r>
      <rPr>
        <sz val="11"/>
        <color rgb="FFA5D6FF"/>
        <rFont val="Consolas"/>
        <family val="3"/>
        <charset val="1"/>
      </rPr>
      <t>"checkbox"</t>
    </r>
    <r>
      <rPr>
        <sz val="11"/>
        <color rgb="FFBBBEBF"/>
        <rFont val="Consolas"/>
        <family val="3"/>
        <charset val="1"/>
      </rPr>
      <t xml:space="preserve"> </t>
    </r>
    <r>
      <rPr>
        <sz val="11"/>
        <color rgb="FF9CDCFE"/>
        <rFont val="Consolas"/>
        <family val="3"/>
        <charset val="1"/>
      </rPr>
      <t>name</t>
    </r>
    <r>
      <rPr>
        <sz val="11"/>
        <color rgb="FFBBBEBF"/>
        <rFont val="Consolas"/>
        <family val="3"/>
        <charset val="1"/>
      </rPr>
      <t>=</t>
    </r>
    <r>
      <rPr>
        <sz val="11"/>
        <color rgb="FFA5D6FF"/>
        <rFont val="Consolas"/>
        <family val="3"/>
        <charset val="1"/>
      </rPr>
      <t>"group[16777][524288]"</t>
    </r>
    <r>
      <rPr>
        <sz val="11"/>
        <color rgb="FFBBBEBF"/>
        <rFont val="Consolas"/>
        <family val="3"/>
        <charset val="1"/>
      </rPr>
      <t xml:space="preserve"> </t>
    </r>
    <r>
      <rPr>
        <sz val="11"/>
        <color rgb="FF9CDCFE"/>
        <rFont val="Consolas"/>
        <family val="3"/>
        <charset val="1"/>
      </rPr>
      <t>id</t>
    </r>
    <r>
      <rPr>
        <sz val="11"/>
        <color rgb="FFBBBEBF"/>
        <rFont val="Consolas"/>
        <family val="3"/>
        <charset val="1"/>
      </rPr>
      <t>=</t>
    </r>
    <r>
      <rPr>
        <sz val="11"/>
        <color rgb="FFA5D6FF"/>
        <rFont val="Consolas"/>
        <family val="3"/>
        <charset val="1"/>
      </rPr>
      <t>"mce-group[16777]-16777-4"</t>
    </r>
    <r>
      <rPr>
        <sz val="11"/>
        <color rgb="FFBBBEBF"/>
        <rFont val="Consolas"/>
        <family val="3"/>
        <charset val="1"/>
      </rPr>
      <t xml:space="preserve"> </t>
    </r>
    <r>
      <rPr>
        <sz val="11"/>
        <color rgb="FF9CDCFE"/>
        <rFont val="Consolas"/>
        <family val="3"/>
        <charset val="1"/>
      </rPr>
      <t>value</t>
    </r>
    <r>
      <rPr>
        <sz val="11"/>
        <color rgb="FFBBBEBF"/>
        <rFont val="Consolas"/>
        <family val="3"/>
        <charset val="1"/>
      </rPr>
      <t>=</t>
    </r>
    <r>
      <rPr>
        <sz val="11"/>
        <color rgb="FFA5D6FF"/>
        <rFont val="Consolas"/>
        <family val="3"/>
        <charset val="1"/>
      </rPr>
      <t>""</t>
    </r>
    <r>
      <rPr>
        <sz val="11"/>
        <color rgb="FF808080"/>
        <rFont val="Consolas"/>
        <family val="3"/>
        <charset val="1"/>
      </rPr>
      <t>&gt;&lt;</t>
    </r>
    <r>
      <rPr>
        <sz val="11"/>
        <color rgb="FF7EE787"/>
        <rFont val="Consolas"/>
        <family val="3"/>
        <charset val="1"/>
      </rPr>
      <t>label</t>
    </r>
    <r>
      <rPr>
        <sz val="11"/>
        <color rgb="FFBBBEBF"/>
        <rFont val="Consolas"/>
        <family val="3"/>
        <charset val="1"/>
      </rPr>
      <t xml:space="preserve"> </t>
    </r>
    <r>
      <rPr>
        <sz val="11"/>
        <color rgb="FF9CDCFE"/>
        <rFont val="Consolas"/>
        <family val="3"/>
        <charset val="1"/>
      </rPr>
      <t>for</t>
    </r>
    <r>
      <rPr>
        <sz val="11"/>
        <color rgb="FFBBBEBF"/>
        <rFont val="Consolas"/>
        <family val="3"/>
        <charset val="1"/>
      </rPr>
      <t>=</t>
    </r>
    <r>
      <rPr>
        <sz val="11"/>
        <color rgb="FFA5D6FF"/>
        <rFont val="Consolas"/>
        <family val="3"/>
        <charset val="1"/>
      </rPr>
      <t>"mce-group[16777]-16777-4"</t>
    </r>
    <r>
      <rPr>
        <sz val="11"/>
        <color rgb="FF808080"/>
        <rFont val="Consolas"/>
        <family val="3"/>
        <charset val="1"/>
      </rPr>
      <t>&gt;</t>
    </r>
    <r>
      <rPr>
        <sz val="11"/>
        <color rgb="FFBBBEBF"/>
        <rFont val="Consolas"/>
        <family val="3"/>
        <charset val="1"/>
      </rPr>
      <t>online</t>
    </r>
    <r>
      <rPr>
        <sz val="11"/>
        <color rgb="FF808080"/>
        <rFont val="Consolas"/>
        <family val="3"/>
        <charset val="1"/>
      </rPr>
      <t>&lt;/</t>
    </r>
    <r>
      <rPr>
        <sz val="11"/>
        <color rgb="FF7EE787"/>
        <rFont val="Consolas"/>
        <family val="3"/>
        <charset val="1"/>
      </rPr>
      <t>label</t>
    </r>
    <r>
      <rPr>
        <sz val="11"/>
        <color rgb="FF808080"/>
        <rFont val="Consolas"/>
        <family val="3"/>
        <charset val="1"/>
      </rPr>
      <t>&gt;&lt;/</t>
    </r>
    <r>
      <rPr>
        <sz val="11"/>
        <color rgb="FF7EE787"/>
        <rFont val="Consolas"/>
        <family val="3"/>
        <charset val="1"/>
      </rPr>
      <t>li</t>
    </r>
    <r>
      <rPr>
        <sz val="11"/>
        <color rgb="FF808080"/>
        <rFont val="Consolas"/>
        <family val="3"/>
        <charset val="1"/>
      </rPr>
      <t>&gt;</t>
    </r>
  </si>
  <si>
    <t>                        &lt;li&gt;&lt;input type="checkbox" name="group[16777][524288]" id="mce-group[16777]-16777-4" value=""&gt;&lt;label for="mce-group[16777]-16777-4"&gt;online&lt;/label&gt;&lt;/li&gt;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</si>
  <si>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ul</t>
    </r>
    <r>
      <rPr>
        <sz val="11"/>
        <color rgb="FF808080"/>
        <rFont val="Consolas"/>
        <family val="3"/>
        <charset val="1"/>
      </rPr>
      <t>&gt;</t>
    </r>
  </si>
  <si>
    <t>                      &lt;/ul&gt;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</si>
  <si>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details</t>
    </r>
    <r>
      <rPr>
        <sz val="11"/>
        <color rgb="FF808080"/>
        <rFont val="Consolas"/>
        <family val="3"/>
        <charset val="1"/>
      </rPr>
      <t>&gt;</t>
    </r>
  </si>
  <si>
    <t>                      &lt;/details&gt;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</si>
  <si>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li</t>
    </r>
    <r>
      <rPr>
        <sz val="11"/>
        <color rgb="FF808080"/>
        <rFont val="Consolas"/>
        <family val="3"/>
        <charset val="1"/>
      </rPr>
      <t>&gt;&lt;</t>
    </r>
    <r>
      <rPr>
        <sz val="11"/>
        <color rgb="FF7EE787"/>
        <rFont val="Consolas"/>
        <family val="3"/>
        <charset val="1"/>
      </rPr>
      <t>input</t>
    </r>
    <r>
      <rPr>
        <sz val="11"/>
        <color rgb="FFBBBEBF"/>
        <rFont val="Consolas"/>
        <family val="3"/>
        <charset val="1"/>
      </rPr>
      <t xml:space="preserve"> </t>
    </r>
    <r>
      <rPr>
        <sz val="11"/>
        <color rgb="FF9CDCFE"/>
        <rFont val="Consolas"/>
        <family val="3"/>
        <charset val="1"/>
      </rPr>
      <t>type</t>
    </r>
    <r>
      <rPr>
        <sz val="11"/>
        <color rgb="FFBBBEBF"/>
        <rFont val="Consolas"/>
        <family val="3"/>
        <charset val="1"/>
      </rPr>
      <t>=</t>
    </r>
    <r>
      <rPr>
        <sz val="11"/>
        <color rgb="FFA5D6FF"/>
        <rFont val="Consolas"/>
        <family val="3"/>
        <charset val="1"/>
      </rPr>
      <t>"checkbox"</t>
    </r>
    <r>
      <rPr>
        <sz val="11"/>
        <color rgb="FFBBBEBF"/>
        <rFont val="Consolas"/>
        <family val="3"/>
        <charset val="1"/>
      </rPr>
      <t xml:space="preserve"> </t>
    </r>
    <r>
      <rPr>
        <sz val="11"/>
        <color rgb="FF9CDCFE"/>
        <rFont val="Consolas"/>
        <family val="3"/>
        <charset val="1"/>
      </rPr>
      <t>name</t>
    </r>
    <r>
      <rPr>
        <sz val="11"/>
        <color rgb="FFBBBEBF"/>
        <rFont val="Consolas"/>
        <family val="3"/>
        <charset val="1"/>
      </rPr>
      <t>=</t>
    </r>
    <r>
      <rPr>
        <sz val="11"/>
        <color rgb="FFA5D6FF"/>
        <rFont val="Consolas"/>
        <family val="3"/>
        <charset val="1"/>
      </rPr>
      <t>"group[16777][256]"</t>
    </r>
    <r>
      <rPr>
        <sz val="11"/>
        <color rgb="FFBBBEBF"/>
        <rFont val="Consolas"/>
        <family val="3"/>
        <charset val="1"/>
      </rPr>
      <t xml:space="preserve"> </t>
    </r>
    <r>
      <rPr>
        <sz val="11"/>
        <color rgb="FF9CDCFE"/>
        <rFont val="Consolas"/>
        <family val="3"/>
        <charset val="1"/>
      </rPr>
      <t>id</t>
    </r>
    <r>
      <rPr>
        <sz val="11"/>
        <color rgb="FFBBBEBF"/>
        <rFont val="Consolas"/>
        <family val="3"/>
        <charset val="1"/>
      </rPr>
      <t>=</t>
    </r>
    <r>
      <rPr>
        <sz val="11"/>
        <color rgb="FFA5D6FF"/>
        <rFont val="Consolas"/>
        <family val="3"/>
        <charset val="1"/>
      </rPr>
      <t>"mce-group[16777]-16777-5"</t>
    </r>
    <r>
      <rPr>
        <sz val="11"/>
        <color rgb="FFBBBEBF"/>
        <rFont val="Consolas"/>
        <family val="3"/>
        <charset val="1"/>
      </rPr>
      <t xml:space="preserve"> </t>
    </r>
    <r>
      <rPr>
        <sz val="11"/>
        <color rgb="FF9CDCFE"/>
        <rFont val="Consolas"/>
        <family val="3"/>
        <charset val="1"/>
      </rPr>
      <t>value</t>
    </r>
    <r>
      <rPr>
        <sz val="11"/>
        <color rgb="FFBBBEBF"/>
        <rFont val="Consolas"/>
        <family val="3"/>
        <charset val="1"/>
      </rPr>
      <t>=</t>
    </r>
    <r>
      <rPr>
        <sz val="11"/>
        <color rgb="FFA5D6FF"/>
        <rFont val="Consolas"/>
        <family val="3"/>
        <charset val="1"/>
      </rPr>
      <t>""</t>
    </r>
    <r>
      <rPr>
        <sz val="11"/>
        <color rgb="FF808080"/>
        <rFont val="Consolas"/>
        <family val="3"/>
        <charset val="1"/>
      </rPr>
      <t>&gt;&lt;</t>
    </r>
    <r>
      <rPr>
        <sz val="11"/>
        <color rgb="FF7EE787"/>
        <rFont val="Consolas"/>
        <family val="3"/>
        <charset val="1"/>
      </rPr>
      <t>label</t>
    </r>
    <r>
      <rPr>
        <sz val="11"/>
        <color rgb="FFBBBEBF"/>
        <rFont val="Consolas"/>
        <family val="3"/>
        <charset val="1"/>
      </rPr>
      <t xml:space="preserve"> </t>
    </r>
    <r>
      <rPr>
        <sz val="11"/>
        <color rgb="FF9CDCFE"/>
        <rFont val="Consolas"/>
        <family val="3"/>
        <charset val="1"/>
      </rPr>
      <t>for</t>
    </r>
    <r>
      <rPr>
        <sz val="11"/>
        <color rgb="FFBBBEBF"/>
        <rFont val="Consolas"/>
        <family val="3"/>
        <charset val="1"/>
      </rPr>
      <t>=</t>
    </r>
    <r>
      <rPr>
        <sz val="11"/>
        <color rgb="FFA5D6FF"/>
        <rFont val="Consolas"/>
        <family val="3"/>
        <charset val="1"/>
      </rPr>
      <t>"mce-group[16777]-16777-5"</t>
    </r>
    <r>
      <rPr>
        <sz val="11"/>
        <color rgb="FF808080"/>
        <rFont val="Consolas"/>
        <family val="3"/>
        <charset val="1"/>
      </rPr>
      <t>&gt;</t>
    </r>
    <r>
      <rPr>
        <sz val="11"/>
        <color rgb="FFBBBEBF"/>
        <rFont val="Consolas"/>
        <family val="3"/>
        <charset val="1"/>
      </rPr>
      <t>Infos/Veranstaltungen der Edith Stein Gesellschaft</t>
    </r>
    <r>
      <rPr>
        <sz val="11"/>
        <color rgb="FF808080"/>
        <rFont val="Consolas"/>
        <family val="3"/>
        <charset val="1"/>
      </rPr>
      <t>&lt;/</t>
    </r>
    <r>
      <rPr>
        <sz val="11"/>
        <color rgb="FF7EE787"/>
        <rFont val="Consolas"/>
        <family val="3"/>
        <charset val="1"/>
      </rPr>
      <t>label</t>
    </r>
    <r>
      <rPr>
        <sz val="11"/>
        <color rgb="FF808080"/>
        <rFont val="Consolas"/>
        <family val="3"/>
        <charset val="1"/>
      </rPr>
      <t>&gt;&lt;/</t>
    </r>
    <r>
      <rPr>
        <sz val="11"/>
        <color rgb="FF7EE787"/>
        <rFont val="Consolas"/>
        <family val="3"/>
        <charset val="1"/>
      </rPr>
      <t>li</t>
    </r>
    <r>
      <rPr>
        <sz val="11"/>
        <color rgb="FF808080"/>
        <rFont val="Consolas"/>
        <family val="3"/>
        <charset val="1"/>
      </rPr>
      <t>&gt;</t>
    </r>
  </si>
  <si>
    <t>                        &lt;li&gt;&lt;input type="checkbox" name="group[16777][256]" id="mce-group[16777]-16777-5" value=""&gt;&lt;label for="mce-group[16777]-16777-5"&gt;Infos/Veranstaltungen der Edith Stein Gesellschaft&lt;/label&gt;&lt;/li&gt;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</si>
  <si>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details</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"option-group"</t>
    </r>
    <r>
      <rPr>
        <sz val="11"/>
        <color rgb="FF808080"/>
        <rFont val="Consolas"/>
        <family val="3"/>
        <charset val="1"/>
      </rPr>
      <t>&gt;&lt;</t>
    </r>
    <r>
      <rPr>
        <sz val="11"/>
        <color rgb="FF7EE787"/>
        <rFont val="Consolas"/>
        <family val="3"/>
        <charset val="1"/>
      </rPr>
      <t>summary</t>
    </r>
    <r>
      <rPr>
        <sz val="11"/>
        <color rgb="FF808080"/>
        <rFont val="Consolas"/>
        <family val="3"/>
        <charset val="1"/>
      </rPr>
      <t>&gt;</t>
    </r>
    <r>
      <rPr>
        <sz val="11"/>
        <color rgb="FFBBBEBF"/>
        <rFont val="Consolas"/>
        <family val="3"/>
        <charset val="1"/>
      </rPr>
      <t>Novenen und Exerzitien auswählen</t>
    </r>
    <r>
      <rPr>
        <sz val="11"/>
        <color rgb="FF808080"/>
        <rFont val="Consolas"/>
        <family val="3"/>
        <charset val="1"/>
      </rPr>
      <t>&lt;/</t>
    </r>
    <r>
      <rPr>
        <sz val="11"/>
        <color rgb="FF7EE787"/>
        <rFont val="Consolas"/>
        <family val="3"/>
        <charset val="1"/>
      </rPr>
      <t>summary</t>
    </r>
    <r>
      <rPr>
        <sz val="11"/>
        <color rgb="FF808080"/>
        <rFont val="Consolas"/>
        <family val="3"/>
        <charset val="1"/>
      </rPr>
      <t>&gt;</t>
    </r>
  </si>
  <si>
    <t>                        &lt;details class="option-group"&gt;&lt;summary&gt;Novenen und Exerzitien auswählen&lt;/summary&gt;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</si>
  <si>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ul</t>
    </r>
    <r>
      <rPr>
        <sz val="11"/>
        <color rgb="FF808080"/>
        <rFont val="Consolas"/>
        <family val="3"/>
        <charset val="1"/>
      </rPr>
      <t>&gt;</t>
    </r>
  </si>
  <si>
    <t>                          &lt;ul&gt;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</si>
  <si>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li</t>
    </r>
    <r>
      <rPr>
        <sz val="11"/>
        <color rgb="FF808080"/>
        <rFont val="Consolas"/>
        <family val="3"/>
        <charset val="1"/>
      </rPr>
      <t>&gt;&lt;</t>
    </r>
    <r>
      <rPr>
        <sz val="11"/>
        <color rgb="FF7EE787"/>
        <rFont val="Consolas"/>
        <family val="3"/>
        <charset val="1"/>
      </rPr>
      <t>input</t>
    </r>
    <r>
      <rPr>
        <sz val="11"/>
        <color rgb="FFBBBEBF"/>
        <rFont val="Consolas"/>
        <family val="3"/>
        <charset val="1"/>
      </rPr>
      <t xml:space="preserve"> </t>
    </r>
    <r>
      <rPr>
        <sz val="11"/>
        <color rgb="FF9CDCFE"/>
        <rFont val="Consolas"/>
        <family val="3"/>
        <charset val="1"/>
      </rPr>
      <t>type</t>
    </r>
    <r>
      <rPr>
        <sz val="11"/>
        <color rgb="FFBBBEBF"/>
        <rFont val="Consolas"/>
        <family val="3"/>
        <charset val="1"/>
      </rPr>
      <t>=</t>
    </r>
    <r>
      <rPr>
        <sz val="11"/>
        <color rgb="FFA5D6FF"/>
        <rFont val="Consolas"/>
        <family val="3"/>
        <charset val="1"/>
      </rPr>
      <t>"checkbox"</t>
    </r>
    <r>
      <rPr>
        <sz val="11"/>
        <color rgb="FFBBBEBF"/>
        <rFont val="Consolas"/>
        <family val="3"/>
        <charset val="1"/>
      </rPr>
      <t xml:space="preserve"> </t>
    </r>
    <r>
      <rPr>
        <sz val="11"/>
        <color rgb="FF9CDCFE"/>
        <rFont val="Consolas"/>
        <family val="3"/>
        <charset val="1"/>
      </rPr>
      <t>name</t>
    </r>
    <r>
      <rPr>
        <sz val="11"/>
        <color rgb="FFBBBEBF"/>
        <rFont val="Consolas"/>
        <family val="3"/>
        <charset val="1"/>
      </rPr>
      <t>=</t>
    </r>
    <r>
      <rPr>
        <sz val="11"/>
        <color rgb="FFA5D6FF"/>
        <rFont val="Consolas"/>
        <family val="3"/>
        <charset val="1"/>
      </rPr>
      <t>"group[16777][128]"</t>
    </r>
    <r>
      <rPr>
        <sz val="11"/>
        <color rgb="FFBBBEBF"/>
        <rFont val="Consolas"/>
        <family val="3"/>
        <charset val="1"/>
      </rPr>
      <t xml:space="preserve"> </t>
    </r>
    <r>
      <rPr>
        <sz val="11"/>
        <color rgb="FF9CDCFE"/>
        <rFont val="Consolas"/>
        <family val="3"/>
        <charset val="1"/>
      </rPr>
      <t>id</t>
    </r>
    <r>
      <rPr>
        <sz val="11"/>
        <color rgb="FFBBBEBF"/>
        <rFont val="Consolas"/>
        <family val="3"/>
        <charset val="1"/>
      </rPr>
      <t>=</t>
    </r>
    <r>
      <rPr>
        <sz val="11"/>
        <color rgb="FFA5D6FF"/>
        <rFont val="Consolas"/>
        <family val="3"/>
        <charset val="1"/>
      </rPr>
      <t>"mce-group[16777]-16777-6"</t>
    </r>
    <r>
      <rPr>
        <sz val="11"/>
        <color rgb="FFBBBEBF"/>
        <rFont val="Consolas"/>
        <family val="3"/>
        <charset val="1"/>
      </rPr>
      <t xml:space="preserve"> </t>
    </r>
    <r>
      <rPr>
        <sz val="11"/>
        <color rgb="FF9CDCFE"/>
        <rFont val="Consolas"/>
        <family val="3"/>
        <charset val="1"/>
      </rPr>
      <t>value</t>
    </r>
    <r>
      <rPr>
        <sz val="11"/>
        <color rgb="FFBBBEBF"/>
        <rFont val="Consolas"/>
        <family val="3"/>
        <charset val="1"/>
      </rPr>
      <t>=</t>
    </r>
    <r>
      <rPr>
        <sz val="11"/>
        <color rgb="FFA5D6FF"/>
        <rFont val="Consolas"/>
        <family val="3"/>
        <charset val="1"/>
      </rPr>
      <t>""</t>
    </r>
    <r>
      <rPr>
        <sz val="11"/>
        <color rgb="FF808080"/>
        <rFont val="Consolas"/>
        <family val="3"/>
        <charset val="1"/>
      </rPr>
      <t>&gt;&lt;</t>
    </r>
    <r>
      <rPr>
        <sz val="11"/>
        <color rgb="FF7EE787"/>
        <rFont val="Consolas"/>
        <family val="3"/>
        <charset val="1"/>
      </rPr>
      <t>label</t>
    </r>
    <r>
      <rPr>
        <sz val="11"/>
        <color rgb="FFBBBEBF"/>
        <rFont val="Consolas"/>
        <family val="3"/>
        <charset val="1"/>
      </rPr>
      <t xml:space="preserve"> </t>
    </r>
    <r>
      <rPr>
        <sz val="11"/>
        <color rgb="FF9CDCFE"/>
        <rFont val="Consolas"/>
        <family val="3"/>
        <charset val="1"/>
      </rPr>
      <t>for</t>
    </r>
    <r>
      <rPr>
        <sz val="11"/>
        <color rgb="FFBBBEBF"/>
        <rFont val="Consolas"/>
        <family val="3"/>
        <charset val="1"/>
      </rPr>
      <t>=</t>
    </r>
    <r>
      <rPr>
        <sz val="11"/>
        <color rgb="FFA5D6FF"/>
        <rFont val="Consolas"/>
        <family val="3"/>
        <charset val="1"/>
      </rPr>
      <t>"mce-group[16777]-16777-6"</t>
    </r>
    <r>
      <rPr>
        <sz val="11"/>
        <color rgb="FF808080"/>
        <rFont val="Consolas"/>
        <family val="3"/>
        <charset val="1"/>
      </rPr>
      <t>&gt;</t>
    </r>
    <r>
      <rPr>
        <sz val="11"/>
        <color rgb="FFBBBEBF"/>
        <rFont val="Consolas"/>
        <family val="3"/>
        <charset val="1"/>
      </rPr>
      <t>Friedensgebet/Novene Hl. Edith Stein</t>
    </r>
    <r>
      <rPr>
        <sz val="11"/>
        <color rgb="FF808080"/>
        <rFont val="Consolas"/>
        <family val="3"/>
        <charset val="1"/>
      </rPr>
      <t>&lt;/</t>
    </r>
    <r>
      <rPr>
        <sz val="11"/>
        <color rgb="FF7EE787"/>
        <rFont val="Consolas"/>
        <family val="3"/>
        <charset val="1"/>
      </rPr>
      <t>label</t>
    </r>
    <r>
      <rPr>
        <sz val="11"/>
        <color rgb="FF808080"/>
        <rFont val="Consolas"/>
        <family val="3"/>
        <charset val="1"/>
      </rPr>
      <t>&gt;&lt;/</t>
    </r>
    <r>
      <rPr>
        <sz val="11"/>
        <color rgb="FF7EE787"/>
        <rFont val="Consolas"/>
        <family val="3"/>
        <charset val="1"/>
      </rPr>
      <t>li</t>
    </r>
    <r>
      <rPr>
        <sz val="11"/>
        <color rgb="FF808080"/>
        <rFont val="Consolas"/>
        <family val="3"/>
        <charset val="1"/>
      </rPr>
      <t>&gt;</t>
    </r>
  </si>
  <si>
    <t>                        &lt;li&gt;&lt;input type="checkbox" name="group[16777][128]" id="mce-group[16777]-16777-6" value=""&gt;&lt;label for="mce-group[16777]-16777-6"&gt;Friedensgebet/Novene Hl. Edith Stein&lt;/label&gt;&lt;/li&gt;</t>
  </si>
  <si>
    <t>                                        &lt;div class="mc-field-group"&gt;&lt;label for="mce-AUFMERKS01"&gt;Wie sind Sie auf uns aufmerksam geworden? &lt;/label&gt;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</si>
  <si>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li</t>
    </r>
    <r>
      <rPr>
        <sz val="11"/>
        <color rgb="FFBBBEBF"/>
        <rFont val="Consolas"/>
        <family val="3"/>
        <charset val="1"/>
      </rPr>
      <t xml:space="preserve"> </t>
    </r>
    <r>
      <rPr>
        <sz val="11"/>
        <color rgb="FF9CDCFE"/>
        <rFont val="Consolas"/>
        <family val="3"/>
        <charset val="1"/>
      </rPr>
      <t>style</t>
    </r>
    <r>
      <rPr>
        <sz val="11"/>
        <color rgb="FFBBBEBF"/>
        <rFont val="Consolas"/>
        <family val="3"/>
        <charset val="1"/>
      </rPr>
      <t>=</t>
    </r>
    <r>
      <rPr>
        <sz val="11"/>
        <color rgb="FFA5D6FF"/>
        <rFont val="Consolas"/>
        <family val="3"/>
        <charset val="1"/>
      </rPr>
      <t>"display:none"</t>
    </r>
    <r>
      <rPr>
        <sz val="11"/>
        <color rgb="FF808080"/>
        <rFont val="Consolas"/>
        <family val="3"/>
        <charset val="1"/>
      </rPr>
      <t>&gt;&lt;</t>
    </r>
    <r>
      <rPr>
        <sz val="11"/>
        <color rgb="FF7EE787"/>
        <rFont val="Consolas"/>
        <family val="3"/>
        <charset val="1"/>
      </rPr>
      <t>input</t>
    </r>
    <r>
      <rPr>
        <sz val="11"/>
        <color rgb="FFBBBEBF"/>
        <rFont val="Consolas"/>
        <family val="3"/>
        <charset val="1"/>
      </rPr>
      <t xml:space="preserve"> </t>
    </r>
    <r>
      <rPr>
        <sz val="11"/>
        <color rgb="FF9CDCFE"/>
        <rFont val="Consolas"/>
        <family val="3"/>
        <charset val="1"/>
      </rPr>
      <t>type</t>
    </r>
    <r>
      <rPr>
        <sz val="11"/>
        <color rgb="FFBBBEBF"/>
        <rFont val="Consolas"/>
        <family val="3"/>
        <charset val="1"/>
      </rPr>
      <t>=</t>
    </r>
    <r>
      <rPr>
        <sz val="11"/>
        <color rgb="FFA5D6FF"/>
        <rFont val="Consolas"/>
        <family val="3"/>
        <charset val="1"/>
      </rPr>
      <t>"checkbox"</t>
    </r>
    <r>
      <rPr>
        <sz val="11"/>
        <color rgb="FFBBBEBF"/>
        <rFont val="Consolas"/>
        <family val="3"/>
        <charset val="1"/>
      </rPr>
      <t xml:space="preserve"> </t>
    </r>
    <r>
      <rPr>
        <sz val="11"/>
        <color rgb="FF9CDCFE"/>
        <rFont val="Consolas"/>
        <family val="3"/>
        <charset val="1"/>
      </rPr>
      <t>name</t>
    </r>
    <r>
      <rPr>
        <sz val="11"/>
        <color rgb="FFBBBEBF"/>
        <rFont val="Consolas"/>
        <family val="3"/>
        <charset val="1"/>
      </rPr>
      <t>=</t>
    </r>
    <r>
      <rPr>
        <sz val="11"/>
        <color rgb="FFA5D6FF"/>
        <rFont val="Consolas"/>
        <family val="3"/>
        <charset val="1"/>
      </rPr>
      <t>"group[16777][32]"</t>
    </r>
    <r>
      <rPr>
        <sz val="11"/>
        <color rgb="FFBBBEBF"/>
        <rFont val="Consolas"/>
        <family val="3"/>
        <charset val="1"/>
      </rPr>
      <t xml:space="preserve"> </t>
    </r>
    <r>
      <rPr>
        <sz val="11"/>
        <color rgb="FF9CDCFE"/>
        <rFont val="Consolas"/>
        <family val="3"/>
        <charset val="1"/>
      </rPr>
      <t>id</t>
    </r>
    <r>
      <rPr>
        <sz val="11"/>
        <color rgb="FFBBBEBF"/>
        <rFont val="Consolas"/>
        <family val="3"/>
        <charset val="1"/>
      </rPr>
      <t>=</t>
    </r>
    <r>
      <rPr>
        <sz val="11"/>
        <color rgb="FFA5D6FF"/>
        <rFont val="Consolas"/>
        <family val="3"/>
        <charset val="1"/>
      </rPr>
      <t>"mce-group[16777]-16777-7"</t>
    </r>
    <r>
      <rPr>
        <sz val="11"/>
        <color rgb="FFBBBEBF"/>
        <rFont val="Consolas"/>
        <family val="3"/>
        <charset val="1"/>
      </rPr>
      <t xml:space="preserve"> </t>
    </r>
    <r>
      <rPr>
        <sz val="11"/>
        <color rgb="FF9CDCFE"/>
        <rFont val="Consolas"/>
        <family val="3"/>
        <charset val="1"/>
      </rPr>
      <t>value</t>
    </r>
    <r>
      <rPr>
        <sz val="11"/>
        <color rgb="FFBBBEBF"/>
        <rFont val="Consolas"/>
        <family val="3"/>
        <charset val="1"/>
      </rPr>
      <t>=</t>
    </r>
    <r>
      <rPr>
        <sz val="11"/>
        <color rgb="FFA5D6FF"/>
        <rFont val="Consolas"/>
        <family val="3"/>
        <charset val="1"/>
      </rPr>
      <t>""</t>
    </r>
    <r>
      <rPr>
        <sz val="11"/>
        <color rgb="FFBBBEBF"/>
        <rFont val="Consolas"/>
        <family val="3"/>
        <charset val="1"/>
      </rPr>
      <t xml:space="preserve"> </t>
    </r>
    <r>
      <rPr>
        <sz val="11"/>
        <color rgb="FF9CDCFE"/>
        <rFont val="Consolas"/>
        <family val="3"/>
        <charset val="1"/>
      </rPr>
      <t>checked</t>
    </r>
    <r>
      <rPr>
        <sz val="11"/>
        <color rgb="FF808080"/>
        <rFont val="Consolas"/>
        <family val="3"/>
        <charset val="1"/>
      </rPr>
      <t>&gt;&lt;</t>
    </r>
    <r>
      <rPr>
        <sz val="11"/>
        <color rgb="FF7EE787"/>
        <rFont val="Consolas"/>
        <family val="3"/>
        <charset val="1"/>
      </rPr>
      <t>label</t>
    </r>
    <r>
      <rPr>
        <sz val="11"/>
        <color rgb="FFBBBEBF"/>
        <rFont val="Consolas"/>
        <family val="3"/>
        <charset val="1"/>
      </rPr>
      <t xml:space="preserve"> </t>
    </r>
    <r>
      <rPr>
        <sz val="11"/>
        <color rgb="FF9CDCFE"/>
        <rFont val="Consolas"/>
        <family val="3"/>
        <charset val="1"/>
      </rPr>
      <t>for</t>
    </r>
    <r>
      <rPr>
        <sz val="11"/>
        <color rgb="FFBBBEBF"/>
        <rFont val="Consolas"/>
        <family val="3"/>
        <charset val="1"/>
      </rPr>
      <t>=</t>
    </r>
    <r>
      <rPr>
        <sz val="11"/>
        <color rgb="FFA5D6FF"/>
        <rFont val="Consolas"/>
        <family val="3"/>
        <charset val="1"/>
      </rPr>
      <t>"mce-group[16777]-16777-7"</t>
    </r>
    <r>
      <rPr>
        <sz val="11"/>
        <color rgb="FF808080"/>
        <rFont val="Consolas"/>
        <family val="3"/>
        <charset val="1"/>
      </rPr>
      <t>&gt;</t>
    </r>
    <r>
      <rPr>
        <sz val="11"/>
        <color rgb="FFBBBEBF"/>
        <rFont val="Consolas"/>
        <family val="3"/>
        <charset val="1"/>
      </rPr>
      <t>Exerzitien Online in Advent/Fastenzeit</t>
    </r>
    <r>
      <rPr>
        <sz val="11"/>
        <color rgb="FF808080"/>
        <rFont val="Consolas"/>
        <family val="3"/>
        <charset val="1"/>
      </rPr>
      <t>&lt;/</t>
    </r>
    <r>
      <rPr>
        <sz val="11"/>
        <color rgb="FF7EE787"/>
        <rFont val="Consolas"/>
        <family val="3"/>
        <charset val="1"/>
      </rPr>
      <t>label</t>
    </r>
    <r>
      <rPr>
        <sz val="11"/>
        <color rgb="FF808080"/>
        <rFont val="Consolas"/>
        <family val="3"/>
        <charset val="1"/>
      </rPr>
      <t>&gt;&lt;/</t>
    </r>
    <r>
      <rPr>
        <sz val="11"/>
        <color rgb="FF7EE787"/>
        <rFont val="Consolas"/>
        <family val="3"/>
        <charset val="1"/>
      </rPr>
      <t>li</t>
    </r>
    <r>
      <rPr>
        <sz val="11"/>
        <color rgb="FF808080"/>
        <rFont val="Consolas"/>
        <family val="3"/>
        <charset val="1"/>
      </rPr>
      <t>&gt;</t>
    </r>
  </si>
  <si>
    <t>                        &lt;li style="display:none"&gt;&lt;input type="checkbox" name="group[16777][32]" id="mce-group[16777]-16777-7" value="" checked&gt;&lt;label for="mce-group[16777]-16777-7"&gt;Exerzitien Online in Advent/Fastenzeit&lt;/label&gt;&lt;/li&gt;</t>
  </si>
  <si>
    <t>                        &lt;select name="AUFMERKS01" class="" id="mce-AUFMERKS01"&gt;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</si>
  <si>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li</t>
    </r>
    <r>
      <rPr>
        <sz val="11"/>
        <color rgb="FF808080"/>
        <rFont val="Consolas"/>
        <family val="3"/>
        <charset val="1"/>
      </rPr>
      <t>&gt;&lt;</t>
    </r>
    <r>
      <rPr>
        <sz val="11"/>
        <color rgb="FF7EE787"/>
        <rFont val="Consolas"/>
        <family val="3"/>
        <charset val="1"/>
      </rPr>
      <t>input</t>
    </r>
    <r>
      <rPr>
        <sz val="11"/>
        <color rgb="FFBBBEBF"/>
        <rFont val="Consolas"/>
        <family val="3"/>
        <charset val="1"/>
      </rPr>
      <t xml:space="preserve"> </t>
    </r>
    <r>
      <rPr>
        <sz val="11"/>
        <color rgb="FF9CDCFE"/>
        <rFont val="Consolas"/>
        <family val="3"/>
        <charset val="1"/>
      </rPr>
      <t>type</t>
    </r>
    <r>
      <rPr>
        <sz val="11"/>
        <color rgb="FFBBBEBF"/>
        <rFont val="Consolas"/>
        <family val="3"/>
        <charset val="1"/>
      </rPr>
      <t>=</t>
    </r>
    <r>
      <rPr>
        <sz val="11"/>
        <color rgb="FFA5D6FF"/>
        <rFont val="Consolas"/>
        <family val="3"/>
        <charset val="1"/>
      </rPr>
      <t>"checkbox"</t>
    </r>
    <r>
      <rPr>
        <sz val="11"/>
        <color rgb="FFBBBEBF"/>
        <rFont val="Consolas"/>
        <family val="3"/>
        <charset val="1"/>
      </rPr>
      <t xml:space="preserve"> </t>
    </r>
    <r>
      <rPr>
        <sz val="11"/>
        <color rgb="FF9CDCFE"/>
        <rFont val="Consolas"/>
        <family val="3"/>
        <charset val="1"/>
      </rPr>
      <t>name</t>
    </r>
    <r>
      <rPr>
        <sz val="11"/>
        <color rgb="FFBBBEBF"/>
        <rFont val="Consolas"/>
        <family val="3"/>
        <charset val="1"/>
      </rPr>
      <t>=</t>
    </r>
    <r>
      <rPr>
        <sz val="11"/>
        <color rgb="FFA5D6FF"/>
        <rFont val="Consolas"/>
        <family val="3"/>
        <charset val="1"/>
      </rPr>
      <t>"group[16777][16]"</t>
    </r>
    <r>
      <rPr>
        <sz val="11"/>
        <color rgb="FFBBBEBF"/>
        <rFont val="Consolas"/>
        <family val="3"/>
        <charset val="1"/>
      </rPr>
      <t xml:space="preserve"> </t>
    </r>
    <r>
      <rPr>
        <sz val="11"/>
        <color rgb="FF9CDCFE"/>
        <rFont val="Consolas"/>
        <family val="3"/>
        <charset val="1"/>
      </rPr>
      <t>id</t>
    </r>
    <r>
      <rPr>
        <sz val="11"/>
        <color rgb="FFBBBEBF"/>
        <rFont val="Consolas"/>
        <family val="3"/>
        <charset val="1"/>
      </rPr>
      <t>=</t>
    </r>
    <r>
      <rPr>
        <sz val="11"/>
        <color rgb="FFA5D6FF"/>
        <rFont val="Consolas"/>
        <family val="3"/>
        <charset val="1"/>
      </rPr>
      <t>"mce-group[16777]-16777-8"</t>
    </r>
    <r>
      <rPr>
        <sz val="11"/>
        <color rgb="FFBBBEBF"/>
        <rFont val="Consolas"/>
        <family val="3"/>
        <charset val="1"/>
      </rPr>
      <t xml:space="preserve"> </t>
    </r>
    <r>
      <rPr>
        <sz val="11"/>
        <color rgb="FF9CDCFE"/>
        <rFont val="Consolas"/>
        <family val="3"/>
        <charset val="1"/>
      </rPr>
      <t>value</t>
    </r>
    <r>
      <rPr>
        <sz val="11"/>
        <color rgb="FFBBBEBF"/>
        <rFont val="Consolas"/>
        <family val="3"/>
        <charset val="1"/>
      </rPr>
      <t>=</t>
    </r>
    <r>
      <rPr>
        <sz val="11"/>
        <color rgb="FFA5D6FF"/>
        <rFont val="Consolas"/>
        <family val="3"/>
        <charset val="1"/>
      </rPr>
      <t>""</t>
    </r>
    <r>
      <rPr>
        <sz val="11"/>
        <color rgb="FF808080"/>
        <rFont val="Consolas"/>
        <family val="3"/>
        <charset val="1"/>
      </rPr>
      <t>&gt;&lt;</t>
    </r>
    <r>
      <rPr>
        <sz val="11"/>
        <color rgb="FF7EE787"/>
        <rFont val="Consolas"/>
        <family val="3"/>
        <charset val="1"/>
      </rPr>
      <t>label</t>
    </r>
    <r>
      <rPr>
        <sz val="11"/>
        <color rgb="FFBBBEBF"/>
        <rFont val="Consolas"/>
        <family val="3"/>
        <charset val="1"/>
      </rPr>
      <t xml:space="preserve"> </t>
    </r>
    <r>
      <rPr>
        <sz val="11"/>
        <color rgb="FF9CDCFE"/>
        <rFont val="Consolas"/>
        <family val="3"/>
        <charset val="1"/>
      </rPr>
      <t>for</t>
    </r>
    <r>
      <rPr>
        <sz val="11"/>
        <color rgb="FFBBBEBF"/>
        <rFont val="Consolas"/>
        <family val="3"/>
        <charset val="1"/>
      </rPr>
      <t>=</t>
    </r>
    <r>
      <rPr>
        <sz val="11"/>
        <color rgb="FFA5D6FF"/>
        <rFont val="Consolas"/>
        <family val="3"/>
        <charset val="1"/>
      </rPr>
      <t>"mce-group[16777]-16777-8"</t>
    </r>
    <r>
      <rPr>
        <sz val="11"/>
        <color rgb="FF808080"/>
        <rFont val="Consolas"/>
        <family val="3"/>
        <charset val="1"/>
      </rPr>
      <t>&gt;</t>
    </r>
    <r>
      <rPr>
        <sz val="11"/>
        <color rgb="FFBBBEBF"/>
        <rFont val="Consolas"/>
        <family val="3"/>
        <charset val="1"/>
      </rPr>
      <t>Novene Online zum Skapulierfest</t>
    </r>
    <r>
      <rPr>
        <sz val="11"/>
        <color rgb="FF808080"/>
        <rFont val="Consolas"/>
        <family val="3"/>
        <charset val="1"/>
      </rPr>
      <t>&lt;/</t>
    </r>
    <r>
      <rPr>
        <sz val="11"/>
        <color rgb="FF7EE787"/>
        <rFont val="Consolas"/>
        <family val="3"/>
        <charset val="1"/>
      </rPr>
      <t>label</t>
    </r>
    <r>
      <rPr>
        <sz val="11"/>
        <color rgb="FF808080"/>
        <rFont val="Consolas"/>
        <family val="3"/>
        <charset val="1"/>
      </rPr>
      <t>&gt;&lt;/</t>
    </r>
    <r>
      <rPr>
        <sz val="11"/>
        <color rgb="FF7EE787"/>
        <rFont val="Consolas"/>
        <family val="3"/>
        <charset val="1"/>
      </rPr>
      <t>li</t>
    </r>
    <r>
      <rPr>
        <sz val="11"/>
        <color rgb="FF808080"/>
        <rFont val="Consolas"/>
        <family val="3"/>
        <charset val="1"/>
      </rPr>
      <t>&gt;</t>
    </r>
  </si>
  <si>
    <t>                        &lt;li&gt;&lt;input type="checkbox" name="group[16777][16]" id="mce-group[16777]-16777-8" value=""&gt;&lt;label for="mce-group[16777]-16777-8"&gt;Novene Online zum Skapulierfest&lt;/label&gt;&lt;/li&gt;</t>
  </si>
  <si>
    <t>                        &lt;option value="Bitte auswahlen..."&gt;Bitte auswahlen...&lt;/option&gt;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</si>
  <si>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li</t>
    </r>
    <r>
      <rPr>
        <sz val="11"/>
        <color rgb="FF808080"/>
        <rFont val="Consolas"/>
        <family val="3"/>
        <charset val="1"/>
      </rPr>
      <t>&gt;&lt;</t>
    </r>
    <r>
      <rPr>
        <sz val="11"/>
        <color rgb="FF7EE787"/>
        <rFont val="Consolas"/>
        <family val="3"/>
        <charset val="1"/>
      </rPr>
      <t>input</t>
    </r>
    <r>
      <rPr>
        <sz val="11"/>
        <color rgb="FFBBBEBF"/>
        <rFont val="Consolas"/>
        <family val="3"/>
        <charset val="1"/>
      </rPr>
      <t xml:space="preserve"> </t>
    </r>
    <r>
      <rPr>
        <sz val="11"/>
        <color rgb="FF9CDCFE"/>
        <rFont val="Consolas"/>
        <family val="3"/>
        <charset val="1"/>
      </rPr>
      <t>type</t>
    </r>
    <r>
      <rPr>
        <sz val="11"/>
        <color rgb="FFBBBEBF"/>
        <rFont val="Consolas"/>
        <family val="3"/>
        <charset val="1"/>
      </rPr>
      <t>=</t>
    </r>
    <r>
      <rPr>
        <sz val="11"/>
        <color rgb="FFA5D6FF"/>
        <rFont val="Consolas"/>
        <family val="3"/>
        <charset val="1"/>
      </rPr>
      <t>"checkbox"</t>
    </r>
    <r>
      <rPr>
        <sz val="11"/>
        <color rgb="FFBBBEBF"/>
        <rFont val="Consolas"/>
        <family val="3"/>
        <charset val="1"/>
      </rPr>
      <t xml:space="preserve"> </t>
    </r>
    <r>
      <rPr>
        <sz val="11"/>
        <color rgb="FF9CDCFE"/>
        <rFont val="Consolas"/>
        <family val="3"/>
        <charset val="1"/>
      </rPr>
      <t>name</t>
    </r>
    <r>
      <rPr>
        <sz val="11"/>
        <color rgb="FFBBBEBF"/>
        <rFont val="Consolas"/>
        <family val="3"/>
        <charset val="1"/>
      </rPr>
      <t>=</t>
    </r>
    <r>
      <rPr>
        <sz val="11"/>
        <color rgb="FFA5D6FF"/>
        <rFont val="Consolas"/>
        <family val="3"/>
        <charset val="1"/>
      </rPr>
      <t>"group[16777][8192]"</t>
    </r>
    <r>
      <rPr>
        <sz val="11"/>
        <color rgb="FFBBBEBF"/>
        <rFont val="Consolas"/>
        <family val="3"/>
        <charset val="1"/>
      </rPr>
      <t xml:space="preserve"> </t>
    </r>
    <r>
      <rPr>
        <sz val="11"/>
        <color rgb="FF9CDCFE"/>
        <rFont val="Consolas"/>
        <family val="3"/>
        <charset val="1"/>
      </rPr>
      <t>id</t>
    </r>
    <r>
      <rPr>
        <sz val="11"/>
        <color rgb="FFBBBEBF"/>
        <rFont val="Consolas"/>
        <family val="3"/>
        <charset val="1"/>
      </rPr>
      <t>=</t>
    </r>
    <r>
      <rPr>
        <sz val="11"/>
        <color rgb="FFA5D6FF"/>
        <rFont val="Consolas"/>
        <family val="3"/>
        <charset val="1"/>
      </rPr>
      <t>"mce-group[16777]-16777-9"</t>
    </r>
    <r>
      <rPr>
        <sz val="11"/>
        <color rgb="FFBBBEBF"/>
        <rFont val="Consolas"/>
        <family val="3"/>
        <charset val="1"/>
      </rPr>
      <t xml:space="preserve"> </t>
    </r>
    <r>
      <rPr>
        <sz val="11"/>
        <color rgb="FF9CDCFE"/>
        <rFont val="Consolas"/>
        <family val="3"/>
        <charset val="1"/>
      </rPr>
      <t>value</t>
    </r>
    <r>
      <rPr>
        <sz val="11"/>
        <color rgb="FFBBBEBF"/>
        <rFont val="Consolas"/>
        <family val="3"/>
        <charset val="1"/>
      </rPr>
      <t>=</t>
    </r>
    <r>
      <rPr>
        <sz val="11"/>
        <color rgb="FFA5D6FF"/>
        <rFont val="Consolas"/>
        <family val="3"/>
        <charset val="1"/>
      </rPr>
      <t>""</t>
    </r>
    <r>
      <rPr>
        <sz val="11"/>
        <color rgb="FF808080"/>
        <rFont val="Consolas"/>
        <family val="3"/>
        <charset val="1"/>
      </rPr>
      <t>&gt;&lt;</t>
    </r>
    <r>
      <rPr>
        <sz val="11"/>
        <color rgb="FF7EE787"/>
        <rFont val="Consolas"/>
        <family val="3"/>
        <charset val="1"/>
      </rPr>
      <t>label</t>
    </r>
    <r>
      <rPr>
        <sz val="11"/>
        <color rgb="FFBBBEBF"/>
        <rFont val="Consolas"/>
        <family val="3"/>
        <charset val="1"/>
      </rPr>
      <t xml:space="preserve"> </t>
    </r>
    <r>
      <rPr>
        <sz val="11"/>
        <color rgb="FF9CDCFE"/>
        <rFont val="Consolas"/>
        <family val="3"/>
        <charset val="1"/>
      </rPr>
      <t>for</t>
    </r>
    <r>
      <rPr>
        <sz val="11"/>
        <color rgb="FFBBBEBF"/>
        <rFont val="Consolas"/>
        <family val="3"/>
        <charset val="1"/>
      </rPr>
      <t>=</t>
    </r>
    <r>
      <rPr>
        <sz val="11"/>
        <color rgb="FFA5D6FF"/>
        <rFont val="Consolas"/>
        <family val="3"/>
        <charset val="1"/>
      </rPr>
      <t>"mce-group[16777]-16777-9"</t>
    </r>
    <r>
      <rPr>
        <sz val="11"/>
        <color rgb="FF808080"/>
        <rFont val="Consolas"/>
        <family val="3"/>
        <charset val="1"/>
      </rPr>
      <t>&gt;</t>
    </r>
    <r>
      <rPr>
        <sz val="11"/>
        <color rgb="FFBBBEBF"/>
        <rFont val="Consolas"/>
        <family val="3"/>
        <charset val="1"/>
      </rPr>
      <t>33 Schritte mit Maria zu Jesus</t>
    </r>
    <r>
      <rPr>
        <sz val="11"/>
        <color rgb="FF808080"/>
        <rFont val="Consolas"/>
        <family val="3"/>
        <charset val="1"/>
      </rPr>
      <t>&lt;/</t>
    </r>
    <r>
      <rPr>
        <sz val="11"/>
        <color rgb="FF7EE787"/>
        <rFont val="Consolas"/>
        <family val="3"/>
        <charset val="1"/>
      </rPr>
      <t>label</t>
    </r>
    <r>
      <rPr>
        <sz val="11"/>
        <color rgb="FF808080"/>
        <rFont val="Consolas"/>
        <family val="3"/>
        <charset val="1"/>
      </rPr>
      <t>&gt;&lt;/</t>
    </r>
    <r>
      <rPr>
        <sz val="11"/>
        <color rgb="FF7EE787"/>
        <rFont val="Consolas"/>
        <family val="3"/>
        <charset val="1"/>
      </rPr>
      <t>li</t>
    </r>
    <r>
      <rPr>
        <sz val="11"/>
        <color rgb="FF808080"/>
        <rFont val="Consolas"/>
        <family val="3"/>
        <charset val="1"/>
      </rPr>
      <t>&gt;</t>
    </r>
  </si>
  <si>
    <t>                        &lt;li&gt;&lt;input type="checkbox" name="group[16777][8192]" id="mce-group[16777]-16777-9" value=""&gt;&lt;label for="mce-group[16777]-16777-9"&gt;33 Schritte mit Maria zu Jesus&lt;/label&gt;&lt;/li&gt;</t>
  </si>
  <si>
    <t>                        &lt;option value="Karmeliten in Wien"&gt;Karmeliten in Wien&lt;/option&gt;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</si>
  <si>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li</t>
    </r>
    <r>
      <rPr>
        <sz val="11"/>
        <color rgb="FF808080"/>
        <rFont val="Consolas"/>
        <family val="3"/>
        <charset val="1"/>
      </rPr>
      <t>&gt;&lt;</t>
    </r>
    <r>
      <rPr>
        <sz val="11"/>
        <color rgb="FF7EE787"/>
        <rFont val="Consolas"/>
        <family val="3"/>
        <charset val="1"/>
      </rPr>
      <t>input</t>
    </r>
    <r>
      <rPr>
        <sz val="11"/>
        <color rgb="FFBBBEBF"/>
        <rFont val="Consolas"/>
        <family val="3"/>
        <charset val="1"/>
      </rPr>
      <t xml:space="preserve"> </t>
    </r>
    <r>
      <rPr>
        <sz val="11"/>
        <color rgb="FF9CDCFE"/>
        <rFont val="Consolas"/>
        <family val="3"/>
        <charset val="1"/>
      </rPr>
      <t>type</t>
    </r>
    <r>
      <rPr>
        <sz val="11"/>
        <color rgb="FFBBBEBF"/>
        <rFont val="Consolas"/>
        <family val="3"/>
        <charset val="1"/>
      </rPr>
      <t>=</t>
    </r>
    <r>
      <rPr>
        <sz val="11"/>
        <color rgb="FFA5D6FF"/>
        <rFont val="Consolas"/>
        <family val="3"/>
        <charset val="1"/>
      </rPr>
      <t>"checkbox"</t>
    </r>
    <r>
      <rPr>
        <sz val="11"/>
        <color rgb="FFBBBEBF"/>
        <rFont val="Consolas"/>
        <family val="3"/>
        <charset val="1"/>
      </rPr>
      <t xml:space="preserve"> </t>
    </r>
    <r>
      <rPr>
        <sz val="11"/>
        <color rgb="FF9CDCFE"/>
        <rFont val="Consolas"/>
        <family val="3"/>
        <charset val="1"/>
      </rPr>
      <t>name</t>
    </r>
    <r>
      <rPr>
        <sz val="11"/>
        <color rgb="FFBBBEBF"/>
        <rFont val="Consolas"/>
        <family val="3"/>
        <charset val="1"/>
      </rPr>
      <t>=</t>
    </r>
    <r>
      <rPr>
        <sz val="11"/>
        <color rgb="FFA5D6FF"/>
        <rFont val="Consolas"/>
        <family val="3"/>
        <charset val="1"/>
      </rPr>
      <t>"group[16777][4096]"</t>
    </r>
    <r>
      <rPr>
        <sz val="11"/>
        <color rgb="FFBBBEBF"/>
        <rFont val="Consolas"/>
        <family val="3"/>
        <charset val="1"/>
      </rPr>
      <t xml:space="preserve"> </t>
    </r>
    <r>
      <rPr>
        <sz val="11"/>
        <color rgb="FF9CDCFE"/>
        <rFont val="Consolas"/>
        <family val="3"/>
        <charset val="1"/>
      </rPr>
      <t>id</t>
    </r>
    <r>
      <rPr>
        <sz val="11"/>
        <color rgb="FFBBBEBF"/>
        <rFont val="Consolas"/>
        <family val="3"/>
        <charset val="1"/>
      </rPr>
      <t>=</t>
    </r>
    <r>
      <rPr>
        <sz val="11"/>
        <color rgb="FFA5D6FF"/>
        <rFont val="Consolas"/>
        <family val="3"/>
        <charset val="1"/>
      </rPr>
      <t>"mce-group[16777]-16777-10"</t>
    </r>
    <r>
      <rPr>
        <sz val="11"/>
        <color rgb="FFBBBEBF"/>
        <rFont val="Consolas"/>
        <family val="3"/>
        <charset val="1"/>
      </rPr>
      <t xml:space="preserve"> </t>
    </r>
    <r>
      <rPr>
        <sz val="11"/>
        <color rgb="FF9CDCFE"/>
        <rFont val="Consolas"/>
        <family val="3"/>
        <charset val="1"/>
      </rPr>
      <t>value</t>
    </r>
    <r>
      <rPr>
        <sz val="11"/>
        <color rgb="FFBBBEBF"/>
        <rFont val="Consolas"/>
        <family val="3"/>
        <charset val="1"/>
      </rPr>
      <t>=</t>
    </r>
    <r>
      <rPr>
        <sz val="11"/>
        <color rgb="FFA5D6FF"/>
        <rFont val="Consolas"/>
        <family val="3"/>
        <charset val="1"/>
      </rPr>
      <t>""</t>
    </r>
    <r>
      <rPr>
        <sz val="11"/>
        <color rgb="FF808080"/>
        <rFont val="Consolas"/>
        <family val="3"/>
        <charset val="1"/>
      </rPr>
      <t>&gt;&lt;</t>
    </r>
    <r>
      <rPr>
        <sz val="11"/>
        <color rgb="FF7EE787"/>
        <rFont val="Consolas"/>
        <family val="3"/>
        <charset val="1"/>
      </rPr>
      <t>label</t>
    </r>
    <r>
      <rPr>
        <sz val="11"/>
        <color rgb="FFBBBEBF"/>
        <rFont val="Consolas"/>
        <family val="3"/>
        <charset val="1"/>
      </rPr>
      <t xml:space="preserve"> </t>
    </r>
    <r>
      <rPr>
        <sz val="11"/>
        <color rgb="FF9CDCFE"/>
        <rFont val="Consolas"/>
        <family val="3"/>
        <charset val="1"/>
      </rPr>
      <t>for</t>
    </r>
    <r>
      <rPr>
        <sz val="11"/>
        <color rgb="FFBBBEBF"/>
        <rFont val="Consolas"/>
        <family val="3"/>
        <charset val="1"/>
      </rPr>
      <t>=</t>
    </r>
    <r>
      <rPr>
        <sz val="11"/>
        <color rgb="FFA5D6FF"/>
        <rFont val="Consolas"/>
        <family val="3"/>
        <charset val="1"/>
      </rPr>
      <t>"mce-group[16777]-16777-10"</t>
    </r>
    <r>
      <rPr>
        <sz val="11"/>
        <color rgb="FF808080"/>
        <rFont val="Consolas"/>
        <family val="3"/>
        <charset val="1"/>
      </rPr>
      <t>&gt;</t>
    </r>
    <r>
      <rPr>
        <sz val="11"/>
        <color rgb="FFBBBEBF"/>
        <rFont val="Consolas"/>
        <family val="3"/>
        <charset val="1"/>
      </rPr>
      <t>Jesus-Gebet</t>
    </r>
    <r>
      <rPr>
        <sz val="11"/>
        <color rgb="FF808080"/>
        <rFont val="Consolas"/>
        <family val="3"/>
        <charset val="1"/>
      </rPr>
      <t>&lt;/</t>
    </r>
    <r>
      <rPr>
        <sz val="11"/>
        <color rgb="FF7EE787"/>
        <rFont val="Consolas"/>
        <family val="3"/>
        <charset val="1"/>
      </rPr>
      <t>label</t>
    </r>
    <r>
      <rPr>
        <sz val="11"/>
        <color rgb="FF808080"/>
        <rFont val="Consolas"/>
        <family val="3"/>
        <charset val="1"/>
      </rPr>
      <t>&gt;&lt;/</t>
    </r>
    <r>
      <rPr>
        <sz val="11"/>
        <color rgb="FF7EE787"/>
        <rFont val="Consolas"/>
        <family val="3"/>
        <charset val="1"/>
      </rPr>
      <t>li</t>
    </r>
    <r>
      <rPr>
        <sz val="11"/>
        <color rgb="FF808080"/>
        <rFont val="Consolas"/>
        <family val="3"/>
        <charset val="1"/>
      </rPr>
      <t>&gt;</t>
    </r>
    <r>
      <rPr>
        <sz val="11"/>
        <color rgb="FFBBBEBF"/>
        <rFont val="Consolas"/>
        <family val="3"/>
        <charset val="1"/>
      </rPr>
      <t xml:space="preserve">                      </t>
    </r>
  </si>
  <si>
    <t>                        &lt;li&gt;&lt;input type="checkbox" name="group[16777][4096]" id="mce-group[16777]-16777-10" value=""&gt;&lt;label for="mce-group[16777]-16777-10"&gt;Jesus-Gebet&lt;/label&gt;&lt;/li&gt;                      </t>
  </si>
  <si>
    <t>                        &lt;option value="Karmeliten in Linz"&gt;Karmeliten in Linz&lt;/option&gt;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</si>
  <si>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ul</t>
    </r>
    <r>
      <rPr>
        <sz val="11"/>
        <color rgb="FF808080"/>
        <rFont val="Consolas"/>
        <family val="3"/>
        <charset val="1"/>
      </rPr>
      <t>&gt;</t>
    </r>
  </si>
  <si>
    <t>                          &lt;/ul&gt;</t>
  </si>
  <si>
    <t>                        &lt;option value="Karmeliten in Graz"&gt;Karmeliten in Graz&lt;/option&gt;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</si>
  <si>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details</t>
    </r>
    <r>
      <rPr>
        <sz val="11"/>
        <color rgb="FF808080"/>
        <rFont val="Consolas"/>
        <family val="3"/>
        <charset val="1"/>
      </rPr>
      <t>&gt;</t>
    </r>
  </si>
  <si>
    <t>                        &lt;/details&gt;</t>
  </si>
  <si>
    <t>                        &lt;option value="Persönliche Empfehlung"&gt;Persönliche Empfehlung&lt;/option&gt;</t>
  </si>
  <si>
    <t>&lt;!--                                    &lt;div class="card-links"&gt;</t>
  </si>
  <si>
    <t>                        &lt;option value="Plakat"&gt;Plakat&lt;/option&gt;</t>
  </si>
  <si>
    <t>              &lt;a href="#angebote-cards"&gt;Mehr Informationen zur Angebote nach unten&lt;/a&gt;</t>
  </si>
  <si>
    <t>                        &lt;option value="Internetsuche"&gt;Internetsuche&lt;/option&gt;</t>
  </si>
  <si>
    <t>            &lt;/div&gt; --&gt;</t>
  </si>
  <si>
    <t>                        &lt;option value="YouTube"&gt;YouTube&lt;/option&gt;</t>
  </si>
  <si>
    <t>                        &lt;option value="Facebook"&gt;Facebook&lt;/option&gt;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</si>
  <si>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div</t>
    </r>
    <r>
      <rPr>
        <sz val="11"/>
        <color rgb="FFBBBEBF"/>
        <rFont val="Consolas"/>
        <family val="3"/>
        <charset val="1"/>
      </rPr>
      <t xml:space="preserve"> </t>
    </r>
    <r>
      <rPr>
        <sz val="11"/>
        <color rgb="FF9CDCFE"/>
        <rFont val="Consolas"/>
        <family val="3"/>
        <charset val="1"/>
      </rPr>
      <t>hidden</t>
    </r>
    <r>
      <rPr>
        <sz val="11"/>
        <color rgb="FFBBBEBF"/>
        <rFont val="Consolas"/>
        <family val="3"/>
        <charset val="1"/>
      </rPr>
      <t>=</t>
    </r>
    <r>
      <rPr>
        <sz val="11"/>
        <color rgb="FFA5D6FF"/>
        <rFont val="Consolas"/>
        <family val="3"/>
        <charset val="1"/>
      </rPr>
      <t>""</t>
    </r>
    <r>
      <rPr>
        <sz val="11"/>
        <color rgb="FF808080"/>
        <rFont val="Consolas"/>
        <family val="3"/>
        <charset val="1"/>
      </rPr>
      <t>&gt;&lt;</t>
    </r>
    <r>
      <rPr>
        <sz val="11"/>
        <color rgb="FF7EE787"/>
        <rFont val="Consolas"/>
        <family val="3"/>
        <charset val="1"/>
      </rPr>
      <t>input</t>
    </r>
    <r>
      <rPr>
        <sz val="11"/>
        <color rgb="FFBBBEBF"/>
        <rFont val="Consolas"/>
        <family val="3"/>
        <charset val="1"/>
      </rPr>
      <t xml:space="preserve"> </t>
    </r>
    <r>
      <rPr>
        <sz val="11"/>
        <color rgb="FF9CDCFE"/>
        <rFont val="Consolas"/>
        <family val="3"/>
        <charset val="1"/>
      </rPr>
      <t>type</t>
    </r>
    <r>
      <rPr>
        <sz val="11"/>
        <color rgb="FFBBBEBF"/>
        <rFont val="Consolas"/>
        <family val="3"/>
        <charset val="1"/>
      </rPr>
      <t>=</t>
    </r>
    <r>
      <rPr>
        <sz val="11"/>
        <color rgb="FFA5D6FF"/>
        <rFont val="Consolas"/>
        <family val="3"/>
        <charset val="1"/>
      </rPr>
      <t>"hidden"</t>
    </r>
    <r>
      <rPr>
        <sz val="11"/>
        <color rgb="FFBBBEBF"/>
        <rFont val="Consolas"/>
        <family val="3"/>
        <charset val="1"/>
      </rPr>
      <t xml:space="preserve"> </t>
    </r>
    <r>
      <rPr>
        <sz val="11"/>
        <color rgb="FF9CDCFE"/>
        <rFont val="Consolas"/>
        <family val="3"/>
        <charset val="1"/>
      </rPr>
      <t>name</t>
    </r>
    <r>
      <rPr>
        <sz val="11"/>
        <color rgb="FFBBBEBF"/>
        <rFont val="Consolas"/>
        <family val="3"/>
        <charset val="1"/>
      </rPr>
      <t>=</t>
    </r>
    <r>
      <rPr>
        <sz val="11"/>
        <color rgb="FFA5D6FF"/>
        <rFont val="Consolas"/>
        <family val="3"/>
        <charset val="1"/>
      </rPr>
      <t>"tags"</t>
    </r>
    <r>
      <rPr>
        <sz val="11"/>
        <color rgb="FFBBBEBF"/>
        <rFont val="Consolas"/>
        <family val="3"/>
        <charset val="1"/>
      </rPr>
      <t xml:space="preserve"> </t>
    </r>
    <r>
      <rPr>
        <sz val="11"/>
        <color rgb="FF9CDCFE"/>
        <rFont val="Consolas"/>
        <family val="3"/>
        <charset val="1"/>
      </rPr>
      <t>value</t>
    </r>
    <r>
      <rPr>
        <sz val="11"/>
        <color rgb="FFBBBEBF"/>
        <rFont val="Consolas"/>
        <family val="3"/>
        <charset val="1"/>
      </rPr>
      <t>=</t>
    </r>
    <r>
      <rPr>
        <sz val="11"/>
        <color rgb="FFA5D6FF"/>
        <rFont val="Consolas"/>
        <family val="3"/>
        <charset val="1"/>
      </rPr>
      <t>"8501"</t>
    </r>
    <r>
      <rPr>
        <sz val="11"/>
        <color rgb="FF808080"/>
        <rFont val="Consolas"/>
        <family val="3"/>
        <charset val="1"/>
      </rPr>
      <t>&gt;&lt;/</t>
    </r>
    <r>
      <rPr>
        <sz val="11"/>
        <color rgb="FF7EE787"/>
        <rFont val="Consolas"/>
        <family val="3"/>
        <charset val="1"/>
      </rPr>
      <t>div</t>
    </r>
    <r>
      <rPr>
        <sz val="11"/>
        <color rgb="FF808080"/>
        <rFont val="Consolas"/>
        <family val="3"/>
        <charset val="1"/>
      </rPr>
      <t>&gt;</t>
    </r>
  </si>
  <si>
    <t>                      &lt;div hidden=""&gt;&lt;input type="hidden" name="tags" value="8501"&gt;&lt;/div&gt;</t>
  </si>
  <si>
    <t>                        &lt;option value="Instagram"&gt;Instagram&lt;/option&gt;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</si>
  <si>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div</t>
    </r>
    <r>
      <rPr>
        <sz val="11"/>
        <color rgb="FF808080"/>
        <rFont val="Consolas"/>
        <family val="3"/>
        <charset val="1"/>
      </rPr>
      <t>&gt;</t>
    </r>
  </si>
  <si>
    <t>                    &lt;/div&gt;</t>
  </si>
  <si>
    <t>                        &lt;option value="Sonstiges"&gt;Sonstiges&lt;/option&gt;&lt;/select&gt;&lt;/div&gt;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</si>
  <si>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div</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"mc-field-group"</t>
    </r>
    <r>
      <rPr>
        <sz val="11"/>
        <color rgb="FF808080"/>
        <rFont val="Consolas"/>
        <family val="3"/>
        <charset val="1"/>
      </rPr>
      <t>&gt;&lt;</t>
    </r>
    <r>
      <rPr>
        <sz val="11"/>
        <color rgb="FF7EE787"/>
        <rFont val="Consolas"/>
        <family val="3"/>
        <charset val="1"/>
      </rPr>
      <t>label</t>
    </r>
    <r>
      <rPr>
        <sz val="11"/>
        <color rgb="FFBBBEBF"/>
        <rFont val="Consolas"/>
        <family val="3"/>
        <charset val="1"/>
      </rPr>
      <t xml:space="preserve"> </t>
    </r>
    <r>
      <rPr>
        <sz val="11"/>
        <color rgb="FF9CDCFE"/>
        <rFont val="Consolas"/>
        <family val="3"/>
        <charset val="1"/>
      </rPr>
      <t>for</t>
    </r>
    <r>
      <rPr>
        <sz val="11"/>
        <color rgb="FFBBBEBF"/>
        <rFont val="Consolas"/>
        <family val="3"/>
        <charset val="1"/>
      </rPr>
      <t>=</t>
    </r>
    <r>
      <rPr>
        <sz val="11"/>
        <color rgb="FFA5D6FF"/>
        <rFont val="Consolas"/>
        <family val="3"/>
        <charset val="1"/>
      </rPr>
      <t>"mce-AUFMERKS01"</t>
    </r>
    <r>
      <rPr>
        <sz val="11"/>
        <color rgb="FF808080"/>
        <rFont val="Consolas"/>
        <family val="3"/>
        <charset val="1"/>
      </rPr>
      <t>&gt;</t>
    </r>
    <r>
      <rPr>
        <sz val="11"/>
        <color rgb="FFBBBEBF"/>
        <rFont val="Consolas"/>
        <family val="3"/>
        <charset val="1"/>
      </rPr>
      <t xml:space="preserve">Wie sind Sie auf uns aufmerksam geworden? </t>
    </r>
    <r>
      <rPr>
        <sz val="11"/>
        <color rgb="FF808080"/>
        <rFont val="Consolas"/>
        <family val="3"/>
        <charset val="1"/>
      </rPr>
      <t>&lt;/</t>
    </r>
    <r>
      <rPr>
        <sz val="11"/>
        <color rgb="FF7EE787"/>
        <rFont val="Consolas"/>
        <family val="3"/>
        <charset val="1"/>
      </rPr>
      <t>label</t>
    </r>
    <r>
      <rPr>
        <sz val="11"/>
        <color rgb="FF808080"/>
        <rFont val="Consolas"/>
        <family val="3"/>
        <charset val="1"/>
      </rPr>
      <t>&gt;</t>
    </r>
  </si>
  <si>
    <t>                      &lt;div class="mc-field-group"&gt;&lt;label for="mce-AUFMERKS01"&gt;Wie sind Sie auf uns aufmerksam geworden? &lt;/label&gt;</t>
  </si>
  <si>
    <t>                      &lt;div class="mc-field-group" id="sonstiges-field" style="display:none"&gt;&lt;label for="mce-AUFMERKS02"&gt;Sonstiges&lt;/label&gt;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</si>
  <si>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select</t>
    </r>
    <r>
      <rPr>
        <sz val="11"/>
        <color rgb="FFBBBEBF"/>
        <rFont val="Consolas"/>
        <family val="3"/>
        <charset val="1"/>
      </rPr>
      <t xml:space="preserve"> </t>
    </r>
    <r>
      <rPr>
        <sz val="11"/>
        <color rgb="FF9CDCFE"/>
        <rFont val="Consolas"/>
        <family val="3"/>
        <charset val="1"/>
      </rPr>
      <t>name</t>
    </r>
    <r>
      <rPr>
        <sz val="11"/>
        <color rgb="FFBBBEBF"/>
        <rFont val="Consolas"/>
        <family val="3"/>
        <charset val="1"/>
      </rPr>
      <t>=</t>
    </r>
    <r>
      <rPr>
        <sz val="11"/>
        <color rgb="FFA5D6FF"/>
        <rFont val="Consolas"/>
        <family val="3"/>
        <charset val="1"/>
      </rPr>
      <t>"AUFMERKS01"</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t>
    </r>
    <r>
      <rPr>
        <sz val="11"/>
        <color rgb="FFBBBEBF"/>
        <rFont val="Consolas"/>
        <family val="3"/>
        <charset val="1"/>
      </rPr>
      <t xml:space="preserve"> </t>
    </r>
    <r>
      <rPr>
        <sz val="11"/>
        <color rgb="FF9CDCFE"/>
        <rFont val="Consolas"/>
        <family val="3"/>
        <charset val="1"/>
      </rPr>
      <t>id</t>
    </r>
    <r>
      <rPr>
        <sz val="11"/>
        <color rgb="FFBBBEBF"/>
        <rFont val="Consolas"/>
        <family val="3"/>
        <charset val="1"/>
      </rPr>
      <t>=</t>
    </r>
    <r>
      <rPr>
        <sz val="11"/>
        <color rgb="FFA5D6FF"/>
        <rFont val="Consolas"/>
        <family val="3"/>
        <charset val="1"/>
      </rPr>
      <t>"mce-AUFMERKS01"</t>
    </r>
    <r>
      <rPr>
        <sz val="11"/>
        <color rgb="FF808080"/>
        <rFont val="Consolas"/>
        <family val="3"/>
        <charset val="1"/>
      </rPr>
      <t>&gt;</t>
    </r>
  </si>
  <si>
    <t>                        &lt;input type="text" name="AUFMERKS02" class=" text" id="mce-AUFMERKS02" value="" disabled&gt;&lt;span id="mce-AUFMERKS02-HELPERTEXT" class="help-block" hidden&gt;Wenn Sie „Sonstiges“ ausgewählt haben, geben Sie bitte hier &lt;/span&gt;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</si>
  <si>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option</t>
    </r>
    <r>
      <rPr>
        <sz val="11"/>
        <color rgb="FFBBBEBF"/>
        <rFont val="Consolas"/>
        <family val="3"/>
        <charset val="1"/>
      </rPr>
      <t xml:space="preserve"> </t>
    </r>
    <r>
      <rPr>
        <sz val="11"/>
        <color rgb="FF9CDCFE"/>
        <rFont val="Consolas"/>
        <family val="3"/>
        <charset val="1"/>
      </rPr>
      <t>value</t>
    </r>
    <r>
      <rPr>
        <sz val="11"/>
        <color rgb="FFBBBEBF"/>
        <rFont val="Consolas"/>
        <family val="3"/>
        <charset val="1"/>
      </rPr>
      <t>=</t>
    </r>
    <r>
      <rPr>
        <sz val="11"/>
        <color rgb="FFA5D6FF"/>
        <rFont val="Consolas"/>
        <family val="3"/>
        <charset val="1"/>
      </rPr>
      <t>"Bitte auswahlen..."</t>
    </r>
    <r>
      <rPr>
        <sz val="11"/>
        <color rgb="FF808080"/>
        <rFont val="Consolas"/>
        <family val="3"/>
        <charset val="1"/>
      </rPr>
      <t>&gt;</t>
    </r>
    <r>
      <rPr>
        <sz val="11"/>
        <color rgb="FFBBBEBF"/>
        <rFont val="Consolas"/>
        <family val="3"/>
        <charset val="1"/>
      </rPr>
      <t>Bitte auswahlen...</t>
    </r>
    <r>
      <rPr>
        <sz val="11"/>
        <color rgb="FF808080"/>
        <rFont val="Consolas"/>
        <family val="3"/>
        <charset val="1"/>
      </rPr>
      <t>&lt;/</t>
    </r>
    <r>
      <rPr>
        <sz val="11"/>
        <color rgb="FF7EE787"/>
        <rFont val="Consolas"/>
        <family val="3"/>
        <charset val="1"/>
      </rPr>
      <t>option</t>
    </r>
    <r>
      <rPr>
        <sz val="11"/>
        <color rgb="FF808080"/>
        <rFont val="Consolas"/>
        <family val="3"/>
        <charset val="1"/>
      </rPr>
      <t>&gt;</t>
    </r>
  </si>
  <si>
    <t>                      &lt;/div&gt;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</si>
  <si>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option</t>
    </r>
    <r>
      <rPr>
        <sz val="11"/>
        <color rgb="FFBBBEBF"/>
        <rFont val="Consolas"/>
        <family val="3"/>
        <charset val="1"/>
      </rPr>
      <t xml:space="preserve"> </t>
    </r>
    <r>
      <rPr>
        <sz val="11"/>
        <color rgb="FF9CDCFE"/>
        <rFont val="Consolas"/>
        <family val="3"/>
        <charset val="1"/>
      </rPr>
      <t>value</t>
    </r>
    <r>
      <rPr>
        <sz val="11"/>
        <color rgb="FFBBBEBF"/>
        <rFont val="Consolas"/>
        <family val="3"/>
        <charset val="1"/>
      </rPr>
      <t>=</t>
    </r>
    <r>
      <rPr>
        <sz val="11"/>
        <color rgb="FFA5D6FF"/>
        <rFont val="Consolas"/>
        <family val="3"/>
        <charset val="1"/>
      </rPr>
      <t>"Karmeliten in Wien"</t>
    </r>
    <r>
      <rPr>
        <sz val="11"/>
        <color rgb="FF808080"/>
        <rFont val="Consolas"/>
        <family val="3"/>
        <charset val="1"/>
      </rPr>
      <t>&gt;</t>
    </r>
    <r>
      <rPr>
        <sz val="11"/>
        <color rgb="FFBBBEBF"/>
        <rFont val="Consolas"/>
        <family val="3"/>
        <charset val="1"/>
      </rPr>
      <t>Karmeliten in Wien</t>
    </r>
    <r>
      <rPr>
        <sz val="11"/>
        <color rgb="FF808080"/>
        <rFont val="Consolas"/>
        <family val="3"/>
        <charset val="1"/>
      </rPr>
      <t>&lt;/</t>
    </r>
    <r>
      <rPr>
        <sz val="11"/>
        <color rgb="FF7EE787"/>
        <rFont val="Consolas"/>
        <family val="3"/>
        <charset val="1"/>
      </rPr>
      <t>option</t>
    </r>
    <r>
      <rPr>
        <sz val="11"/>
        <color rgb="FF808080"/>
        <rFont val="Consolas"/>
        <family val="3"/>
        <charset val="1"/>
      </rPr>
      <t>&gt;</t>
    </r>
  </si>
  <si>
    <t>                  &lt;div class="mc-field-group"&gt;&lt;label for="mce-LNAME"&gt; &lt;/label&gt;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</si>
  <si>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option</t>
    </r>
    <r>
      <rPr>
        <sz val="11"/>
        <color rgb="FFBBBEBF"/>
        <rFont val="Consolas"/>
        <family val="3"/>
        <charset val="1"/>
      </rPr>
      <t xml:space="preserve"> </t>
    </r>
    <r>
      <rPr>
        <sz val="11"/>
        <color rgb="FF9CDCFE"/>
        <rFont val="Consolas"/>
        <family val="3"/>
        <charset val="1"/>
      </rPr>
      <t>value</t>
    </r>
    <r>
      <rPr>
        <sz val="11"/>
        <color rgb="FFBBBEBF"/>
        <rFont val="Consolas"/>
        <family val="3"/>
        <charset val="1"/>
      </rPr>
      <t>=</t>
    </r>
    <r>
      <rPr>
        <sz val="11"/>
        <color rgb="FFA5D6FF"/>
        <rFont val="Consolas"/>
        <family val="3"/>
        <charset val="1"/>
      </rPr>
      <t>"Karmeliten in Linz"</t>
    </r>
    <r>
      <rPr>
        <sz val="11"/>
        <color rgb="FF808080"/>
        <rFont val="Consolas"/>
        <family val="3"/>
        <charset val="1"/>
      </rPr>
      <t>&gt;</t>
    </r>
    <r>
      <rPr>
        <sz val="11"/>
        <color rgb="FFBBBEBF"/>
        <rFont val="Consolas"/>
        <family val="3"/>
        <charset val="1"/>
      </rPr>
      <t>Karmeliten in Linz</t>
    </r>
    <r>
      <rPr>
        <sz val="11"/>
        <color rgb="FF808080"/>
        <rFont val="Consolas"/>
        <family val="3"/>
        <charset val="1"/>
      </rPr>
      <t>&lt;/</t>
    </r>
    <r>
      <rPr>
        <sz val="11"/>
        <color rgb="FF7EE787"/>
        <rFont val="Consolas"/>
        <family val="3"/>
        <charset val="1"/>
      </rPr>
      <t>option</t>
    </r>
    <r>
      <rPr>
        <sz val="11"/>
        <color rgb="FF808080"/>
        <rFont val="Consolas"/>
        <family val="3"/>
        <charset val="1"/>
      </rPr>
      <t>&gt;</t>
    </r>
  </si>
  <si>
    <t>                  &lt;/div&gt;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</si>
  <si>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option</t>
    </r>
    <r>
      <rPr>
        <sz val="11"/>
        <color rgb="FFBBBEBF"/>
        <rFont val="Consolas"/>
        <family val="3"/>
        <charset val="1"/>
      </rPr>
      <t xml:space="preserve"> </t>
    </r>
    <r>
      <rPr>
        <sz val="11"/>
        <color rgb="FF9CDCFE"/>
        <rFont val="Consolas"/>
        <family val="3"/>
        <charset val="1"/>
      </rPr>
      <t>value</t>
    </r>
    <r>
      <rPr>
        <sz val="11"/>
        <color rgb="FFBBBEBF"/>
        <rFont val="Consolas"/>
        <family val="3"/>
        <charset val="1"/>
      </rPr>
      <t>=</t>
    </r>
    <r>
      <rPr>
        <sz val="11"/>
        <color rgb="FFA5D6FF"/>
        <rFont val="Consolas"/>
        <family val="3"/>
        <charset val="1"/>
      </rPr>
      <t>"Karmeliten in Graz"</t>
    </r>
    <r>
      <rPr>
        <sz val="11"/>
        <color rgb="FF808080"/>
        <rFont val="Consolas"/>
        <family val="3"/>
        <charset val="1"/>
      </rPr>
      <t>&gt;</t>
    </r>
    <r>
      <rPr>
        <sz val="11"/>
        <color rgb="FFBBBEBF"/>
        <rFont val="Consolas"/>
        <family val="3"/>
        <charset val="1"/>
      </rPr>
      <t>Karmeliten in Graz</t>
    </r>
    <r>
      <rPr>
        <sz val="11"/>
        <color rgb="FF808080"/>
        <rFont val="Consolas"/>
        <family val="3"/>
        <charset val="1"/>
      </rPr>
      <t>&lt;/</t>
    </r>
    <r>
      <rPr>
        <sz val="11"/>
        <color rgb="FF7EE787"/>
        <rFont val="Consolas"/>
        <family val="3"/>
        <charset val="1"/>
      </rPr>
      <t>option</t>
    </r>
    <r>
      <rPr>
        <sz val="11"/>
        <color rgb="FF808080"/>
        <rFont val="Consolas"/>
        <family val="3"/>
        <charset val="1"/>
      </rPr>
      <t>&gt;</t>
    </r>
  </si>
  <si>
    <r>
      <rPr>
        <sz val="11"/>
        <color rgb="FFBBBEBF"/>
        <rFont val="Consolas"/>
        <family val="3"/>
        <charset val="1"/>
      </rPr>
      <t xml:space="preserve">                        </t>
    </r>
    <r>
      <rPr>
        <sz val="11"/>
        <color rgb="FF808080"/>
        <rFont val="Consolas"/>
        <family val="3"/>
        <charset val="1"/>
      </rPr>
      <t>&lt;</t>
    </r>
    <r>
      <rPr>
        <sz val="11"/>
        <color rgb="FF7EE787"/>
        <rFont val="Consolas"/>
        <family val="3"/>
        <charset val="1"/>
      </rPr>
      <t>option</t>
    </r>
    <r>
      <rPr>
        <sz val="11"/>
        <color rgb="FFBBBEBF"/>
        <rFont val="Consolas"/>
        <family val="3"/>
        <charset val="1"/>
      </rPr>
      <t xml:space="preserve"> </t>
    </r>
    <r>
      <rPr>
        <sz val="11"/>
        <color rgb="FF9CDCFE"/>
        <rFont val="Consolas"/>
        <family val="3"/>
        <charset val="1"/>
      </rPr>
      <t>value</t>
    </r>
    <r>
      <rPr>
        <sz val="11"/>
        <color rgb="FFBBBEBF"/>
        <rFont val="Consolas"/>
        <family val="3"/>
        <charset val="1"/>
      </rPr>
      <t>=</t>
    </r>
    <r>
      <rPr>
        <sz val="11"/>
        <color rgb="FFA5D6FF"/>
        <rFont val="Consolas"/>
        <family val="3"/>
        <charset val="1"/>
      </rPr>
      <t>"Persönliche Empfehlung"</t>
    </r>
    <r>
      <rPr>
        <sz val="11"/>
        <color rgb="FF808080"/>
        <rFont val="Consolas"/>
        <family val="3"/>
        <charset val="1"/>
      </rPr>
      <t>&gt;</t>
    </r>
    <r>
      <rPr>
        <sz val="11"/>
        <color rgb="FFBBBEBF"/>
        <rFont val="Consolas"/>
        <family val="3"/>
        <charset val="1"/>
      </rPr>
      <t>Persönliche Empfehlung</t>
    </r>
    <r>
      <rPr>
        <sz val="11"/>
        <color rgb="FF808080"/>
        <rFont val="Consolas"/>
        <family val="3"/>
        <charset val="1"/>
      </rPr>
      <t>&lt;/</t>
    </r>
    <r>
      <rPr>
        <sz val="11"/>
        <color rgb="FF7EE787"/>
        <rFont val="Consolas"/>
        <family val="3"/>
        <charset val="1"/>
      </rPr>
      <t>option</t>
    </r>
    <r>
      <rPr>
        <sz val="11"/>
        <color rgb="FF808080"/>
        <rFont val="Consolas"/>
        <family val="3"/>
        <charset val="1"/>
      </rPr>
      <t>&gt;</t>
    </r>
  </si>
  <si>
    <t>                      &lt;details class="interest-details"&gt;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</si>
  <si>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option</t>
    </r>
    <r>
      <rPr>
        <sz val="11"/>
        <color rgb="FFBBBEBF"/>
        <rFont val="Consolas"/>
        <family val="3"/>
        <charset val="1"/>
      </rPr>
      <t xml:space="preserve"> </t>
    </r>
    <r>
      <rPr>
        <sz val="11"/>
        <color rgb="FF9CDCFE"/>
        <rFont val="Consolas"/>
        <family val="3"/>
        <charset val="1"/>
      </rPr>
      <t>value</t>
    </r>
    <r>
      <rPr>
        <sz val="11"/>
        <color rgb="FFBBBEBF"/>
        <rFont val="Consolas"/>
        <family val="3"/>
        <charset val="1"/>
      </rPr>
      <t>=</t>
    </r>
    <r>
      <rPr>
        <sz val="11"/>
        <color rgb="FFA5D6FF"/>
        <rFont val="Consolas"/>
        <family val="3"/>
        <charset val="1"/>
      </rPr>
      <t>"Plakat"</t>
    </r>
    <r>
      <rPr>
        <sz val="11"/>
        <color rgb="FF808080"/>
        <rFont val="Consolas"/>
        <family val="3"/>
        <charset val="1"/>
      </rPr>
      <t>&gt;</t>
    </r>
    <r>
      <rPr>
        <sz val="11"/>
        <color rgb="FFBBBEBF"/>
        <rFont val="Consolas"/>
        <family val="3"/>
        <charset val="1"/>
      </rPr>
      <t>Plakat</t>
    </r>
    <r>
      <rPr>
        <sz val="11"/>
        <color rgb="FF808080"/>
        <rFont val="Consolas"/>
        <family val="3"/>
        <charset val="1"/>
      </rPr>
      <t>&lt;/</t>
    </r>
    <r>
      <rPr>
        <sz val="11"/>
        <color rgb="FF7EE787"/>
        <rFont val="Consolas"/>
        <family val="3"/>
        <charset val="1"/>
      </rPr>
      <t>option</t>
    </r>
    <r>
      <rPr>
        <sz val="11"/>
        <color rgb="FF808080"/>
        <rFont val="Consolas"/>
        <family val="3"/>
        <charset val="1"/>
      </rPr>
      <t>&gt;</t>
    </r>
  </si>
  <si>
    <t>                        &lt;summary&gt;Weitere Angebote der Karmeliten&lt;/summary&gt;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</si>
  <si>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option</t>
    </r>
    <r>
      <rPr>
        <sz val="11"/>
        <color rgb="FFBBBEBF"/>
        <rFont val="Consolas"/>
        <family val="3"/>
        <charset val="1"/>
      </rPr>
      <t xml:space="preserve"> </t>
    </r>
    <r>
      <rPr>
        <sz val="11"/>
        <color rgb="FF9CDCFE"/>
        <rFont val="Consolas"/>
        <family val="3"/>
        <charset val="1"/>
      </rPr>
      <t>value</t>
    </r>
    <r>
      <rPr>
        <sz val="11"/>
        <color rgb="FFBBBEBF"/>
        <rFont val="Consolas"/>
        <family val="3"/>
        <charset val="1"/>
      </rPr>
      <t>=</t>
    </r>
    <r>
      <rPr>
        <sz val="11"/>
        <color rgb="FFA5D6FF"/>
        <rFont val="Consolas"/>
        <family val="3"/>
        <charset val="1"/>
      </rPr>
      <t>"Internetsuche"</t>
    </r>
    <r>
      <rPr>
        <sz val="11"/>
        <color rgb="FF808080"/>
        <rFont val="Consolas"/>
        <family val="3"/>
        <charset val="1"/>
      </rPr>
      <t>&gt;</t>
    </r>
    <r>
      <rPr>
        <sz val="11"/>
        <color rgb="FFBBBEBF"/>
        <rFont val="Consolas"/>
        <family val="3"/>
        <charset val="1"/>
      </rPr>
      <t>Internetsuche</t>
    </r>
    <r>
      <rPr>
        <sz val="11"/>
        <color rgb="FF808080"/>
        <rFont val="Consolas"/>
        <family val="3"/>
        <charset val="1"/>
      </rPr>
      <t>&lt;/</t>
    </r>
    <r>
      <rPr>
        <sz val="11"/>
        <color rgb="FF7EE787"/>
        <rFont val="Consolas"/>
        <family val="3"/>
        <charset val="1"/>
      </rPr>
      <t>option</t>
    </r>
    <r>
      <rPr>
        <sz val="11"/>
        <color rgb="FF808080"/>
        <rFont val="Consolas"/>
        <family val="3"/>
        <charset val="1"/>
      </rPr>
      <t>&gt;</t>
    </r>
  </si>
  <si>
    <r>
      <rPr>
        <sz val="11"/>
        <color rgb="FFBBBEBF"/>
        <rFont val="Consolas"/>
        <family val="3"/>
        <charset val="1"/>
      </rPr>
      <t xml:space="preserve">                        </t>
    </r>
    <r>
      <rPr>
        <sz val="11"/>
        <color rgb="FF808080"/>
        <rFont val="Consolas"/>
        <family val="3"/>
        <charset val="1"/>
      </rPr>
      <t>&lt;</t>
    </r>
    <r>
      <rPr>
        <sz val="11"/>
        <color rgb="FF7EE787"/>
        <rFont val="Consolas"/>
        <family val="3"/>
        <charset val="1"/>
      </rPr>
      <t>option</t>
    </r>
    <r>
      <rPr>
        <sz val="11"/>
        <color rgb="FFBBBEBF"/>
        <rFont val="Consolas"/>
        <family val="3"/>
        <charset val="1"/>
      </rPr>
      <t xml:space="preserve"> </t>
    </r>
    <r>
      <rPr>
        <sz val="11"/>
        <color rgb="FF9CDCFE"/>
        <rFont val="Consolas"/>
        <family val="3"/>
        <charset val="1"/>
      </rPr>
      <t>value</t>
    </r>
    <r>
      <rPr>
        <sz val="11"/>
        <color rgb="FFBBBEBF"/>
        <rFont val="Consolas"/>
        <family val="3"/>
        <charset val="1"/>
      </rPr>
      <t>=</t>
    </r>
    <r>
      <rPr>
        <sz val="11"/>
        <color rgb="FFA5D6FF"/>
        <rFont val="Consolas"/>
        <family val="3"/>
        <charset val="1"/>
      </rPr>
      <t>"YouTube"</t>
    </r>
    <r>
      <rPr>
        <sz val="11"/>
        <color rgb="FF808080"/>
        <rFont val="Consolas"/>
        <family val="3"/>
        <charset val="1"/>
      </rPr>
      <t>&gt;</t>
    </r>
    <r>
      <rPr>
        <sz val="11"/>
        <color rgb="FFBBBEBF"/>
        <rFont val="Consolas"/>
        <family val="3"/>
        <charset val="1"/>
      </rPr>
      <t>YouTube</t>
    </r>
    <r>
      <rPr>
        <sz val="11"/>
        <color rgb="FF808080"/>
        <rFont val="Consolas"/>
        <family val="3"/>
        <charset val="1"/>
      </rPr>
      <t>&lt;/</t>
    </r>
    <r>
      <rPr>
        <sz val="11"/>
        <color rgb="FF7EE787"/>
        <rFont val="Consolas"/>
        <family val="3"/>
        <charset val="1"/>
      </rPr>
      <t>option</t>
    </r>
    <r>
      <rPr>
        <sz val="11"/>
        <color rgb="FF808080"/>
        <rFont val="Consolas"/>
        <family val="3"/>
        <charset val="1"/>
      </rPr>
      <t>&gt;</t>
    </r>
  </si>
  <si>
    <r>
      <rPr>
        <sz val="11"/>
        <color rgb="FFBBBEBF"/>
        <rFont val="Consolas"/>
        <family val="3"/>
        <charset val="1"/>
      </rPr>
      <t xml:space="preserve">                        </t>
    </r>
    <r>
      <rPr>
        <sz val="11"/>
        <color rgb="FF808080"/>
        <rFont val="Consolas"/>
        <family val="3"/>
        <charset val="1"/>
      </rPr>
      <t>&lt;</t>
    </r>
    <r>
      <rPr>
        <sz val="11"/>
        <color rgb="FF7EE787"/>
        <rFont val="Consolas"/>
        <family val="3"/>
        <charset val="1"/>
      </rPr>
      <t>option</t>
    </r>
    <r>
      <rPr>
        <sz val="11"/>
        <color rgb="FFBBBEBF"/>
        <rFont val="Consolas"/>
        <family val="3"/>
        <charset val="1"/>
      </rPr>
      <t xml:space="preserve"> </t>
    </r>
    <r>
      <rPr>
        <sz val="11"/>
        <color rgb="FF9CDCFE"/>
        <rFont val="Consolas"/>
        <family val="3"/>
        <charset val="1"/>
      </rPr>
      <t>value</t>
    </r>
    <r>
      <rPr>
        <sz val="11"/>
        <color rgb="FFBBBEBF"/>
        <rFont val="Consolas"/>
        <family val="3"/>
        <charset val="1"/>
      </rPr>
      <t>=</t>
    </r>
    <r>
      <rPr>
        <sz val="11"/>
        <color rgb="FFA5D6FF"/>
        <rFont val="Consolas"/>
        <family val="3"/>
        <charset val="1"/>
      </rPr>
      <t>"Facebook"</t>
    </r>
    <r>
      <rPr>
        <sz val="11"/>
        <color rgb="FF808080"/>
        <rFont val="Consolas"/>
        <family val="3"/>
        <charset val="1"/>
      </rPr>
      <t>&gt;</t>
    </r>
    <r>
      <rPr>
        <sz val="11"/>
        <color rgb="FFBBBEBF"/>
        <rFont val="Consolas"/>
        <family val="3"/>
        <charset val="1"/>
      </rPr>
      <t>Facebook</t>
    </r>
    <r>
      <rPr>
        <sz val="11"/>
        <color rgb="FF808080"/>
        <rFont val="Consolas"/>
        <family val="3"/>
        <charset val="1"/>
      </rPr>
      <t>&lt;/</t>
    </r>
    <r>
      <rPr>
        <sz val="11"/>
        <color rgb="FF7EE787"/>
        <rFont val="Consolas"/>
        <family val="3"/>
        <charset val="1"/>
      </rPr>
      <t>option</t>
    </r>
    <r>
      <rPr>
        <sz val="11"/>
        <color rgb="FF808080"/>
        <rFont val="Consolas"/>
        <family val="3"/>
        <charset val="1"/>
      </rPr>
      <t>&gt;</t>
    </r>
  </si>
  <si>
    <t>                          &lt;details class="interest-details" style="padding-left: 1rem"&gt;&lt;summary&gt;Orte und Formate einschränken&lt;/summary&gt;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</si>
  <si>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option</t>
    </r>
    <r>
      <rPr>
        <sz val="11"/>
        <color rgb="FFBBBEBF"/>
        <rFont val="Consolas"/>
        <family val="3"/>
        <charset val="1"/>
      </rPr>
      <t xml:space="preserve"> </t>
    </r>
    <r>
      <rPr>
        <sz val="11"/>
        <color rgb="FF9CDCFE"/>
        <rFont val="Consolas"/>
        <family val="3"/>
        <charset val="1"/>
      </rPr>
      <t>value</t>
    </r>
    <r>
      <rPr>
        <sz val="11"/>
        <color rgb="FFBBBEBF"/>
        <rFont val="Consolas"/>
        <family val="3"/>
        <charset val="1"/>
      </rPr>
      <t>=</t>
    </r>
    <r>
      <rPr>
        <sz val="11"/>
        <color rgb="FFA5D6FF"/>
        <rFont val="Consolas"/>
        <family val="3"/>
        <charset val="1"/>
      </rPr>
      <t>"Instagram"</t>
    </r>
    <r>
      <rPr>
        <sz val="11"/>
        <color rgb="FF808080"/>
        <rFont val="Consolas"/>
        <family val="3"/>
        <charset val="1"/>
      </rPr>
      <t>&gt;</t>
    </r>
    <r>
      <rPr>
        <sz val="11"/>
        <color rgb="FFBBBEBF"/>
        <rFont val="Consolas"/>
        <family val="3"/>
        <charset val="1"/>
      </rPr>
      <t>Instagram</t>
    </r>
    <r>
      <rPr>
        <sz val="11"/>
        <color rgb="FF808080"/>
        <rFont val="Consolas"/>
        <family val="3"/>
        <charset val="1"/>
      </rPr>
      <t>&lt;/</t>
    </r>
    <r>
      <rPr>
        <sz val="11"/>
        <color rgb="FF7EE787"/>
        <rFont val="Consolas"/>
        <family val="3"/>
        <charset val="1"/>
      </rPr>
      <t>option</t>
    </r>
    <r>
      <rPr>
        <sz val="11"/>
        <color rgb="FF808080"/>
        <rFont val="Consolas"/>
        <family val="3"/>
        <charset val="1"/>
      </rPr>
      <t>&gt;</t>
    </r>
  </si>
  <si>
    <r>
      <rPr>
        <sz val="11"/>
        <color rgb="FFBBBEBF"/>
        <rFont val="Consolas"/>
        <family val="3"/>
        <charset val="1"/>
      </rPr>
      <t xml:space="preserve">                        </t>
    </r>
    <r>
      <rPr>
        <sz val="11"/>
        <color rgb="FF808080"/>
        <rFont val="Consolas"/>
        <family val="3"/>
        <charset val="1"/>
      </rPr>
      <t>&lt;</t>
    </r>
    <r>
      <rPr>
        <sz val="11"/>
        <color rgb="FF7EE787"/>
        <rFont val="Consolas"/>
        <family val="3"/>
        <charset val="1"/>
      </rPr>
      <t>option</t>
    </r>
    <r>
      <rPr>
        <sz val="11"/>
        <color rgb="FFBBBEBF"/>
        <rFont val="Consolas"/>
        <family val="3"/>
        <charset val="1"/>
      </rPr>
      <t xml:space="preserve"> </t>
    </r>
    <r>
      <rPr>
        <sz val="11"/>
        <color rgb="FF9CDCFE"/>
        <rFont val="Consolas"/>
        <family val="3"/>
        <charset val="1"/>
      </rPr>
      <t>value</t>
    </r>
    <r>
      <rPr>
        <sz val="11"/>
        <color rgb="FFBBBEBF"/>
        <rFont val="Consolas"/>
        <family val="3"/>
        <charset val="1"/>
      </rPr>
      <t>=</t>
    </r>
    <r>
      <rPr>
        <sz val="11"/>
        <color rgb="FFA5D6FF"/>
        <rFont val="Consolas"/>
        <family val="3"/>
        <charset val="1"/>
      </rPr>
      <t>"Sonstiges – bitte unten angeben"</t>
    </r>
    <r>
      <rPr>
        <sz val="11"/>
        <color rgb="FF808080"/>
        <rFont val="Consolas"/>
        <family val="3"/>
        <charset val="1"/>
      </rPr>
      <t>&gt;</t>
    </r>
    <r>
      <rPr>
        <sz val="11"/>
        <color rgb="FFBBBEBF"/>
        <rFont val="Consolas"/>
        <family val="3"/>
        <charset val="1"/>
      </rPr>
      <t>Sonstiges – bitte unten angeben</t>
    </r>
    <r>
      <rPr>
        <sz val="11"/>
        <color rgb="FF808080"/>
        <rFont val="Consolas"/>
        <family val="3"/>
        <charset val="1"/>
      </rPr>
      <t>&lt;/</t>
    </r>
    <r>
      <rPr>
        <sz val="11"/>
        <color rgb="FF7EE787"/>
        <rFont val="Consolas"/>
        <family val="3"/>
        <charset val="1"/>
      </rPr>
      <t>option</t>
    </r>
    <r>
      <rPr>
        <sz val="11"/>
        <color rgb="FF808080"/>
        <rFont val="Consolas"/>
        <family val="3"/>
        <charset val="1"/>
      </rPr>
      <t>&gt;&lt;/</t>
    </r>
    <r>
      <rPr>
        <sz val="11"/>
        <color rgb="FF7EE787"/>
        <rFont val="Consolas"/>
        <family val="3"/>
        <charset val="1"/>
      </rPr>
      <t>select</t>
    </r>
    <r>
      <rPr>
        <sz val="11"/>
        <color rgb="FF808080"/>
        <rFont val="Consolas"/>
        <family val="3"/>
        <charset val="1"/>
      </rPr>
      <t>&gt;&lt;/</t>
    </r>
    <r>
      <rPr>
        <sz val="11"/>
        <color rgb="FF7EE787"/>
        <rFont val="Consolas"/>
        <family val="3"/>
        <charset val="1"/>
      </rPr>
      <t>div</t>
    </r>
    <r>
      <rPr>
        <sz val="11"/>
        <color rgb="FF808080"/>
        <rFont val="Consolas"/>
        <family val="3"/>
        <charset val="1"/>
      </rPr>
      <t>&gt;</t>
    </r>
  </si>
  <si>
    <t>                        &lt;option value="Sonstiges – bitte unten angeben"&gt;Sonstiges – bitte unten angeben&lt;/option&gt;&lt;/select&gt;&lt;/div&gt;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</si>
  <si>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div</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"mc-field-group"</t>
    </r>
    <r>
      <rPr>
        <sz val="11"/>
        <color rgb="FF808080"/>
        <rFont val="Consolas"/>
        <family val="3"/>
        <charset val="1"/>
      </rPr>
      <t>&gt;&lt;</t>
    </r>
    <r>
      <rPr>
        <sz val="11"/>
        <color rgb="FF7EE787"/>
        <rFont val="Consolas"/>
        <family val="3"/>
        <charset val="1"/>
      </rPr>
      <t>label</t>
    </r>
    <r>
      <rPr>
        <sz val="11"/>
        <color rgb="FFBBBEBF"/>
        <rFont val="Consolas"/>
        <family val="3"/>
        <charset val="1"/>
      </rPr>
      <t xml:space="preserve"> </t>
    </r>
    <r>
      <rPr>
        <sz val="11"/>
        <color rgb="FF9CDCFE"/>
        <rFont val="Consolas"/>
        <family val="3"/>
        <charset val="1"/>
      </rPr>
      <t>for</t>
    </r>
    <r>
      <rPr>
        <sz val="11"/>
        <color rgb="FFBBBEBF"/>
        <rFont val="Consolas"/>
        <family val="3"/>
        <charset val="1"/>
      </rPr>
      <t>=</t>
    </r>
    <r>
      <rPr>
        <sz val="11"/>
        <color rgb="FFA5D6FF"/>
        <rFont val="Consolas"/>
        <family val="3"/>
        <charset val="1"/>
      </rPr>
      <t>"mce-AUFMERKS02"</t>
    </r>
    <r>
      <rPr>
        <sz val="11"/>
        <color rgb="FF808080"/>
        <rFont val="Consolas"/>
        <family val="3"/>
        <charset val="1"/>
      </rPr>
      <t>&gt;</t>
    </r>
    <r>
      <rPr>
        <sz val="11"/>
        <color rgb="FFBBBEBF"/>
        <rFont val="Consolas"/>
        <family val="3"/>
        <charset val="1"/>
      </rPr>
      <t>Sonstiges – bitte hier angeben  </t>
    </r>
    <r>
      <rPr>
        <sz val="11"/>
        <color rgb="FF808080"/>
        <rFont val="Consolas"/>
        <family val="3"/>
        <charset val="1"/>
      </rPr>
      <t>&lt;/</t>
    </r>
    <r>
      <rPr>
        <sz val="11"/>
        <color rgb="FF7EE787"/>
        <rFont val="Consolas"/>
        <family val="3"/>
        <charset val="1"/>
      </rPr>
      <t>label</t>
    </r>
    <r>
      <rPr>
        <sz val="11"/>
        <color rgb="FF808080"/>
        <rFont val="Consolas"/>
        <family val="3"/>
        <charset val="1"/>
      </rPr>
      <t>&gt;</t>
    </r>
  </si>
  <si>
    <t>                      &lt;div class="mc-field-group"&gt;&lt;label for="mce-AUFMERKS02"&gt;Sonstiges – bitte hier angeben  &lt;/label&gt;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</si>
  <si>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input</t>
    </r>
    <r>
      <rPr>
        <sz val="11"/>
        <color rgb="FFBBBEBF"/>
        <rFont val="Consolas"/>
        <family val="3"/>
        <charset val="1"/>
      </rPr>
      <t xml:space="preserve"> </t>
    </r>
    <r>
      <rPr>
        <sz val="11"/>
        <color rgb="FF9CDCFE"/>
        <rFont val="Consolas"/>
        <family val="3"/>
        <charset val="1"/>
      </rPr>
      <t>type</t>
    </r>
    <r>
      <rPr>
        <sz val="11"/>
        <color rgb="FFBBBEBF"/>
        <rFont val="Consolas"/>
        <family val="3"/>
        <charset val="1"/>
      </rPr>
      <t>=</t>
    </r>
    <r>
      <rPr>
        <sz val="11"/>
        <color rgb="FFA5D6FF"/>
        <rFont val="Consolas"/>
        <family val="3"/>
        <charset val="1"/>
      </rPr>
      <t>"text"</t>
    </r>
    <r>
      <rPr>
        <sz val="11"/>
        <color rgb="FFBBBEBF"/>
        <rFont val="Consolas"/>
        <family val="3"/>
        <charset val="1"/>
      </rPr>
      <t xml:space="preserve"> </t>
    </r>
    <r>
      <rPr>
        <sz val="11"/>
        <color rgb="FF9CDCFE"/>
        <rFont val="Consolas"/>
        <family val="3"/>
        <charset val="1"/>
      </rPr>
      <t>name</t>
    </r>
    <r>
      <rPr>
        <sz val="11"/>
        <color rgb="FFBBBEBF"/>
        <rFont val="Consolas"/>
        <family val="3"/>
        <charset val="1"/>
      </rPr>
      <t>=</t>
    </r>
    <r>
      <rPr>
        <sz val="11"/>
        <color rgb="FFA5D6FF"/>
        <rFont val="Consolas"/>
        <family val="3"/>
        <charset val="1"/>
      </rPr>
      <t>"AUFMERKS02"</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 text"</t>
    </r>
    <r>
      <rPr>
        <sz val="11"/>
        <color rgb="FFBBBEBF"/>
        <rFont val="Consolas"/>
        <family val="3"/>
        <charset val="1"/>
      </rPr>
      <t xml:space="preserve"> </t>
    </r>
    <r>
      <rPr>
        <sz val="11"/>
        <color rgb="FF9CDCFE"/>
        <rFont val="Consolas"/>
        <family val="3"/>
        <charset val="1"/>
      </rPr>
      <t>id</t>
    </r>
    <r>
      <rPr>
        <sz val="11"/>
        <color rgb="FFBBBEBF"/>
        <rFont val="Consolas"/>
        <family val="3"/>
        <charset val="1"/>
      </rPr>
      <t>=</t>
    </r>
    <r>
      <rPr>
        <sz val="11"/>
        <color rgb="FFA5D6FF"/>
        <rFont val="Consolas"/>
        <family val="3"/>
        <charset val="1"/>
      </rPr>
      <t>"mce-AUFMERKS02"</t>
    </r>
    <r>
      <rPr>
        <sz val="11"/>
        <color rgb="FFBBBEBF"/>
        <rFont val="Consolas"/>
        <family val="3"/>
        <charset val="1"/>
      </rPr>
      <t xml:space="preserve"> </t>
    </r>
    <r>
      <rPr>
        <sz val="11"/>
        <color rgb="FF9CDCFE"/>
        <rFont val="Consolas"/>
        <family val="3"/>
        <charset val="1"/>
      </rPr>
      <t>value</t>
    </r>
    <r>
      <rPr>
        <sz val="11"/>
        <color rgb="FFBBBEBF"/>
        <rFont val="Consolas"/>
        <family val="3"/>
        <charset val="1"/>
      </rPr>
      <t>=</t>
    </r>
    <r>
      <rPr>
        <sz val="11"/>
        <color rgb="FFA5D6FF"/>
        <rFont val="Consolas"/>
        <family val="3"/>
        <charset val="1"/>
      </rPr>
      <t>""</t>
    </r>
    <r>
      <rPr>
        <sz val="11"/>
        <color rgb="FF808080"/>
        <rFont val="Consolas"/>
        <family val="3"/>
        <charset val="1"/>
      </rPr>
      <t>&gt;</t>
    </r>
  </si>
  <si>
    <t>                        &lt;input type="text" name="AUFMERKS02" class=" text" id="mce-AUFMERKS02" value=""&gt;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</si>
  <si>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div</t>
    </r>
    <r>
      <rPr>
        <sz val="11"/>
        <color rgb="FF808080"/>
        <rFont val="Consolas"/>
        <family val="3"/>
        <charset val="1"/>
      </rPr>
      <t>&gt;</t>
    </r>
  </si>
  <si>
    <r>
      <rPr>
        <sz val="11"/>
        <color rgb="FFBBBEBF"/>
        <rFont val="Consolas"/>
        <family val="3"/>
        <charset val="1"/>
      </rPr>
      <t xml:space="preserve">        </t>
    </r>
    <r>
      <rPr>
        <sz val="11"/>
        <color rgb="FF808080"/>
        <rFont val="Consolas"/>
        <family val="3"/>
        <charset val="1"/>
      </rPr>
      <t>&lt;</t>
    </r>
    <r>
      <rPr>
        <sz val="11"/>
        <color rgb="FF7EE787"/>
        <rFont val="Consolas"/>
        <family val="3"/>
        <charset val="1"/>
      </rPr>
      <t>div</t>
    </r>
    <r>
      <rPr>
        <sz val="11"/>
        <color rgb="FFBBBEBF"/>
        <rFont val="Consolas"/>
        <family val="3"/>
        <charset val="1"/>
      </rPr>
      <t xml:space="preserve"> </t>
    </r>
    <r>
      <rPr>
        <sz val="11"/>
        <color rgb="FF9CDCFE"/>
        <rFont val="Consolas"/>
        <family val="3"/>
        <charset val="1"/>
      </rPr>
      <t>id</t>
    </r>
    <r>
      <rPr>
        <sz val="11"/>
        <color rgb="FFBBBEBF"/>
        <rFont val="Consolas"/>
        <family val="3"/>
        <charset val="1"/>
      </rPr>
      <t>=</t>
    </r>
    <r>
      <rPr>
        <sz val="11"/>
        <color rgb="FFA5D6FF"/>
        <rFont val="Consolas"/>
        <family val="3"/>
        <charset val="1"/>
      </rPr>
      <t>"mce-responses"</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"clear"</t>
    </r>
    <r>
      <rPr>
        <sz val="11"/>
        <color rgb="FF808080"/>
        <rFont val="Consolas"/>
        <family val="3"/>
        <charset val="1"/>
      </rPr>
      <t>&gt;</t>
    </r>
  </si>
  <si>
    <t>        &lt;div id="mce-responses" class="clear"&gt;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</si>
  <si>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div</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"response"</t>
    </r>
    <r>
      <rPr>
        <sz val="11"/>
        <color rgb="FFBBBEBF"/>
        <rFont val="Consolas"/>
        <family val="3"/>
        <charset val="1"/>
      </rPr>
      <t xml:space="preserve"> </t>
    </r>
    <r>
      <rPr>
        <sz val="11"/>
        <color rgb="FF9CDCFE"/>
        <rFont val="Consolas"/>
        <family val="3"/>
        <charset val="1"/>
      </rPr>
      <t>id</t>
    </r>
    <r>
      <rPr>
        <sz val="11"/>
        <color rgb="FFBBBEBF"/>
        <rFont val="Consolas"/>
        <family val="3"/>
        <charset val="1"/>
      </rPr>
      <t>=</t>
    </r>
    <r>
      <rPr>
        <sz val="11"/>
        <color rgb="FFA5D6FF"/>
        <rFont val="Consolas"/>
        <family val="3"/>
        <charset val="1"/>
      </rPr>
      <t>"mce-error-response"</t>
    </r>
    <r>
      <rPr>
        <sz val="11"/>
        <color rgb="FFBBBEBF"/>
        <rFont val="Consolas"/>
        <family val="3"/>
        <charset val="1"/>
      </rPr>
      <t xml:space="preserve"> </t>
    </r>
    <r>
      <rPr>
        <sz val="11"/>
        <color rgb="FF9CDCFE"/>
        <rFont val="Consolas"/>
        <family val="3"/>
        <charset val="1"/>
      </rPr>
      <t>style</t>
    </r>
    <r>
      <rPr>
        <sz val="11"/>
        <color rgb="FFBBBEBF"/>
        <rFont val="Consolas"/>
        <family val="3"/>
        <charset val="1"/>
      </rPr>
      <t>=</t>
    </r>
    <r>
      <rPr>
        <sz val="11"/>
        <color rgb="FFA5D6FF"/>
        <rFont val="Consolas"/>
        <family val="3"/>
        <charset val="1"/>
      </rPr>
      <t>"display: none;"</t>
    </r>
    <r>
      <rPr>
        <sz val="11"/>
        <color rgb="FF808080"/>
        <rFont val="Consolas"/>
        <family val="3"/>
        <charset val="1"/>
      </rPr>
      <t>&gt;&lt;/</t>
    </r>
    <r>
      <rPr>
        <sz val="11"/>
        <color rgb="FF7EE787"/>
        <rFont val="Consolas"/>
        <family val="3"/>
        <charset val="1"/>
      </rPr>
      <t>div</t>
    </r>
    <r>
      <rPr>
        <sz val="11"/>
        <color rgb="FF808080"/>
        <rFont val="Consolas"/>
        <family val="3"/>
        <charset val="1"/>
      </rPr>
      <t>&gt;</t>
    </r>
  </si>
  <si>
    <t>            &lt;div class="response" id="mce-error-response" style="display: none;"&gt;&lt;/div&gt;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</si>
  <si>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div</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"response"</t>
    </r>
    <r>
      <rPr>
        <sz val="11"/>
        <color rgb="FFBBBEBF"/>
        <rFont val="Consolas"/>
        <family val="3"/>
        <charset val="1"/>
      </rPr>
      <t xml:space="preserve"> </t>
    </r>
    <r>
      <rPr>
        <sz val="11"/>
        <color rgb="FF9CDCFE"/>
        <rFont val="Consolas"/>
        <family val="3"/>
        <charset val="1"/>
      </rPr>
      <t>id</t>
    </r>
    <r>
      <rPr>
        <sz val="11"/>
        <color rgb="FFBBBEBF"/>
        <rFont val="Consolas"/>
        <family val="3"/>
        <charset val="1"/>
      </rPr>
      <t>=</t>
    </r>
    <r>
      <rPr>
        <sz val="11"/>
        <color rgb="FFA5D6FF"/>
        <rFont val="Consolas"/>
        <family val="3"/>
        <charset val="1"/>
      </rPr>
      <t>"mce-success-response"</t>
    </r>
    <r>
      <rPr>
        <sz val="11"/>
        <color rgb="FFBBBEBF"/>
        <rFont val="Consolas"/>
        <family val="3"/>
        <charset val="1"/>
      </rPr>
      <t xml:space="preserve"> </t>
    </r>
    <r>
      <rPr>
        <sz val="11"/>
        <color rgb="FF9CDCFE"/>
        <rFont val="Consolas"/>
        <family val="3"/>
        <charset val="1"/>
      </rPr>
      <t>style</t>
    </r>
    <r>
      <rPr>
        <sz val="11"/>
        <color rgb="FFBBBEBF"/>
        <rFont val="Consolas"/>
        <family val="3"/>
        <charset val="1"/>
      </rPr>
      <t>=</t>
    </r>
    <r>
      <rPr>
        <sz val="11"/>
        <color rgb="FFA5D6FF"/>
        <rFont val="Consolas"/>
        <family val="3"/>
        <charset val="1"/>
      </rPr>
      <t>"display: none;"</t>
    </r>
    <r>
      <rPr>
        <sz val="11"/>
        <color rgb="FF808080"/>
        <rFont val="Consolas"/>
        <family val="3"/>
        <charset val="1"/>
      </rPr>
      <t>&gt;&lt;/</t>
    </r>
    <r>
      <rPr>
        <sz val="11"/>
        <color rgb="FF7EE787"/>
        <rFont val="Consolas"/>
        <family val="3"/>
        <charset val="1"/>
      </rPr>
      <t>div</t>
    </r>
    <r>
      <rPr>
        <sz val="11"/>
        <color rgb="FF808080"/>
        <rFont val="Consolas"/>
        <family val="3"/>
        <charset val="1"/>
      </rPr>
      <t>&gt;</t>
    </r>
  </si>
  <si>
    <t>            &lt;div class="response" id="mce-success-response" style="display: none;"&gt;&lt;/div&gt;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</si>
  <si>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div</t>
    </r>
    <r>
      <rPr>
        <sz val="11"/>
        <color rgb="FF808080"/>
        <rFont val="Consolas"/>
        <family val="3"/>
        <charset val="1"/>
      </rPr>
      <t>&gt;&lt;</t>
    </r>
    <r>
      <rPr>
        <sz val="11"/>
        <color rgb="FF7EE787"/>
        <rFont val="Consolas"/>
        <family val="3"/>
        <charset val="1"/>
      </rPr>
      <t>div</t>
    </r>
    <r>
      <rPr>
        <sz val="11"/>
        <color rgb="FFBBBEBF"/>
        <rFont val="Consolas"/>
        <family val="3"/>
        <charset val="1"/>
      </rPr>
      <t xml:space="preserve"> </t>
    </r>
    <r>
      <rPr>
        <sz val="11"/>
        <color rgb="FF9CDCFE"/>
        <rFont val="Consolas"/>
        <family val="3"/>
        <charset val="1"/>
      </rPr>
      <t>style</t>
    </r>
    <r>
      <rPr>
        <sz val="11"/>
        <color rgb="FFBBBEBF"/>
        <rFont val="Consolas"/>
        <family val="3"/>
        <charset val="1"/>
      </rPr>
      <t>=</t>
    </r>
    <r>
      <rPr>
        <sz val="11"/>
        <color rgb="FFA5D6FF"/>
        <rFont val="Consolas"/>
        <family val="3"/>
        <charset val="1"/>
      </rPr>
      <t>"position: absolute; left: -5000px;"</t>
    </r>
    <r>
      <rPr>
        <sz val="11"/>
        <color rgb="FFBBBEBF"/>
        <rFont val="Consolas"/>
        <family val="3"/>
        <charset val="1"/>
      </rPr>
      <t xml:space="preserve"> </t>
    </r>
    <r>
      <rPr>
        <sz val="11"/>
        <color rgb="FF9CDCFE"/>
        <rFont val="Consolas"/>
        <family val="3"/>
        <charset val="1"/>
      </rPr>
      <t>aria-hidden</t>
    </r>
    <r>
      <rPr>
        <sz val="11"/>
        <color rgb="FFBBBEBF"/>
        <rFont val="Consolas"/>
        <family val="3"/>
        <charset val="1"/>
      </rPr>
      <t>=</t>
    </r>
    <r>
      <rPr>
        <sz val="11"/>
        <color rgb="FFA5D6FF"/>
        <rFont val="Consolas"/>
        <family val="3"/>
        <charset val="1"/>
      </rPr>
      <t>"true"</t>
    </r>
    <r>
      <rPr>
        <sz val="11"/>
        <color rgb="FF808080"/>
        <rFont val="Consolas"/>
        <family val="3"/>
        <charset val="1"/>
      </rPr>
      <t>&gt;&lt;</t>
    </r>
    <r>
      <rPr>
        <sz val="11"/>
        <color rgb="FF7EE787"/>
        <rFont val="Consolas"/>
        <family val="3"/>
        <charset val="1"/>
      </rPr>
      <t>input</t>
    </r>
    <r>
      <rPr>
        <sz val="11"/>
        <color rgb="FFBBBEBF"/>
        <rFont val="Consolas"/>
        <family val="3"/>
        <charset val="1"/>
      </rPr>
      <t xml:space="preserve"> </t>
    </r>
    <r>
      <rPr>
        <sz val="11"/>
        <color rgb="FF9CDCFE"/>
        <rFont val="Consolas"/>
        <family val="3"/>
        <charset val="1"/>
      </rPr>
      <t>type</t>
    </r>
    <r>
      <rPr>
        <sz val="11"/>
        <color rgb="FFBBBEBF"/>
        <rFont val="Consolas"/>
        <family val="3"/>
        <charset val="1"/>
      </rPr>
      <t>=</t>
    </r>
    <r>
      <rPr>
        <sz val="11"/>
        <color rgb="FFA5D6FF"/>
        <rFont val="Consolas"/>
        <family val="3"/>
        <charset val="1"/>
      </rPr>
      <t>"text"</t>
    </r>
    <r>
      <rPr>
        <sz val="11"/>
        <color rgb="FFBBBEBF"/>
        <rFont val="Consolas"/>
        <family val="3"/>
        <charset val="1"/>
      </rPr>
      <t xml:space="preserve"> </t>
    </r>
    <r>
      <rPr>
        <sz val="11"/>
        <color rgb="FF9CDCFE"/>
        <rFont val="Consolas"/>
        <family val="3"/>
        <charset val="1"/>
      </rPr>
      <t>name</t>
    </r>
    <r>
      <rPr>
        <sz val="11"/>
        <color rgb="FFBBBEBF"/>
        <rFont val="Consolas"/>
        <family val="3"/>
        <charset val="1"/>
      </rPr>
      <t>=</t>
    </r>
    <r>
      <rPr>
        <sz val="11"/>
        <color rgb="FFA5D6FF"/>
        <rFont val="Consolas"/>
        <family val="3"/>
        <charset val="1"/>
      </rPr>
      <t>"b_7c9d2aa0ecc1fde64fd44bc67_10430a5833"</t>
    </r>
    <r>
      <rPr>
        <sz val="11"/>
        <color rgb="FFBBBEBF"/>
        <rFont val="Consolas"/>
        <family val="3"/>
        <charset val="1"/>
      </rPr>
      <t xml:space="preserve"> </t>
    </r>
    <r>
      <rPr>
        <sz val="11"/>
        <color rgb="FF9CDCFE"/>
        <rFont val="Consolas"/>
        <family val="3"/>
        <charset val="1"/>
      </rPr>
      <t>tabindex</t>
    </r>
    <r>
      <rPr>
        <sz val="11"/>
        <color rgb="FFBBBEBF"/>
        <rFont val="Consolas"/>
        <family val="3"/>
        <charset val="1"/>
      </rPr>
      <t>=</t>
    </r>
    <r>
      <rPr>
        <sz val="11"/>
        <color rgb="FFA5D6FF"/>
        <rFont val="Consolas"/>
        <family val="3"/>
        <charset val="1"/>
      </rPr>
      <t>"-1"</t>
    </r>
    <r>
      <rPr>
        <sz val="11"/>
        <color rgb="FFBBBEBF"/>
        <rFont val="Consolas"/>
        <family val="3"/>
        <charset val="1"/>
      </rPr>
      <t xml:space="preserve"> </t>
    </r>
    <r>
      <rPr>
        <sz val="11"/>
        <color rgb="FF9CDCFE"/>
        <rFont val="Consolas"/>
        <family val="3"/>
        <charset val="1"/>
      </rPr>
      <t>value</t>
    </r>
    <r>
      <rPr>
        <sz val="11"/>
        <color rgb="FFBBBEBF"/>
        <rFont val="Consolas"/>
        <family val="3"/>
        <charset val="1"/>
      </rPr>
      <t>=</t>
    </r>
    <r>
      <rPr>
        <sz val="11"/>
        <color rgb="FFA5D6FF"/>
        <rFont val="Consolas"/>
        <family val="3"/>
        <charset val="1"/>
      </rPr>
      <t>""</t>
    </r>
    <r>
      <rPr>
        <sz val="11"/>
        <color rgb="FF808080"/>
        <rFont val="Consolas"/>
        <family val="3"/>
        <charset val="1"/>
      </rPr>
      <t>&gt;&lt;/</t>
    </r>
    <r>
      <rPr>
        <sz val="11"/>
        <color rgb="FF7EE787"/>
        <rFont val="Consolas"/>
        <family val="3"/>
        <charset val="1"/>
      </rPr>
      <t>div</t>
    </r>
    <r>
      <rPr>
        <sz val="11"/>
        <color rgb="FF808080"/>
        <rFont val="Consolas"/>
        <family val="3"/>
        <charset val="1"/>
      </rPr>
      <t>&gt;</t>
    </r>
  </si>
  <si>
    <t>        &lt;/div&gt;&lt;div style="position: absolute; left: -5000px;" aria-hidden="true"&gt;&lt;input type="text" name="b_7c9d2aa0ecc1fde64fd44bc67_10430a5833" tabindex="-1" value=""&gt;&lt;/div&gt;</t>
  </si>
  <si>
    <t>                        &lt;details class="interest-details" &gt;&lt;summary&gt;Novenen und Exerzitien auswählen&lt;/summary&gt;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</si>
  <si>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div</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"clear"</t>
    </r>
    <r>
      <rPr>
        <sz val="11"/>
        <color rgb="FF808080"/>
        <rFont val="Consolas"/>
        <family val="3"/>
        <charset val="1"/>
      </rPr>
      <t>&gt;&lt;</t>
    </r>
    <r>
      <rPr>
        <sz val="11"/>
        <color rgb="FF7EE787"/>
        <rFont val="Consolas"/>
        <family val="3"/>
        <charset val="1"/>
      </rPr>
      <t>input</t>
    </r>
    <r>
      <rPr>
        <sz val="11"/>
        <color rgb="FFBBBEBF"/>
        <rFont val="Consolas"/>
        <family val="3"/>
        <charset val="1"/>
      </rPr>
      <t xml:space="preserve"> </t>
    </r>
    <r>
      <rPr>
        <sz val="11"/>
        <color rgb="FF9CDCFE"/>
        <rFont val="Consolas"/>
        <family val="3"/>
        <charset val="1"/>
      </rPr>
      <t>type</t>
    </r>
    <r>
      <rPr>
        <sz val="11"/>
        <color rgb="FFBBBEBF"/>
        <rFont val="Consolas"/>
        <family val="3"/>
        <charset val="1"/>
      </rPr>
      <t>=</t>
    </r>
    <r>
      <rPr>
        <sz val="11"/>
        <color rgb="FFA5D6FF"/>
        <rFont val="Consolas"/>
        <family val="3"/>
        <charset val="1"/>
      </rPr>
      <t>"submit"</t>
    </r>
    <r>
      <rPr>
        <sz val="11"/>
        <color rgb="FFBBBEBF"/>
        <rFont val="Consolas"/>
        <family val="3"/>
        <charset val="1"/>
      </rPr>
      <t xml:space="preserve"> </t>
    </r>
    <r>
      <rPr>
        <sz val="11"/>
        <color rgb="FF9CDCFE"/>
        <rFont val="Consolas"/>
        <family val="3"/>
        <charset val="1"/>
      </rPr>
      <t>name</t>
    </r>
    <r>
      <rPr>
        <sz val="11"/>
        <color rgb="FFBBBEBF"/>
        <rFont val="Consolas"/>
        <family val="3"/>
        <charset val="1"/>
      </rPr>
      <t>=</t>
    </r>
    <r>
      <rPr>
        <sz val="11"/>
        <color rgb="FFA5D6FF"/>
        <rFont val="Consolas"/>
        <family val="3"/>
        <charset val="1"/>
      </rPr>
      <t>"subscribe"</t>
    </r>
    <r>
      <rPr>
        <sz val="11"/>
        <color rgb="FFBBBEBF"/>
        <rFont val="Consolas"/>
        <family val="3"/>
        <charset val="1"/>
      </rPr>
      <t xml:space="preserve"> </t>
    </r>
    <r>
      <rPr>
        <sz val="11"/>
        <color rgb="FF9CDCFE"/>
        <rFont val="Consolas"/>
        <family val="3"/>
        <charset val="1"/>
      </rPr>
      <t>id</t>
    </r>
    <r>
      <rPr>
        <sz val="11"/>
        <color rgb="FFBBBEBF"/>
        <rFont val="Consolas"/>
        <family val="3"/>
        <charset val="1"/>
      </rPr>
      <t>=</t>
    </r>
    <r>
      <rPr>
        <sz val="11"/>
        <color rgb="FFA5D6FF"/>
        <rFont val="Consolas"/>
        <family val="3"/>
        <charset val="1"/>
      </rPr>
      <t>"mc-embedded-subscribe"</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"button"</t>
    </r>
    <r>
      <rPr>
        <sz val="11"/>
        <color rgb="FFBBBEBF"/>
        <rFont val="Consolas"/>
        <family val="3"/>
        <charset val="1"/>
      </rPr>
      <t xml:space="preserve"> </t>
    </r>
    <r>
      <rPr>
        <sz val="11"/>
        <color rgb="FF9CDCFE"/>
        <rFont val="Consolas"/>
        <family val="3"/>
        <charset val="1"/>
      </rPr>
      <t>value</t>
    </r>
    <r>
      <rPr>
        <sz val="11"/>
        <color rgb="FFBBBEBF"/>
        <rFont val="Consolas"/>
        <family val="3"/>
        <charset val="1"/>
      </rPr>
      <t>=</t>
    </r>
    <r>
      <rPr>
        <sz val="11"/>
        <color rgb="FFA5D6FF"/>
        <rFont val="Consolas"/>
        <family val="3"/>
        <charset val="1"/>
      </rPr>
      <t>"Anmelden"</t>
    </r>
    <r>
      <rPr>
        <sz val="11"/>
        <color rgb="FF808080"/>
        <rFont val="Consolas"/>
        <family val="3"/>
        <charset val="1"/>
      </rPr>
      <t>&gt;&lt;/</t>
    </r>
    <r>
      <rPr>
        <sz val="11"/>
        <color rgb="FF7EE787"/>
        <rFont val="Consolas"/>
        <family val="3"/>
        <charset val="1"/>
      </rPr>
      <t>div</t>
    </r>
    <r>
      <rPr>
        <sz val="11"/>
        <color rgb="FF808080"/>
        <rFont val="Consolas"/>
        <family val="3"/>
        <charset val="1"/>
      </rPr>
      <t>&gt;</t>
    </r>
  </si>
  <si>
    <t>        &lt;div class="clear"&gt;&lt;input type="submit" name="subscribe" id="mc-embedded-subscribe" class="button" value="Anmelden"&gt;&lt;/div&gt;</t>
  </si>
  <si>
    <t xml:space="preserve">        </t>
  </si>
  <si>
    <t xml:space="preserve">  </t>
  </si>
  <si>
    <r>
      <rPr>
        <sz val="11"/>
        <color rgb="FFBBBEBF"/>
        <rFont val="Consolas"/>
        <family val="3"/>
        <charset val="1"/>
      </rPr>
      <t xml:space="preserve">    </t>
    </r>
    <r>
      <rPr>
        <sz val="11"/>
        <color rgb="FF808080"/>
        <rFont val="Consolas"/>
        <family val="3"/>
        <charset val="1"/>
      </rPr>
      <t>&lt;</t>
    </r>
    <r>
      <rPr>
        <sz val="11"/>
        <color rgb="FF7EE787"/>
        <rFont val="Consolas"/>
        <family val="3"/>
        <charset val="1"/>
      </rPr>
      <t>div</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"card-links"</t>
    </r>
    <r>
      <rPr>
        <sz val="11"/>
        <color rgb="FF808080"/>
        <rFont val="Consolas"/>
        <family val="3"/>
        <charset val="1"/>
      </rPr>
      <t>&gt;</t>
    </r>
  </si>
  <si>
    <t>    &lt;div class="card-links"&gt;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</si>
  <si>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a</t>
    </r>
    <r>
      <rPr>
        <sz val="11"/>
        <color rgb="FFBBBEBF"/>
        <rFont val="Consolas"/>
        <family val="3"/>
        <charset val="1"/>
      </rPr>
      <t xml:space="preserve"> </t>
    </r>
    <r>
      <rPr>
        <sz val="11"/>
        <color rgb="FF9CDCFE"/>
        <rFont val="Consolas"/>
        <family val="3"/>
        <charset val="1"/>
      </rPr>
      <t>href</t>
    </r>
    <r>
      <rPr>
        <sz val="11"/>
        <color rgb="FFBBBEBF"/>
        <rFont val="Consolas"/>
        <family val="3"/>
        <charset val="1"/>
      </rPr>
      <t>=</t>
    </r>
    <r>
      <rPr>
        <sz val="11"/>
        <color rgb="FFA5D6FF"/>
        <rFont val="Consolas"/>
        <family val="3"/>
        <charset val="1"/>
      </rPr>
      <t>"#datenschutz-wrap"</t>
    </r>
    <r>
      <rPr>
        <sz val="11"/>
        <color rgb="FFBBBEBF"/>
        <rFont val="Consolas"/>
        <family val="3"/>
        <charset val="1"/>
      </rPr>
      <t xml:space="preserve"> </t>
    </r>
    <r>
      <rPr>
        <sz val="11"/>
        <color rgb="FF9CDCFE"/>
        <rFont val="Consolas"/>
        <family val="3"/>
        <charset val="1"/>
      </rPr>
      <t>id</t>
    </r>
    <r>
      <rPr>
        <sz val="11"/>
        <color rgb="FFBBBEBF"/>
        <rFont val="Consolas"/>
        <family val="3"/>
        <charset val="1"/>
      </rPr>
      <t>=</t>
    </r>
    <r>
      <rPr>
        <sz val="11"/>
        <color rgb="FFA5D6FF"/>
        <rFont val="Consolas"/>
        <family val="3"/>
        <charset val="1"/>
      </rPr>
      <t>"datenschutz-toggle"</t>
    </r>
    <r>
      <rPr>
        <sz val="11"/>
        <color rgb="FFBBBEBF"/>
        <rFont val="Consolas"/>
        <family val="3"/>
        <charset val="1"/>
      </rPr>
      <t xml:space="preserve"> </t>
    </r>
    <r>
      <rPr>
        <sz val="11"/>
        <color rgb="FF9CDCFE"/>
        <rFont val="Consolas"/>
        <family val="3"/>
        <charset val="1"/>
      </rPr>
      <t>aria-expanded</t>
    </r>
    <r>
      <rPr>
        <sz val="11"/>
        <color rgb="FFBBBEBF"/>
        <rFont val="Consolas"/>
        <family val="3"/>
        <charset val="1"/>
      </rPr>
      <t>=</t>
    </r>
    <r>
      <rPr>
        <sz val="11"/>
        <color rgb="FFA5D6FF"/>
        <rFont val="Consolas"/>
        <family val="3"/>
        <charset val="1"/>
      </rPr>
      <t>"false"</t>
    </r>
    <r>
      <rPr>
        <sz val="11"/>
        <color rgb="FFBBBEBF"/>
        <rFont val="Consolas"/>
        <family val="3"/>
        <charset val="1"/>
      </rPr>
      <t xml:space="preserve"> </t>
    </r>
    <r>
      <rPr>
        <sz val="11"/>
        <color rgb="FF9CDCFE"/>
        <rFont val="Consolas"/>
        <family val="3"/>
        <charset val="1"/>
      </rPr>
      <t>aria-controls</t>
    </r>
    <r>
      <rPr>
        <sz val="11"/>
        <color rgb="FFBBBEBF"/>
        <rFont val="Consolas"/>
        <family val="3"/>
        <charset val="1"/>
      </rPr>
      <t>=</t>
    </r>
    <r>
      <rPr>
        <sz val="11"/>
        <color rgb="FFA5D6FF"/>
        <rFont val="Consolas"/>
        <family val="3"/>
        <charset val="1"/>
      </rPr>
      <t>"datenschutz-wrap"</t>
    </r>
    <r>
      <rPr>
        <sz val="11"/>
        <color rgb="FF808080"/>
        <rFont val="Consolas"/>
        <family val="3"/>
        <charset val="1"/>
      </rPr>
      <t>&gt;</t>
    </r>
    <r>
      <rPr>
        <sz val="11"/>
        <color rgb="FFBBBEBF"/>
        <rFont val="Consolas"/>
        <family val="3"/>
        <charset val="1"/>
      </rPr>
      <t>Datenschutz</t>
    </r>
    <r>
      <rPr>
        <sz val="11"/>
        <color rgb="FF808080"/>
        <rFont val="Consolas"/>
        <family val="3"/>
        <charset val="1"/>
      </rPr>
      <t>&lt;/</t>
    </r>
    <r>
      <rPr>
        <sz val="11"/>
        <color rgb="FF7EE787"/>
        <rFont val="Consolas"/>
        <family val="3"/>
        <charset val="1"/>
      </rPr>
      <t>a</t>
    </r>
    <r>
      <rPr>
        <sz val="11"/>
        <color rgb="FF808080"/>
        <rFont val="Consolas"/>
        <family val="3"/>
        <charset val="1"/>
      </rPr>
      <t>&gt;</t>
    </r>
  </si>
  <si>
    <t>          &lt;a href="#datenschutz-wrap" id="datenschutz-toggle" aria-expanded="false" aria-controls="datenschutz-wrap"&gt;Datenschutz&lt;/a&gt;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</si>
  <si>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div</t>
    </r>
    <r>
      <rPr>
        <sz val="11"/>
        <color rgb="FFBBBEBF"/>
        <rFont val="Consolas"/>
        <family val="3"/>
        <charset val="1"/>
      </rPr>
      <t xml:space="preserve"> </t>
    </r>
    <r>
      <rPr>
        <sz val="11"/>
        <color rgb="FF9CDCFE"/>
        <rFont val="Consolas"/>
        <family val="3"/>
        <charset val="1"/>
      </rPr>
      <t>id</t>
    </r>
    <r>
      <rPr>
        <sz val="11"/>
        <color rgb="FFBBBEBF"/>
        <rFont val="Consolas"/>
        <family val="3"/>
        <charset val="1"/>
      </rPr>
      <t>=</t>
    </r>
    <r>
      <rPr>
        <sz val="11"/>
        <color rgb="FFA5D6FF"/>
        <rFont val="Consolas"/>
        <family val="3"/>
        <charset val="1"/>
      </rPr>
      <t>"datenschutz-wrap"</t>
    </r>
    <r>
      <rPr>
        <sz val="11"/>
        <color rgb="FFBBBEBF"/>
        <rFont val="Consolas"/>
        <family val="3"/>
        <charset val="1"/>
      </rPr>
      <t xml:space="preserve"> </t>
    </r>
    <r>
      <rPr>
        <sz val="11"/>
        <color rgb="FF9CDCFE"/>
        <rFont val="Consolas"/>
        <family val="3"/>
        <charset val="1"/>
      </rPr>
      <t>hidden</t>
    </r>
    <r>
      <rPr>
        <sz val="11"/>
        <color rgb="FF808080"/>
        <rFont val="Consolas"/>
        <family val="3"/>
        <charset val="1"/>
      </rPr>
      <t>&gt;</t>
    </r>
  </si>
  <si>
    <t>                      &lt;div id="datenschutz-wrap" hidden&gt;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</si>
  <si>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div</t>
    </r>
    <r>
      <rPr>
        <sz val="11"/>
        <color rgb="FF808080"/>
        <rFont val="Consolas"/>
        <family val="3"/>
        <charset val="1"/>
      </rPr>
      <t>&gt;</t>
    </r>
  </si>
  <si>
    <t>        &lt;div&gt;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</si>
  <si>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p</t>
    </r>
    <r>
      <rPr>
        <sz val="11"/>
        <color rgb="FFBBBEBF"/>
        <rFont val="Consolas"/>
        <family val="3"/>
        <charset val="1"/>
      </rPr>
      <t xml:space="preserve"> </t>
    </r>
    <r>
      <rPr>
        <sz val="11"/>
        <color rgb="FF9CDCFE"/>
        <rFont val="Consolas"/>
        <family val="3"/>
        <charset val="1"/>
      </rPr>
      <t>style</t>
    </r>
    <r>
      <rPr>
        <sz val="11"/>
        <color rgb="FFBBBEBF"/>
        <rFont val="Consolas"/>
        <family val="3"/>
        <charset val="1"/>
      </rPr>
      <t>=</t>
    </r>
    <r>
      <rPr>
        <sz val="11"/>
        <color rgb="FFA5D6FF"/>
        <rFont val="Consolas"/>
        <family val="3"/>
        <charset val="1"/>
      </rPr>
      <t>"font-size: 14px;"</t>
    </r>
    <r>
      <rPr>
        <sz val="11"/>
        <color rgb="FF808080"/>
        <rFont val="Consolas"/>
        <family val="3"/>
        <charset val="1"/>
      </rPr>
      <t>&gt;</t>
    </r>
    <r>
      <rPr>
        <sz val="11"/>
        <color rgb="FFBBBEBF"/>
        <rFont val="Consolas"/>
        <family val="3"/>
        <charset val="1"/>
      </rPr>
      <t>Die Karmeliten in Österreich werden die Informationen, die Sie in diesem Formular angeben, dazu verwenden, mit Ihnen in Kontakt zu bleiben und Ihnen Informationen über Internet-Aktivitäten wie Exerzitien Online o.ä. zu übermitteln – je nach Ihrer Auswahl im obigen Formular.</t>
    </r>
  </si>
  <si>
    <t>          &lt;p style="font-size: 14px;"&gt;Die Karmeliten in Österreich werden die Informationen, die Sie in diesem Formular angeben, dazu verwenden, mit Ihnen in Kontakt zu bleiben und Ihnen Informationen über Internet-Aktivitäten wie Exerzitien Online o.ä. zu übermitteln – je nach Ihrer Auswahl im obigen Formular.</t>
  </si>
  <si>
    <t>            Sie können Ihre Meinung jederzeit ändern, indem Sie auf den Abbestellungs-Link klicken, den Sie in der Fußzeile jeder E-Mail, die Sie von uns erhalten, finden können, oder indem Sie uns unter online-exerzitien@karmel.at kontaktieren. Wir werden Ihre Informationen mit Sorgfalt und Respekt behandeln. Weitere Informationen zu unseren Datenschutzpraktiken finden Sie auf unserer Website www.karmel.at . Indem Sie unten klicken, erklären Sie sich damit einverstanden, dass wir Ihre Informationen in Übereinstimmung mit diesen Bedingungen verarbeiten dürfen.</t>
  </si>
  <si>
    <r>
      <rPr>
        <sz val="11"/>
        <color rgb="FFBBBEBF"/>
        <rFont val="Consolas"/>
        <family val="3"/>
        <charset val="1"/>
      </rPr>
      <t xml:space="preserve">          </t>
    </r>
    <r>
      <rPr>
        <sz val="11"/>
        <color rgb="FF808080"/>
        <rFont val="Consolas"/>
        <family val="3"/>
        <charset val="1"/>
      </rPr>
      <t>&lt;/</t>
    </r>
    <r>
      <rPr>
        <sz val="11"/>
        <color rgb="FF7EE787"/>
        <rFont val="Consolas"/>
        <family val="3"/>
        <charset val="1"/>
      </rPr>
      <t>p</t>
    </r>
    <r>
      <rPr>
        <sz val="11"/>
        <color rgb="FF808080"/>
        <rFont val="Consolas"/>
        <family val="3"/>
        <charset val="1"/>
      </rPr>
      <t>&gt;</t>
    </r>
  </si>
  <si>
    <t>          &lt;/p&gt;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</si>
  <si>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p</t>
    </r>
    <r>
      <rPr>
        <sz val="11"/>
        <color rgb="FFBBBEBF"/>
        <rFont val="Consolas"/>
        <family val="3"/>
        <charset val="1"/>
      </rPr>
      <t xml:space="preserve"> </t>
    </r>
    <r>
      <rPr>
        <sz val="11"/>
        <color rgb="FF9CDCFE"/>
        <rFont val="Consolas"/>
        <family val="3"/>
        <charset val="1"/>
      </rPr>
      <t>style</t>
    </r>
    <r>
      <rPr>
        <sz val="11"/>
        <color rgb="FFBBBEBF"/>
        <rFont val="Consolas"/>
        <family val="3"/>
        <charset val="1"/>
      </rPr>
      <t>=</t>
    </r>
    <r>
      <rPr>
        <sz val="11"/>
        <color rgb="FFA5D6FF"/>
        <rFont val="Consolas"/>
        <family val="3"/>
        <charset val="1"/>
      </rPr>
      <t>"font-size: 14px;"</t>
    </r>
    <r>
      <rPr>
        <sz val="11"/>
        <color rgb="FF808080"/>
        <rFont val="Consolas"/>
        <family val="3"/>
        <charset val="1"/>
      </rPr>
      <t>&gt;</t>
    </r>
  </si>
  <si>
    <t>          &lt;p style="font-size: 14px;"&gt;</t>
  </si>
  <si>
    <t>  Wir nutzen Mailchimp als unsere Marketing-Plattform. Mit einem Klick auf den untenstehenden Button zum Abonnieren erklären Sie sich damit einverstanden, dass Ihre Daten zur Verarbeitung an Mailchimp übermittelt werden.</t>
  </si>
  <si>
    <r>
      <rPr>
        <sz val="11"/>
        <color rgb="FFBBBEBF"/>
        <rFont val="Consolas"/>
        <family val="3"/>
        <charset val="1"/>
      </rPr>
      <t xml:space="preserve">    </t>
    </r>
    <r>
      <rPr>
        <sz val="11"/>
        <color rgb="FF808080"/>
        <rFont val="Consolas"/>
        <family val="3"/>
        <charset val="1"/>
      </rPr>
      <t>&lt;</t>
    </r>
    <r>
      <rPr>
        <sz val="11"/>
        <color rgb="FF7EE787"/>
        <rFont val="Consolas"/>
        <family val="3"/>
        <charset val="1"/>
      </rPr>
      <t>a</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"plain-link"</t>
    </r>
    <r>
      <rPr>
        <sz val="11"/>
        <color rgb="FFBBBEBF"/>
        <rFont val="Consolas"/>
        <family val="3"/>
        <charset val="1"/>
      </rPr>
      <t xml:space="preserve"> </t>
    </r>
    <r>
      <rPr>
        <sz val="11"/>
        <color rgb="FF9CDCFE"/>
        <rFont val="Consolas"/>
        <family val="3"/>
        <charset val="1"/>
      </rPr>
      <t>href</t>
    </r>
    <r>
      <rPr>
        <sz val="11"/>
        <color rgb="FFBBBEBF"/>
        <rFont val="Consolas"/>
        <family val="3"/>
        <charset val="1"/>
      </rPr>
      <t>=</t>
    </r>
    <r>
      <rPr>
        <sz val="11"/>
        <color rgb="FFA5D6FF"/>
        <rFont val="Consolas"/>
        <family val="3"/>
        <charset val="1"/>
      </rPr>
      <t>"https://mailchimp.com/legal/terms/"</t>
    </r>
    <r>
      <rPr>
        <sz val="11"/>
        <color rgb="FFBBBEBF"/>
        <rFont val="Consolas"/>
        <family val="3"/>
        <charset val="1"/>
      </rPr>
      <t xml:space="preserve"> </t>
    </r>
    <r>
      <rPr>
        <sz val="11"/>
        <color rgb="FF9CDCFE"/>
        <rFont val="Consolas"/>
        <family val="3"/>
        <charset val="1"/>
      </rPr>
      <t>target</t>
    </r>
    <r>
      <rPr>
        <sz val="11"/>
        <color rgb="FFBBBEBF"/>
        <rFont val="Consolas"/>
        <family val="3"/>
        <charset val="1"/>
      </rPr>
      <t>=</t>
    </r>
    <r>
      <rPr>
        <sz val="11"/>
        <color rgb="FFA5D6FF"/>
        <rFont val="Consolas"/>
        <family val="3"/>
        <charset val="1"/>
      </rPr>
      <t>"_blank"</t>
    </r>
    <r>
      <rPr>
        <sz val="11"/>
        <color rgb="FFBBBEBF"/>
        <rFont val="Consolas"/>
        <family val="3"/>
        <charset val="1"/>
      </rPr>
      <t xml:space="preserve"> </t>
    </r>
    <r>
      <rPr>
        <sz val="11"/>
        <color rgb="FF9CDCFE"/>
        <rFont val="Consolas"/>
        <family val="3"/>
        <charset val="1"/>
      </rPr>
      <t>rel</t>
    </r>
    <r>
      <rPr>
        <sz val="11"/>
        <color rgb="FFBBBEBF"/>
        <rFont val="Consolas"/>
        <family val="3"/>
        <charset val="1"/>
      </rPr>
      <t>=</t>
    </r>
    <r>
      <rPr>
        <sz val="11"/>
        <color rgb="FFA5D6FF"/>
        <rFont val="Consolas"/>
        <family val="3"/>
        <charset val="1"/>
      </rPr>
      <t>"noopener noreferrer"</t>
    </r>
    <r>
      <rPr>
        <sz val="11"/>
        <color rgb="FFBBBEBF"/>
        <rFont val="Consolas"/>
        <family val="3"/>
        <charset val="1"/>
      </rPr>
      <t xml:space="preserve"> </t>
    </r>
    <r>
      <rPr>
        <sz val="11"/>
        <color rgb="FF9CDCFE"/>
        <rFont val="Consolas"/>
        <family val="3"/>
        <charset val="1"/>
      </rPr>
      <t>style</t>
    </r>
    <r>
      <rPr>
        <sz val="11"/>
        <color rgb="FFBBBEBF"/>
        <rFont val="Consolas"/>
        <family val="3"/>
        <charset val="1"/>
      </rPr>
      <t>=</t>
    </r>
    <r>
      <rPr>
        <sz val="11"/>
        <color rgb="FFA5D6FF"/>
        <rFont val="Consolas"/>
        <family val="3"/>
        <charset val="1"/>
      </rPr>
      <t>"display:inline-block; font-weight:400; text-decoration:underline;"</t>
    </r>
    <r>
      <rPr>
        <sz val="11"/>
        <color rgb="FF808080"/>
        <rFont val="Consolas"/>
        <family val="3"/>
        <charset val="1"/>
      </rPr>
      <t>&gt;</t>
    </r>
  </si>
  <si>
    <t>    &lt;a class="plain-link" href="https://mailchimp.com/legal/terms/" target="_blank" rel="noopener noreferrer" style="display:inline-block; font-weight:400; text-decoration:underline;"&gt;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</si>
  <si>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br</t>
    </r>
    <r>
      <rPr>
        <sz val="11"/>
        <color rgb="FF808080"/>
        <rFont val="Consolas"/>
        <family val="3"/>
        <charset val="1"/>
      </rPr>
      <t>&gt;</t>
    </r>
    <r>
      <rPr>
        <sz val="11"/>
        <color rgb="FFBBBEBF"/>
        <rFont val="Consolas"/>
        <family val="3"/>
        <charset val="1"/>
      </rPr>
      <t>Mehr über die Datenschutzpraktiken von Mailchimp erfahren Sie hier.</t>
    </r>
  </si>
  <si>
    <t>    &lt;br&gt;Mehr über die Datenschutzpraktiken von Mailchimp erfahren Sie hier.</t>
  </si>
  <si>
    <r>
      <rPr>
        <sz val="11"/>
        <color rgb="FFBBBEBF"/>
        <rFont val="Consolas"/>
        <family val="3"/>
        <charset val="1"/>
      </rPr>
      <t xml:space="preserve">  </t>
    </r>
    <r>
      <rPr>
        <sz val="11"/>
        <color rgb="FF808080"/>
        <rFont val="Consolas"/>
        <family val="3"/>
        <charset val="1"/>
      </rPr>
      <t>&lt;/</t>
    </r>
    <r>
      <rPr>
        <sz val="11"/>
        <color rgb="FF7EE787"/>
        <rFont val="Consolas"/>
        <family val="3"/>
        <charset val="1"/>
      </rPr>
      <t>a</t>
    </r>
    <r>
      <rPr>
        <sz val="11"/>
        <color rgb="FF808080"/>
        <rFont val="Consolas"/>
        <family val="3"/>
        <charset val="1"/>
      </rPr>
      <t>&gt;&lt;/</t>
    </r>
    <r>
      <rPr>
        <sz val="11"/>
        <color rgb="FF7EE787"/>
        <rFont val="Consolas"/>
        <family val="3"/>
        <charset val="1"/>
      </rPr>
      <t>div</t>
    </r>
    <r>
      <rPr>
        <sz val="11"/>
        <color rgb="FF808080"/>
        <rFont val="Consolas"/>
        <family val="3"/>
        <charset val="1"/>
      </rPr>
      <t>&gt;&lt;/</t>
    </r>
    <r>
      <rPr>
        <sz val="11"/>
        <color rgb="FF7EE787"/>
        <rFont val="Consolas"/>
        <family val="3"/>
        <charset val="1"/>
      </rPr>
      <t>div</t>
    </r>
    <r>
      <rPr>
        <sz val="11"/>
        <color rgb="FF808080"/>
        <rFont val="Consolas"/>
        <family val="3"/>
        <charset val="1"/>
      </rPr>
      <t>&gt;&lt;/</t>
    </r>
    <r>
      <rPr>
        <sz val="11"/>
        <color rgb="FF7EE787"/>
        <rFont val="Consolas"/>
        <family val="3"/>
        <charset val="1"/>
      </rPr>
      <t>div</t>
    </r>
    <r>
      <rPr>
        <sz val="11"/>
        <color rgb="FF808080"/>
        <rFont val="Consolas"/>
        <family val="3"/>
        <charset val="1"/>
      </rPr>
      <t>&gt;</t>
    </r>
  </si>
  <si>
    <t>  &lt;/a&gt;&lt;/div&gt;&lt;/div&gt;&lt;/div&gt;</t>
  </si>
  <si>
    <r>
      <rPr>
        <sz val="11"/>
        <color rgb="FF808080"/>
        <rFont val="Consolas"/>
        <family val="3"/>
        <charset val="1"/>
      </rPr>
      <t>&lt;/</t>
    </r>
    <r>
      <rPr>
        <sz val="11"/>
        <color rgb="FF7EE787"/>
        <rFont val="Consolas"/>
        <family val="3"/>
        <charset val="1"/>
      </rPr>
      <t>form</t>
    </r>
    <r>
      <rPr>
        <sz val="11"/>
        <color rgb="FF808080"/>
        <rFont val="Consolas"/>
        <family val="3"/>
        <charset val="1"/>
      </rPr>
      <t>&gt;</t>
    </r>
  </si>
  <si>
    <t>&lt;/form&gt;</t>
  </si>
  <si>
    <r>
      <rPr>
        <sz val="11"/>
        <color rgb="FF808080"/>
        <rFont val="Consolas"/>
        <family val="3"/>
        <charset val="1"/>
      </rPr>
      <t>&lt;/</t>
    </r>
    <r>
      <rPr>
        <sz val="11"/>
        <color rgb="FF7EE787"/>
        <rFont val="Consolas"/>
        <family val="3"/>
        <charset val="1"/>
      </rPr>
      <t>div</t>
    </r>
    <r>
      <rPr>
        <sz val="11"/>
        <color rgb="FF808080"/>
        <rFont val="Consolas"/>
        <family val="3"/>
        <charset val="1"/>
      </rPr>
      <t>&gt;&lt;</t>
    </r>
    <r>
      <rPr>
        <sz val="11"/>
        <color rgb="FF7EE787"/>
        <rFont val="Consolas"/>
        <family val="3"/>
        <charset val="1"/>
      </rPr>
      <t>p</t>
    </r>
    <r>
      <rPr>
        <sz val="11"/>
        <color rgb="FF808080"/>
        <rFont val="Consolas"/>
        <family val="3"/>
        <charset val="1"/>
      </rPr>
      <t>&gt;</t>
    </r>
  </si>
  <si>
    <t>&lt;/div&gt;&lt;p&gt;</t>
  </si>
  <si>
    <r>
      <rPr>
        <sz val="11"/>
        <color rgb="FFBBBEBF"/>
        <rFont val="Consolas"/>
        <family val="3"/>
        <charset val="1"/>
      </rPr>
      <t xml:space="preserve">  Laden Sie auch Freunde und Bekannte ein! Sie können diese Seite weiterempfehlen oder auf </t>
    </r>
    <r>
      <rPr>
        <sz val="11"/>
        <color rgb="FF808080"/>
        <rFont val="Consolas"/>
        <family val="3"/>
        <charset val="1"/>
      </rPr>
      <t>&lt;</t>
    </r>
    <r>
      <rPr>
        <sz val="11"/>
        <color rgb="FF7EE787"/>
        <rFont val="Consolas"/>
        <family val="3"/>
        <charset val="1"/>
      </rPr>
      <t>a</t>
    </r>
    <r>
      <rPr>
        <sz val="11"/>
        <color rgb="FFBBBEBF"/>
        <rFont val="Consolas"/>
        <family val="3"/>
        <charset val="1"/>
      </rPr>
      <t xml:space="preserve"> </t>
    </r>
    <r>
      <rPr>
        <sz val="11"/>
        <color rgb="FF9CDCFE"/>
        <rFont val="Consolas"/>
        <family val="3"/>
        <charset val="1"/>
      </rPr>
      <t>href</t>
    </r>
    <r>
      <rPr>
        <sz val="11"/>
        <color rgb="FFBBBEBF"/>
        <rFont val="Consolas"/>
        <family val="3"/>
        <charset val="1"/>
      </rPr>
      <t>=</t>
    </r>
    <r>
      <rPr>
        <sz val="11"/>
        <color rgb="FFA5D6FF"/>
        <rFont val="Consolas"/>
        <family val="3"/>
        <charset val="1"/>
      </rPr>
      <t>"https://rundbrief.karmel.at"</t>
    </r>
    <r>
      <rPr>
        <sz val="11"/>
        <color rgb="FF808080"/>
        <rFont val="Consolas"/>
        <family val="3"/>
        <charset val="1"/>
      </rPr>
      <t>&gt;</t>
    </r>
    <r>
      <rPr>
        <sz val="11"/>
        <color rgb="FFBBBEBF"/>
        <rFont val="Consolas"/>
        <family val="3"/>
        <charset val="1"/>
      </rPr>
      <t>rundbrief.karmel.at</t>
    </r>
    <r>
      <rPr>
        <sz val="11"/>
        <color rgb="FF808080"/>
        <rFont val="Consolas"/>
        <family val="3"/>
        <charset val="1"/>
      </rPr>
      <t>&lt;/</t>
    </r>
    <r>
      <rPr>
        <sz val="11"/>
        <color rgb="FF7EE787"/>
        <rFont val="Consolas"/>
        <family val="3"/>
        <charset val="1"/>
      </rPr>
      <t>a</t>
    </r>
    <r>
      <rPr>
        <sz val="11"/>
        <color rgb="FF808080"/>
        <rFont val="Consolas"/>
        <family val="3"/>
        <charset val="1"/>
      </rPr>
      <t>&gt;</t>
    </r>
    <r>
      <rPr>
        <sz val="11"/>
        <color rgb="FFBBBEBF"/>
        <rFont val="Consolas"/>
        <family val="3"/>
        <charset val="1"/>
      </rPr>
      <t xml:space="preserve"> verweisen.</t>
    </r>
    <r>
      <rPr>
        <sz val="11"/>
        <color rgb="FF808080"/>
        <rFont val="Consolas"/>
        <family val="3"/>
        <charset val="1"/>
      </rPr>
      <t>&lt;/</t>
    </r>
    <r>
      <rPr>
        <sz val="11"/>
        <color rgb="FF7EE787"/>
        <rFont val="Consolas"/>
        <family val="3"/>
        <charset val="1"/>
      </rPr>
      <t>p</t>
    </r>
    <r>
      <rPr>
        <sz val="11"/>
        <color rgb="FF808080"/>
        <rFont val="Consolas"/>
        <family val="3"/>
        <charset val="1"/>
      </rPr>
      <t>&gt;</t>
    </r>
    <r>
      <rPr>
        <sz val="11"/>
        <color rgb="FFBBBEBF"/>
        <rFont val="Consolas"/>
        <family val="3"/>
        <charset val="1"/>
      </rPr>
      <t xml:space="preserve"> </t>
    </r>
  </si>
  <si>
    <t xml:space="preserve">  Laden Sie auch Freunde und Bekannte ein! Sie können diese Seite weiterempfehlen oder auf &lt;a href="https://rundbrief.karmel.at"&gt;rundbrief.karmel.at&lt;/a&gt; verweisen.&lt;/p&gt; </t>
  </si>
  <si>
    <r>
      <rPr>
        <sz val="11"/>
        <color rgb="FFBBBEBF"/>
        <rFont val="Consolas"/>
        <family val="3"/>
        <charset val="1"/>
      </rPr>
      <t xml:space="preserve">  </t>
    </r>
    <r>
      <rPr>
        <sz val="11"/>
        <color rgb="FF808080"/>
        <rFont val="Consolas"/>
        <family val="3"/>
        <charset val="1"/>
      </rPr>
      <t>&lt;</t>
    </r>
    <r>
      <rPr>
        <sz val="11"/>
        <color rgb="FF7EE787"/>
        <rFont val="Consolas"/>
        <family val="3"/>
        <charset val="1"/>
      </rPr>
      <t>p</t>
    </r>
    <r>
      <rPr>
        <sz val="11"/>
        <color rgb="FF808080"/>
        <rFont val="Consolas"/>
        <family val="3"/>
        <charset val="1"/>
      </rPr>
      <t>&gt;</t>
    </r>
    <r>
      <rPr>
        <sz val="11"/>
        <color rgb="FFBBBEBF"/>
        <rFont val="Consolas"/>
        <family val="3"/>
        <charset val="1"/>
      </rPr>
      <t xml:space="preserve">Wenn Sie sich mit dem online-Anmeldeformular schwer tun oder Fehler auftreten, </t>
    </r>
    <r>
      <rPr>
        <sz val="11"/>
        <color rgb="FF808080"/>
        <rFont val="Consolas"/>
        <family val="3"/>
        <charset val="1"/>
      </rPr>
      <t>&lt;</t>
    </r>
    <r>
      <rPr>
        <sz val="11"/>
        <color rgb="FF7EE787"/>
        <rFont val="Consolas"/>
        <family val="3"/>
        <charset val="1"/>
      </rPr>
      <t>a</t>
    </r>
    <r>
      <rPr>
        <sz val="11"/>
        <color rgb="FFBBBEBF"/>
        <rFont val="Consolas"/>
        <family val="3"/>
        <charset val="1"/>
      </rPr>
      <t xml:space="preserve"> </t>
    </r>
    <r>
      <rPr>
        <sz val="11"/>
        <color rgb="FF9CDCFE"/>
        <rFont val="Consolas"/>
        <family val="3"/>
        <charset val="1"/>
      </rPr>
      <t>href</t>
    </r>
    <r>
      <rPr>
        <sz val="11"/>
        <color rgb="FFBBBEBF"/>
        <rFont val="Consolas"/>
        <family val="3"/>
        <charset val="1"/>
      </rPr>
      <t>=</t>
    </r>
    <r>
      <rPr>
        <sz val="11"/>
        <color rgb="FFA5D6FF"/>
        <rFont val="Consolas"/>
        <family val="3"/>
        <charset val="1"/>
      </rPr>
      <t>"mailto:secretarius@karmel.at?subject=Anmeldung%zum%Rundbrief"</t>
    </r>
    <r>
      <rPr>
        <sz val="11"/>
        <color rgb="FF808080"/>
        <rFont val="Consolas"/>
        <family val="3"/>
        <charset val="1"/>
      </rPr>
      <t>&gt;</t>
    </r>
    <r>
      <rPr>
        <sz val="11"/>
        <color rgb="FFBBBEBF"/>
        <rFont val="Consolas"/>
        <family val="3"/>
        <charset val="1"/>
      </rPr>
      <t>schreiben Sie uns ein eMail</t>
    </r>
    <r>
      <rPr>
        <sz val="11"/>
        <color rgb="FF808080"/>
        <rFont val="Consolas"/>
        <family val="3"/>
        <charset val="1"/>
      </rPr>
      <t>&lt;/</t>
    </r>
    <r>
      <rPr>
        <sz val="11"/>
        <color rgb="FF7EE787"/>
        <rFont val="Consolas"/>
        <family val="3"/>
        <charset val="1"/>
      </rPr>
      <t>a</t>
    </r>
    <r>
      <rPr>
        <sz val="11"/>
        <color rgb="FF808080"/>
        <rFont val="Consolas"/>
        <family val="3"/>
        <charset val="1"/>
      </rPr>
      <t>&gt;</t>
    </r>
    <r>
      <rPr>
        <sz val="11"/>
        <color rgb="FFBBBEBF"/>
        <rFont val="Consolas"/>
        <family val="3"/>
        <charset val="1"/>
      </rPr>
      <t>.</t>
    </r>
    <r>
      <rPr>
        <sz val="11"/>
        <color rgb="FF808080"/>
        <rFont val="Consolas"/>
        <family val="3"/>
        <charset val="1"/>
      </rPr>
      <t>&lt;/</t>
    </r>
    <r>
      <rPr>
        <sz val="11"/>
        <color rgb="FF7EE787"/>
        <rFont val="Consolas"/>
        <family val="3"/>
        <charset val="1"/>
      </rPr>
      <t>p</t>
    </r>
    <r>
      <rPr>
        <sz val="11"/>
        <color rgb="FF808080"/>
        <rFont val="Consolas"/>
        <family val="3"/>
        <charset val="1"/>
      </rPr>
      <t>&gt;</t>
    </r>
  </si>
  <si>
    <t>  &lt;p&gt;Wenn Sie sich mit dem online-Anmeldeformular schwer tun oder Fehler auftreten, &lt;a href="mailto:secretarius@karmel.at?subject=Anmeldung%zum%Rundbrief"&gt;schreiben Sie uns ein eMail&lt;/a&gt;.&lt;/p&gt;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</si>
  <si>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p</t>
    </r>
    <r>
      <rPr>
        <sz val="11"/>
        <color rgb="FF808080"/>
        <rFont val="Consolas"/>
        <family val="3"/>
        <charset val="1"/>
      </rPr>
      <t>&gt;</t>
    </r>
    <r>
      <rPr>
        <sz val="11"/>
        <color rgb="FFBBBEBF"/>
        <rFont val="Consolas"/>
        <family val="3"/>
        <charset val="1"/>
      </rPr>
      <t xml:space="preserve">  Sie können die Exerzitien/Novenen und die anderen Aussendungen auch über die kostenlose App "Gott allein genügt!" für iPhone, Android und Windows Mobile verfolgen: </t>
    </r>
    <r>
      <rPr>
        <sz val="11"/>
        <color rgb="FF808080"/>
        <rFont val="Consolas"/>
        <family val="3"/>
        <charset val="1"/>
      </rPr>
      <t>&lt;</t>
    </r>
    <r>
      <rPr>
        <sz val="11"/>
        <color rgb="FF7EE787"/>
        <rFont val="Consolas"/>
        <family val="3"/>
        <charset val="1"/>
      </rPr>
      <t>a</t>
    </r>
    <r>
      <rPr>
        <sz val="11"/>
        <color rgb="FFBBBEBF"/>
        <rFont val="Consolas"/>
        <family val="3"/>
        <charset val="1"/>
      </rPr>
      <t xml:space="preserve"> </t>
    </r>
    <r>
      <rPr>
        <sz val="11"/>
        <color rgb="FF9CDCFE"/>
        <rFont val="Consolas"/>
        <family val="3"/>
        <charset val="1"/>
      </rPr>
      <t>href</t>
    </r>
    <r>
      <rPr>
        <sz val="11"/>
        <color rgb="FFBBBEBF"/>
        <rFont val="Consolas"/>
        <family val="3"/>
        <charset val="1"/>
      </rPr>
      <t>=</t>
    </r>
    <r>
      <rPr>
        <sz val="11"/>
        <color rgb="FFA5D6FF"/>
        <rFont val="Consolas"/>
        <family val="3"/>
        <charset val="1"/>
      </rPr>
      <t>"http://app.karmel.at"</t>
    </r>
    <r>
      <rPr>
        <sz val="11"/>
        <color rgb="FF808080"/>
        <rFont val="Consolas"/>
        <family val="3"/>
        <charset val="1"/>
      </rPr>
      <t>&gt;</t>
    </r>
    <r>
      <rPr>
        <sz val="11"/>
        <color rgb="FFBBBEBF"/>
        <rFont val="Consolas"/>
        <family val="3"/>
        <charset val="1"/>
      </rPr>
      <t>Homepage der App</t>
    </r>
    <r>
      <rPr>
        <sz val="11"/>
        <color rgb="FF808080"/>
        <rFont val="Consolas"/>
        <family val="3"/>
        <charset val="1"/>
      </rPr>
      <t>&lt;/</t>
    </r>
    <r>
      <rPr>
        <sz val="11"/>
        <color rgb="FF7EE787"/>
        <rFont val="Consolas"/>
        <family val="3"/>
        <charset val="1"/>
      </rPr>
      <t>a</t>
    </r>
    <r>
      <rPr>
        <sz val="11"/>
        <color rgb="FF808080"/>
        <rFont val="Consolas"/>
        <family val="3"/>
        <charset val="1"/>
      </rPr>
      <t>&gt;</t>
    </r>
    <r>
      <rPr>
        <sz val="11"/>
        <color rgb="FFBBBEBF"/>
        <rFont val="Consolas"/>
        <family val="3"/>
        <charset val="1"/>
      </rPr>
      <t xml:space="preserve"> - dort finden Sie auch weitere Impulse und Infos.</t>
    </r>
    <r>
      <rPr>
        <sz val="11"/>
        <color rgb="FF808080"/>
        <rFont val="Consolas"/>
        <family val="3"/>
        <charset val="1"/>
      </rPr>
      <t>&lt;/</t>
    </r>
    <r>
      <rPr>
        <sz val="11"/>
        <color rgb="FF7EE787"/>
        <rFont val="Consolas"/>
        <family val="3"/>
        <charset val="1"/>
      </rPr>
      <t>p</t>
    </r>
    <r>
      <rPr>
        <sz val="11"/>
        <color rgb="FF808080"/>
        <rFont val="Consolas"/>
        <family val="3"/>
        <charset val="1"/>
      </rPr>
      <t>&gt;</t>
    </r>
  </si>
  <si>
    <t>  &lt;p&gt;  Sie können die Exerzitien/Novenen und die anderen Aussendungen auch über die kostenlose App "Gott allein genügt!" für iPhone, Android und Windows Mobile verfolgen: &lt;a href="http://app.karmel.at"&gt;Homepage der App&lt;/a&gt; - dort finden Sie auch weitere Impulse und Infos.&lt;/p&gt;</t>
  </si>
  <si>
    <t>        &lt;div class="clear"&gt;&lt;input type="submit" name="subscribe" id="mc-embedded-subscribe" class="button-signup" value="Anmelden"&gt;&lt;/div&gt;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</si>
  <si>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p</t>
    </r>
    <r>
      <rPr>
        <sz val="11"/>
        <color rgb="FF808080"/>
        <rFont val="Consolas"/>
        <family val="3"/>
        <charset val="1"/>
      </rPr>
      <t>&gt;</t>
    </r>
    <r>
      <rPr>
        <sz val="11"/>
        <color rgb="FFBBBEBF"/>
        <rFont val="Consolas"/>
        <family val="3"/>
        <charset val="1"/>
      </rPr>
      <t>So wünschen wir Ihnen ein gutes, frohes Lesen und Beten!</t>
    </r>
  </si>
  <si>
    <t>            &lt;p&gt;So wünschen wir Ihnen ein gutes, frohes Lesen und Beten!</t>
  </si>
  <si>
    <r>
      <rPr>
        <sz val="11"/>
        <color rgb="FF808080"/>
        <rFont val="Consolas"/>
        <family val="3"/>
        <charset val="1"/>
      </rPr>
      <t>&lt;/</t>
    </r>
    <r>
      <rPr>
        <sz val="11"/>
        <color rgb="FF7EE787"/>
        <rFont val="Consolas"/>
        <family val="3"/>
        <charset val="1"/>
      </rPr>
      <t>p</t>
    </r>
    <r>
      <rPr>
        <sz val="11"/>
        <color rgb="FF808080"/>
        <rFont val="Consolas"/>
        <family val="3"/>
        <charset val="1"/>
      </rPr>
      <t>&gt;</t>
    </r>
  </si>
  <si>
    <t>&lt;/p&gt;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</si>
  <si>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div</t>
    </r>
    <r>
      <rPr>
        <sz val="11"/>
        <color rgb="FF808080"/>
        <rFont val="Consolas"/>
        <family val="3"/>
        <charset val="1"/>
      </rPr>
      <t>&gt;</t>
    </r>
  </si>
  <si>
    <t>                &lt;/div&gt;</t>
  </si>
  <si>
    <t xml:space="preserve">              </t>
  </si>
  <si>
    <r>
      <rPr>
        <sz val="11"/>
        <color rgb="FFBBBEBF"/>
        <rFont val="Consolas"/>
        <family val="3"/>
        <charset val="1"/>
      </rPr>
      <t xml:space="preserve">            </t>
    </r>
    <r>
      <rPr>
        <sz val="11"/>
        <color rgb="FF808080"/>
        <rFont val="Consolas"/>
        <family val="3"/>
        <charset val="1"/>
      </rPr>
      <t>&lt;/</t>
    </r>
    <r>
      <rPr>
        <sz val="11"/>
        <color rgb="FF7EE787"/>
        <rFont val="Consolas"/>
        <family val="3"/>
        <charset val="1"/>
      </rPr>
      <t>div</t>
    </r>
    <r>
      <rPr>
        <sz val="11"/>
        <color rgb="FF808080"/>
        <rFont val="Consolas"/>
        <family val="3"/>
        <charset val="1"/>
      </rPr>
      <t>&gt;</t>
    </r>
  </si>
  <si>
    <t>            &lt;/div&gt;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</si>
  <si>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section</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"section section-features"</t>
    </r>
    <r>
      <rPr>
        <sz val="11"/>
        <color rgb="FF808080"/>
        <rFont val="Consolas"/>
        <family val="3"/>
        <charset val="1"/>
      </rPr>
      <t>&gt;</t>
    </r>
  </si>
  <si>
    <t>      &lt;section class="section section-features"&gt;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</si>
  <si>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div</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"container"</t>
    </r>
    <r>
      <rPr>
        <sz val="11"/>
        <color rgb="FF808080"/>
        <rFont val="Consolas"/>
        <family val="3"/>
        <charset val="1"/>
      </rPr>
      <t>&gt;</t>
    </r>
  </si>
  <si>
    <r>
      <rPr>
        <sz val="11"/>
        <color rgb="FFBBBEBF"/>
        <rFont val="Consolas"/>
        <family val="3"/>
        <charset val="1"/>
      </rPr>
      <t xml:space="preserve">                                    </t>
    </r>
    <r>
      <rPr>
        <sz val="11"/>
        <color rgb="FF808080"/>
        <rFont val="Consolas"/>
        <family val="3"/>
        <charset val="1"/>
      </rPr>
      <t>&lt;</t>
    </r>
    <r>
      <rPr>
        <sz val="11"/>
        <color rgb="FF7EE787"/>
        <rFont val="Consolas"/>
        <family val="3"/>
        <charset val="1"/>
      </rPr>
      <t>h1</t>
    </r>
    <r>
      <rPr>
        <sz val="11"/>
        <color rgb="FF808080"/>
        <rFont val="Consolas"/>
        <family val="3"/>
        <charset val="1"/>
      </rPr>
      <t>&gt;</t>
    </r>
    <r>
      <rPr>
        <sz val="11"/>
        <color rgb="FFBBBEBF"/>
        <rFont val="Consolas"/>
        <family val="3"/>
        <charset val="1"/>
      </rPr>
      <t>Ablauf der Exerzitien</t>
    </r>
    <r>
      <rPr>
        <sz val="11"/>
        <color rgb="FF808080"/>
        <rFont val="Consolas"/>
        <family val="3"/>
        <charset val="1"/>
      </rPr>
      <t>&lt;/</t>
    </r>
    <r>
      <rPr>
        <sz val="11"/>
        <color rgb="FF7EE787"/>
        <rFont val="Consolas"/>
        <family val="3"/>
        <charset val="1"/>
      </rPr>
      <t>h1</t>
    </r>
    <r>
      <rPr>
        <sz val="11"/>
        <color rgb="FF808080"/>
        <rFont val="Consolas"/>
        <family val="3"/>
        <charset val="1"/>
      </rPr>
      <t>&gt;</t>
    </r>
  </si>
  <si>
    <t>                                    &lt;h1&gt;Ablauf der Exerzitien&lt;/h1&gt;</t>
  </si>
  <si>
    <r>
      <rPr>
        <sz val="11"/>
        <color rgb="FF808080"/>
        <rFont val="Consolas"/>
        <family val="3"/>
        <charset val="1"/>
      </rPr>
      <t>&lt;</t>
    </r>
    <r>
      <rPr>
        <sz val="11"/>
        <color rgb="FF7EE787"/>
        <rFont val="Consolas"/>
        <family val="3"/>
        <charset val="1"/>
      </rPr>
      <t>p</t>
    </r>
    <r>
      <rPr>
        <sz val="11"/>
        <color rgb="FF808080"/>
        <rFont val="Consolas"/>
        <family val="3"/>
        <charset val="1"/>
      </rPr>
      <t>&gt;</t>
    </r>
    <r>
      <rPr>
        <sz val="11"/>
        <color rgb="FFBBBEBF"/>
        <rFont val="Consolas"/>
        <family val="3"/>
        <charset val="1"/>
      </rPr>
      <t>Heilige Johannes vom Kreuz führt uns in sechs Etappen zur Osterfreude:</t>
    </r>
    <r>
      <rPr>
        <sz val="11"/>
        <color rgb="FF808080"/>
        <rFont val="Consolas"/>
        <family val="3"/>
        <charset val="1"/>
      </rPr>
      <t>&lt;/</t>
    </r>
    <r>
      <rPr>
        <sz val="11"/>
        <color rgb="FF7EE787"/>
        <rFont val="Consolas"/>
        <family val="3"/>
        <charset val="1"/>
      </rPr>
      <t>p</t>
    </r>
    <r>
      <rPr>
        <sz val="11"/>
        <color rgb="FF808080"/>
        <rFont val="Consolas"/>
        <family val="3"/>
        <charset val="1"/>
      </rPr>
      <t>&gt;</t>
    </r>
    <r>
      <rPr>
        <sz val="11"/>
        <color rgb="FFBBBEBF"/>
        <rFont val="Consolas"/>
        <family val="3"/>
        <charset val="1"/>
      </rPr>
      <t xml:space="preserve"> </t>
    </r>
  </si>
  <si>
    <t xml:space="preserve">&lt;p&gt;Heilige Johannes vom Kreuz führt uns in sechs Etappen zur Osterfreude:&lt;/p&gt; </t>
  </si>
  <si>
    <r>
      <rPr>
        <sz val="11"/>
        <color rgb="FFBBBEBF"/>
        <rFont val="Consolas"/>
        <family val="3"/>
        <charset val="1"/>
      </rPr>
      <t xml:space="preserve">          </t>
    </r>
    <r>
      <rPr>
        <sz val="11"/>
        <color rgb="FF808080"/>
        <rFont val="Consolas"/>
        <family val="3"/>
        <charset val="1"/>
      </rPr>
      <t>&lt;</t>
    </r>
    <r>
      <rPr>
        <sz val="11"/>
        <color rgb="FF7EE787"/>
        <rFont val="Consolas"/>
        <family val="3"/>
        <charset val="1"/>
      </rPr>
      <t>div</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"cards-grid"</t>
    </r>
    <r>
      <rPr>
        <sz val="11"/>
        <color rgb="FF808080"/>
        <rFont val="Consolas"/>
        <family val="3"/>
        <charset val="1"/>
      </rPr>
      <t>&gt;</t>
    </r>
  </si>
  <si>
    <t>          &lt;div class="cards-grid"&gt;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</si>
  <si>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article</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"info-card"</t>
    </r>
    <r>
      <rPr>
        <sz val="11"/>
        <color rgb="FF808080"/>
        <rFont val="Consolas"/>
        <family val="3"/>
        <charset val="1"/>
      </rPr>
      <t>&gt;</t>
    </r>
  </si>
  <si>
    <t>            &lt;article class="info-card"&gt;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</si>
  <si>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span</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"step-index"</t>
    </r>
    <r>
      <rPr>
        <sz val="11"/>
        <color rgb="FF808080"/>
        <rFont val="Consolas"/>
        <family val="3"/>
        <charset val="1"/>
      </rPr>
      <t>&gt;</t>
    </r>
    <r>
      <rPr>
        <sz val="11"/>
        <color rgb="FFBBBEBF"/>
        <rFont val="Consolas"/>
        <family val="3"/>
        <charset val="1"/>
      </rPr>
      <t>1</t>
    </r>
    <r>
      <rPr>
        <sz val="11"/>
        <color rgb="FF808080"/>
        <rFont val="Consolas"/>
        <family val="3"/>
        <charset val="1"/>
      </rPr>
      <t>&lt;/</t>
    </r>
    <r>
      <rPr>
        <sz val="11"/>
        <color rgb="FF7EE787"/>
        <rFont val="Consolas"/>
        <family val="3"/>
        <charset val="1"/>
      </rPr>
      <t>span</t>
    </r>
    <r>
      <rPr>
        <sz val="11"/>
        <color rgb="FF808080"/>
        <rFont val="Consolas"/>
        <family val="3"/>
        <charset val="1"/>
      </rPr>
      <t>&gt;</t>
    </r>
  </si>
  <si>
    <t>              &lt;span class="step-index"&gt;1&lt;/span&gt;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</si>
  <si>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h3</t>
    </r>
    <r>
      <rPr>
        <sz val="11"/>
        <color rgb="FF808080"/>
        <rFont val="Consolas"/>
        <family val="3"/>
        <charset val="1"/>
      </rPr>
      <t>&gt;</t>
    </r>
    <r>
      <rPr>
        <sz val="11"/>
        <color rgb="FFBBBEBF"/>
        <rFont val="Consolas"/>
        <family val="3"/>
        <charset val="1"/>
      </rPr>
      <t>Mit Christus siege</t>
    </r>
    <r>
      <rPr>
        <sz val="11"/>
        <color rgb="FF808080"/>
        <rFont val="Consolas"/>
        <family val="3"/>
        <charset val="1"/>
      </rPr>
      <t>&lt;/</t>
    </r>
    <r>
      <rPr>
        <sz val="11"/>
        <color rgb="FF7EE787"/>
        <rFont val="Consolas"/>
        <family val="3"/>
        <charset val="1"/>
      </rPr>
      <t>h3</t>
    </r>
    <r>
      <rPr>
        <sz val="11"/>
        <color rgb="FF808080"/>
        <rFont val="Consolas"/>
        <family val="3"/>
        <charset val="1"/>
      </rPr>
      <t>&gt;</t>
    </r>
  </si>
  <si>
    <t>              &lt;h3&gt;Mit Christus siege&lt;/h3&gt;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</si>
  <si>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article</t>
    </r>
    <r>
      <rPr>
        <sz val="11"/>
        <color rgb="FF808080"/>
        <rFont val="Consolas"/>
        <family val="3"/>
        <charset val="1"/>
      </rPr>
      <t>&gt;</t>
    </r>
  </si>
  <si>
    <t>            &lt;/article&gt;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</si>
  <si>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span</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"step-index"</t>
    </r>
    <r>
      <rPr>
        <sz val="11"/>
        <color rgb="FF808080"/>
        <rFont val="Consolas"/>
        <family val="3"/>
        <charset val="1"/>
      </rPr>
      <t>&gt;</t>
    </r>
    <r>
      <rPr>
        <sz val="11"/>
        <color rgb="FFBBBEBF"/>
        <rFont val="Consolas"/>
        <family val="3"/>
        <charset val="1"/>
      </rPr>
      <t>2</t>
    </r>
    <r>
      <rPr>
        <sz val="11"/>
        <color rgb="FF808080"/>
        <rFont val="Consolas"/>
        <family val="3"/>
        <charset val="1"/>
      </rPr>
      <t>&lt;/</t>
    </r>
    <r>
      <rPr>
        <sz val="11"/>
        <color rgb="FF7EE787"/>
        <rFont val="Consolas"/>
        <family val="3"/>
        <charset val="1"/>
      </rPr>
      <t>span</t>
    </r>
    <r>
      <rPr>
        <sz val="11"/>
        <color rgb="FF808080"/>
        <rFont val="Consolas"/>
        <family val="3"/>
        <charset val="1"/>
      </rPr>
      <t>&gt;</t>
    </r>
  </si>
  <si>
    <t>              &lt;span class="step-index"&gt;2&lt;/span&gt;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</si>
  <si>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h3</t>
    </r>
    <r>
      <rPr>
        <sz val="11"/>
        <color rgb="FF808080"/>
        <rFont val="Consolas"/>
        <family val="3"/>
        <charset val="1"/>
      </rPr>
      <t>&gt;</t>
    </r>
    <r>
      <rPr>
        <sz val="11"/>
        <color rgb="FFBBBEBF"/>
        <rFont val="Consolas"/>
        <family val="3"/>
        <charset val="1"/>
      </rPr>
      <t>Unser Herz – entflammt durch das Herz Christi</t>
    </r>
    <r>
      <rPr>
        <sz val="11"/>
        <color rgb="FF808080"/>
        <rFont val="Consolas"/>
        <family val="3"/>
        <charset val="1"/>
      </rPr>
      <t>&lt;/</t>
    </r>
    <r>
      <rPr>
        <sz val="11"/>
        <color rgb="FF7EE787"/>
        <rFont val="Consolas"/>
        <family val="3"/>
        <charset val="1"/>
      </rPr>
      <t>h3</t>
    </r>
    <r>
      <rPr>
        <sz val="11"/>
        <color rgb="FF808080"/>
        <rFont val="Consolas"/>
        <family val="3"/>
        <charset val="1"/>
      </rPr>
      <t>&gt;</t>
    </r>
  </si>
  <si>
    <t>              &lt;h3&gt;Unser Herz – entflammt durch das Herz Christi&lt;/h3&gt;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</si>
  <si>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span</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"step-index"</t>
    </r>
    <r>
      <rPr>
        <sz val="11"/>
        <color rgb="FF808080"/>
        <rFont val="Consolas"/>
        <family val="3"/>
        <charset val="1"/>
      </rPr>
      <t>&gt;</t>
    </r>
    <r>
      <rPr>
        <sz val="11"/>
        <color rgb="FFBBBEBF"/>
        <rFont val="Consolas"/>
        <family val="3"/>
        <charset val="1"/>
      </rPr>
      <t>3</t>
    </r>
    <r>
      <rPr>
        <sz val="11"/>
        <color rgb="FF808080"/>
        <rFont val="Consolas"/>
        <family val="3"/>
        <charset val="1"/>
      </rPr>
      <t>&lt;/</t>
    </r>
    <r>
      <rPr>
        <sz val="11"/>
        <color rgb="FF7EE787"/>
        <rFont val="Consolas"/>
        <family val="3"/>
        <charset val="1"/>
      </rPr>
      <t>span</t>
    </r>
    <r>
      <rPr>
        <sz val="11"/>
        <color rgb="FF808080"/>
        <rFont val="Consolas"/>
        <family val="3"/>
        <charset val="1"/>
      </rPr>
      <t>&gt;</t>
    </r>
  </si>
  <si>
    <t>              &lt;span class="step-index"&gt;3&lt;/span&gt;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</si>
  <si>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h3</t>
    </r>
    <r>
      <rPr>
        <sz val="11"/>
        <color rgb="FF808080"/>
        <rFont val="Consolas"/>
        <family val="3"/>
        <charset val="1"/>
      </rPr>
      <t>&gt;</t>
    </r>
    <r>
      <rPr>
        <sz val="11"/>
        <color rgb="FFBBBEBF"/>
        <rFont val="Consolas"/>
        <family val="3"/>
        <charset val="1"/>
      </rPr>
      <t>Wenn Eva wieder Maria wird</t>
    </r>
    <r>
      <rPr>
        <sz val="11"/>
        <color rgb="FF808080"/>
        <rFont val="Consolas"/>
        <family val="3"/>
        <charset val="1"/>
      </rPr>
      <t>&lt;/</t>
    </r>
    <r>
      <rPr>
        <sz val="11"/>
        <color rgb="FF7EE787"/>
        <rFont val="Consolas"/>
        <family val="3"/>
        <charset val="1"/>
      </rPr>
      <t>h3</t>
    </r>
    <r>
      <rPr>
        <sz val="11"/>
        <color rgb="FF808080"/>
        <rFont val="Consolas"/>
        <family val="3"/>
        <charset val="1"/>
      </rPr>
      <t>&gt;</t>
    </r>
  </si>
  <si>
    <t>              &lt;h3&gt;Wenn Eva wieder Maria wird&lt;/h3&gt;</t>
  </si>
  <si>
    <t>    &lt;/main&gt;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</si>
  <si>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span</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"step-index"</t>
    </r>
    <r>
      <rPr>
        <sz val="11"/>
        <color rgb="FF808080"/>
        <rFont val="Consolas"/>
        <family val="3"/>
        <charset val="1"/>
      </rPr>
      <t>&gt;</t>
    </r>
    <r>
      <rPr>
        <sz val="11"/>
        <color rgb="FFBBBEBF"/>
        <rFont val="Consolas"/>
        <family val="3"/>
        <charset val="1"/>
      </rPr>
      <t>4</t>
    </r>
    <r>
      <rPr>
        <sz val="11"/>
        <color rgb="FF808080"/>
        <rFont val="Consolas"/>
        <family val="3"/>
        <charset val="1"/>
      </rPr>
      <t>&lt;/</t>
    </r>
    <r>
      <rPr>
        <sz val="11"/>
        <color rgb="FF7EE787"/>
        <rFont val="Consolas"/>
        <family val="3"/>
        <charset val="1"/>
      </rPr>
      <t>span</t>
    </r>
    <r>
      <rPr>
        <sz val="11"/>
        <color rgb="FF808080"/>
        <rFont val="Consolas"/>
        <family val="3"/>
        <charset val="1"/>
      </rPr>
      <t>&gt;</t>
    </r>
  </si>
  <si>
    <t>              &lt;span class="step-index"&gt;4&lt;/span&gt;</t>
  </si>
  <si>
    <t>    &lt;footer class="site-footer"&gt;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</si>
  <si>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h3</t>
    </r>
    <r>
      <rPr>
        <sz val="11"/>
        <color rgb="FF808080"/>
        <rFont val="Consolas"/>
        <family val="3"/>
        <charset val="1"/>
      </rPr>
      <t>&gt;</t>
    </r>
    <r>
      <rPr>
        <sz val="11"/>
        <color rgb="FFBBBEBF"/>
        <rFont val="Consolas"/>
        <family val="3"/>
        <charset val="1"/>
      </rPr>
      <t>Mit den Augen Mariens sehen</t>
    </r>
    <r>
      <rPr>
        <sz val="11"/>
        <color rgb="FF808080"/>
        <rFont val="Consolas"/>
        <family val="3"/>
        <charset val="1"/>
      </rPr>
      <t>&lt;/</t>
    </r>
    <r>
      <rPr>
        <sz val="11"/>
        <color rgb="FF7EE787"/>
        <rFont val="Consolas"/>
        <family val="3"/>
        <charset val="1"/>
      </rPr>
      <t>h3</t>
    </r>
    <r>
      <rPr>
        <sz val="11"/>
        <color rgb="FF808080"/>
        <rFont val="Consolas"/>
        <family val="3"/>
        <charset val="1"/>
      </rPr>
      <t>&gt;</t>
    </r>
  </si>
  <si>
    <t>              &lt;h3&gt;Mit den Augen Mariens sehen&lt;/h3&gt;</t>
  </si>
  <si>
    <t>      &lt;div class="container footer-inner"&gt;</t>
  </si>
  <si>
    <t>        &lt;p&gt;© Teresianischer Karmel – Online-Exerzitien&lt;/p&gt;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</si>
  <si>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article</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"info-card"</t>
    </r>
    <r>
      <rPr>
        <sz val="11"/>
        <color rgb="FF808080"/>
        <rFont val="Consolas"/>
        <family val="3"/>
        <charset val="1"/>
      </rPr>
      <t>&gt;</t>
    </r>
  </si>
  <si>
    <t>                        &lt;article class="info-card"&gt;</t>
  </si>
  <si>
    <t>        &lt;p&gt;Geistliche Begleitung für Advent und Fastenzeit&lt;/p&gt;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</si>
  <si>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span</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"step-index"</t>
    </r>
    <r>
      <rPr>
        <sz val="11"/>
        <color rgb="FF808080"/>
        <rFont val="Consolas"/>
        <family val="3"/>
        <charset val="1"/>
      </rPr>
      <t>&gt;</t>
    </r>
    <r>
      <rPr>
        <sz val="11"/>
        <color rgb="FFBBBEBF"/>
        <rFont val="Consolas"/>
        <family val="3"/>
        <charset val="1"/>
      </rPr>
      <t>5</t>
    </r>
    <r>
      <rPr>
        <sz val="11"/>
        <color rgb="FF808080"/>
        <rFont val="Consolas"/>
        <family val="3"/>
        <charset val="1"/>
      </rPr>
      <t>&lt;/</t>
    </r>
    <r>
      <rPr>
        <sz val="11"/>
        <color rgb="FF7EE787"/>
        <rFont val="Consolas"/>
        <family val="3"/>
        <charset val="1"/>
      </rPr>
      <t>span</t>
    </r>
    <r>
      <rPr>
        <sz val="11"/>
        <color rgb="FF808080"/>
        <rFont val="Consolas"/>
        <family val="3"/>
        <charset val="1"/>
      </rPr>
      <t>&gt;</t>
    </r>
  </si>
  <si>
    <t>              &lt;span class="step-index"&gt;5&lt;/span&gt;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</si>
  <si>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h3</t>
    </r>
    <r>
      <rPr>
        <sz val="11"/>
        <color rgb="FF808080"/>
        <rFont val="Consolas"/>
        <family val="3"/>
        <charset val="1"/>
      </rPr>
      <t>&gt;</t>
    </r>
    <r>
      <rPr>
        <sz val="11"/>
        <color rgb="FFBBBEBF"/>
        <rFont val="Consolas"/>
        <family val="3"/>
        <charset val="1"/>
      </rPr>
      <t>Die Freiheit der Kinder Gottes wiedererlangen</t>
    </r>
    <r>
      <rPr>
        <sz val="11"/>
        <color rgb="FF808080"/>
        <rFont val="Consolas"/>
        <family val="3"/>
        <charset val="1"/>
      </rPr>
      <t>&lt;/</t>
    </r>
    <r>
      <rPr>
        <sz val="11"/>
        <color rgb="FF7EE787"/>
        <rFont val="Consolas"/>
        <family val="3"/>
        <charset val="1"/>
      </rPr>
      <t>h3</t>
    </r>
    <r>
      <rPr>
        <sz val="11"/>
        <color rgb="FF808080"/>
        <rFont val="Consolas"/>
        <family val="3"/>
        <charset val="1"/>
      </rPr>
      <t>&gt;</t>
    </r>
  </si>
  <si>
    <t>              &lt;h3&gt;Die Freiheit der Kinder Gottes wiedererlangen&lt;/h3&gt;</t>
  </si>
  <si>
    <t>    &lt;/footer&gt;</t>
  </si>
  <si>
    <t>  &lt;/body&gt;</t>
  </si>
  <si>
    <t>  &lt;script type="module" src="../script.js"&gt;&lt;/script&gt;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</si>
  <si>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span</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"step-index"</t>
    </r>
    <r>
      <rPr>
        <sz val="11"/>
        <color rgb="FF808080"/>
        <rFont val="Consolas"/>
        <family val="3"/>
        <charset val="1"/>
      </rPr>
      <t>&gt;</t>
    </r>
    <r>
      <rPr>
        <sz val="11"/>
        <color rgb="FFBBBEBF"/>
        <rFont val="Consolas"/>
        <family val="3"/>
        <charset val="1"/>
      </rPr>
      <t>6</t>
    </r>
    <r>
      <rPr>
        <sz val="11"/>
        <color rgb="FF808080"/>
        <rFont val="Consolas"/>
        <family val="3"/>
        <charset val="1"/>
      </rPr>
      <t>&lt;/</t>
    </r>
    <r>
      <rPr>
        <sz val="11"/>
        <color rgb="FF7EE787"/>
        <rFont val="Consolas"/>
        <family val="3"/>
        <charset val="1"/>
      </rPr>
      <t>span</t>
    </r>
    <r>
      <rPr>
        <sz val="11"/>
        <color rgb="FF808080"/>
        <rFont val="Consolas"/>
        <family val="3"/>
        <charset val="1"/>
      </rPr>
      <t>&gt;</t>
    </r>
  </si>
  <si>
    <t>              &lt;span class="step-index"&gt;6&lt;/span&gt;</t>
  </si>
  <si>
    <t>  &lt;script type="module" src="./weeks_script.js"&gt;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</si>
  <si>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h3</t>
    </r>
    <r>
      <rPr>
        <sz val="11"/>
        <color rgb="FF808080"/>
        <rFont val="Consolas"/>
        <family val="3"/>
        <charset val="1"/>
      </rPr>
      <t>&gt;</t>
    </r>
    <r>
      <rPr>
        <sz val="11"/>
        <color rgb="FFBBBEBF"/>
        <rFont val="Consolas"/>
        <family val="3"/>
        <charset val="1"/>
      </rPr>
      <t>Die Liebeswunde am Kreuz</t>
    </r>
    <r>
      <rPr>
        <sz val="11"/>
        <color rgb="FF808080"/>
        <rFont val="Consolas"/>
        <family val="3"/>
        <charset val="1"/>
      </rPr>
      <t>&lt;/</t>
    </r>
    <r>
      <rPr>
        <sz val="11"/>
        <color rgb="FF7EE787"/>
        <rFont val="Consolas"/>
        <family val="3"/>
        <charset val="1"/>
      </rPr>
      <t>h3</t>
    </r>
    <r>
      <rPr>
        <sz val="11"/>
        <color rgb="FF808080"/>
        <rFont val="Consolas"/>
        <family val="3"/>
        <charset val="1"/>
      </rPr>
      <t>&gt;</t>
    </r>
  </si>
  <si>
    <t>              &lt;h3&gt;Die Liebeswunde am Kreuz&lt;/h3&gt;</t>
  </si>
  <si>
    <t>  &lt;/script&gt;</t>
  </si>
  <si>
    <t>&lt;/html&gt;</t>
  </si>
  <si>
    <r>
      <rPr>
        <sz val="11"/>
        <color rgb="FFBBBEBF"/>
        <rFont val="Consolas"/>
        <family val="3"/>
        <charset val="1"/>
      </rPr>
      <t xml:space="preserve">      </t>
    </r>
    <r>
      <rPr>
        <sz val="11"/>
        <color rgb="FF808080"/>
        <rFont val="Consolas"/>
        <family val="3"/>
        <charset val="1"/>
      </rPr>
      <t>&lt;</t>
    </r>
    <r>
      <rPr>
        <sz val="11"/>
        <color rgb="FF7EE787"/>
        <rFont val="Consolas"/>
        <family val="3"/>
        <charset val="1"/>
      </rPr>
      <t>section</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"section section-archive"</t>
    </r>
    <r>
      <rPr>
        <sz val="11"/>
        <color rgb="FFBBBEBF"/>
        <rFont val="Consolas"/>
        <family val="3"/>
        <charset val="1"/>
      </rPr>
      <t xml:space="preserve"> </t>
    </r>
    <r>
      <rPr>
        <sz val="11"/>
        <color rgb="FF9CDCFE"/>
        <rFont val="Consolas"/>
        <family val="3"/>
        <charset val="1"/>
      </rPr>
      <t>aria-labelledby</t>
    </r>
    <r>
      <rPr>
        <sz val="11"/>
        <color rgb="FFBBBEBF"/>
        <rFont val="Consolas"/>
        <family val="3"/>
        <charset val="1"/>
      </rPr>
      <t>=</t>
    </r>
    <r>
      <rPr>
        <sz val="11"/>
        <color rgb="FFA5D6FF"/>
        <rFont val="Consolas"/>
        <family val="3"/>
        <charset val="1"/>
      </rPr>
      <t>"archiv-titel"</t>
    </r>
    <r>
      <rPr>
        <sz val="11"/>
        <color rgb="FFBBBEBF"/>
        <rFont val="Consolas"/>
        <family val="3"/>
        <charset val="1"/>
      </rPr>
      <t xml:space="preserve"> </t>
    </r>
    <r>
      <rPr>
        <sz val="11"/>
        <color rgb="FF9CDCFE"/>
        <rFont val="Consolas"/>
        <family val="3"/>
        <charset val="1"/>
      </rPr>
      <t>id</t>
    </r>
    <r>
      <rPr>
        <sz val="11"/>
        <color rgb="FFBBBEBF"/>
        <rFont val="Consolas"/>
        <family val="3"/>
        <charset val="1"/>
      </rPr>
      <t>=</t>
    </r>
    <r>
      <rPr>
        <sz val="11"/>
        <color rgb="FFA5D6FF"/>
        <rFont val="Consolas"/>
        <family val="3"/>
        <charset val="1"/>
      </rPr>
      <t>"weeks-cards"</t>
    </r>
    <r>
      <rPr>
        <sz val="11"/>
        <color rgb="FF808080"/>
        <rFont val="Consolas"/>
        <family val="3"/>
        <charset val="1"/>
      </rPr>
      <t>&gt;</t>
    </r>
  </si>
  <si>
    <r>
      <rPr>
        <sz val="11"/>
        <color rgb="FFBBBEBF"/>
        <rFont val="Consolas"/>
        <family val="3"/>
        <charset val="1"/>
      </rPr>
      <t xml:space="preserve">          </t>
    </r>
    <r>
      <rPr>
        <sz val="11"/>
        <color rgb="FF808080"/>
        <rFont val="Consolas"/>
        <family val="3"/>
        <charset val="1"/>
      </rPr>
      <t>&lt;</t>
    </r>
    <r>
      <rPr>
        <sz val="11"/>
        <color rgb="FF7EE787"/>
        <rFont val="Consolas"/>
        <family val="3"/>
        <charset val="1"/>
      </rPr>
      <t>div</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"section-head"</t>
    </r>
    <r>
      <rPr>
        <sz val="11"/>
        <color rgb="FF808080"/>
        <rFont val="Consolas"/>
        <family val="3"/>
        <charset val="1"/>
      </rPr>
      <t>&gt;</t>
    </r>
  </si>
  <si>
    <r>
      <rPr>
        <sz val="11"/>
        <color rgb="FFBBBEBF"/>
        <rFont val="Consolas"/>
        <family val="3"/>
        <charset val="1"/>
      </rPr>
      <t xml:space="preserve">            </t>
    </r>
    <r>
      <rPr>
        <sz val="11"/>
        <color rgb="FF808080"/>
        <rFont val="Consolas"/>
        <family val="3"/>
        <charset val="1"/>
      </rPr>
      <t>&lt;</t>
    </r>
    <r>
      <rPr>
        <sz val="11"/>
        <color rgb="FF7EE787"/>
        <rFont val="Consolas"/>
        <family val="3"/>
        <charset val="1"/>
      </rPr>
      <t>p</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"section-label"</t>
    </r>
    <r>
      <rPr>
        <sz val="11"/>
        <color rgb="FF808080"/>
        <rFont val="Consolas"/>
        <family val="3"/>
        <charset val="1"/>
      </rPr>
      <t>&gt;</t>
    </r>
    <r>
      <rPr>
        <sz val="11"/>
        <color rgb="FFBBBEBF"/>
        <rFont val="Consolas"/>
        <family val="3"/>
        <charset val="1"/>
      </rPr>
      <t>Impulse</t>
    </r>
    <r>
      <rPr>
        <sz val="11"/>
        <color rgb="FF808080"/>
        <rFont val="Consolas"/>
        <family val="3"/>
        <charset val="1"/>
      </rPr>
      <t>&lt;/</t>
    </r>
    <r>
      <rPr>
        <sz val="11"/>
        <color rgb="FF7EE787"/>
        <rFont val="Consolas"/>
        <family val="3"/>
        <charset val="1"/>
      </rPr>
      <t>p</t>
    </r>
    <r>
      <rPr>
        <sz val="11"/>
        <color rgb="FF808080"/>
        <rFont val="Consolas"/>
        <family val="3"/>
        <charset val="1"/>
      </rPr>
      <t>&gt;</t>
    </r>
  </si>
  <si>
    <r>
      <rPr>
        <sz val="11"/>
        <color rgb="FFBBBEBF"/>
        <rFont val="Consolas"/>
        <family val="3"/>
        <charset val="1"/>
      </rPr>
      <t xml:space="preserve">            </t>
    </r>
    <r>
      <rPr>
        <sz val="11"/>
        <color rgb="FF808080"/>
        <rFont val="Consolas"/>
        <family val="3"/>
        <charset val="1"/>
      </rPr>
      <t>&lt;</t>
    </r>
    <r>
      <rPr>
        <sz val="11"/>
        <color rgb="FF7EE787"/>
        <rFont val="Consolas"/>
        <family val="3"/>
        <charset val="1"/>
      </rPr>
      <t>h2</t>
    </r>
    <r>
      <rPr>
        <sz val="11"/>
        <color rgb="FF808080"/>
        <rFont val="Consolas"/>
        <family val="3"/>
        <charset val="1"/>
      </rPr>
      <t>&gt;</t>
    </r>
    <r>
      <rPr>
        <sz val="11"/>
        <color rgb="FFBBBEBF"/>
        <rFont val="Consolas"/>
        <family val="3"/>
        <charset val="1"/>
      </rPr>
      <t>Die wöchentlichen Meditationen der Exerzitien</t>
    </r>
    <r>
      <rPr>
        <sz val="11"/>
        <color rgb="FF808080"/>
        <rFont val="Consolas"/>
        <family val="3"/>
        <charset val="1"/>
      </rPr>
      <t>&lt;/</t>
    </r>
    <r>
      <rPr>
        <sz val="11"/>
        <color rgb="FF7EE787"/>
        <rFont val="Consolas"/>
        <family val="3"/>
        <charset val="1"/>
      </rPr>
      <t>h2</t>
    </r>
    <r>
      <rPr>
        <sz val="11"/>
        <color rgb="FF808080"/>
        <rFont val="Consolas"/>
        <family val="3"/>
        <charset val="1"/>
      </rPr>
      <t>&gt;</t>
    </r>
  </si>
  <si>
    <r>
      <rPr>
        <sz val="11"/>
        <color rgb="FFBBBEBF"/>
        <rFont val="Consolas"/>
        <family val="3"/>
        <charset val="1"/>
      </rPr>
      <t>             </t>
    </r>
    <r>
      <rPr>
        <sz val="11"/>
        <color rgb="FF808080"/>
        <rFont val="Consolas"/>
        <family val="3"/>
        <charset val="1"/>
      </rPr>
      <t>&lt;</t>
    </r>
    <r>
      <rPr>
        <sz val="11"/>
        <color rgb="FF7EE787"/>
        <rFont val="Consolas"/>
        <family val="3"/>
        <charset val="1"/>
      </rPr>
      <t>div</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"archive-grid"</t>
    </r>
    <r>
      <rPr>
        <sz val="11"/>
        <color rgb="FFBBBEBF"/>
        <rFont val="Consolas"/>
        <family val="3"/>
        <charset val="1"/>
      </rPr>
      <t xml:space="preserve"> </t>
    </r>
    <r>
      <rPr>
        <sz val="11"/>
        <color rgb="FF9CDCFE"/>
        <rFont val="Consolas"/>
        <family val="3"/>
        <charset val="1"/>
      </rPr>
      <t>id</t>
    </r>
    <r>
      <rPr>
        <sz val="11"/>
        <color rgb="FFBBBEBF"/>
        <rFont val="Consolas"/>
        <family val="3"/>
        <charset val="1"/>
      </rPr>
      <t>=</t>
    </r>
    <r>
      <rPr>
        <sz val="11"/>
        <color rgb="FFA5D6FF"/>
        <rFont val="Consolas"/>
        <family val="3"/>
        <charset val="1"/>
      </rPr>
      <t>"weeks-grid"</t>
    </r>
    <r>
      <rPr>
        <sz val="11"/>
        <color rgb="FF808080"/>
        <rFont val="Consolas"/>
        <family val="3"/>
        <charset val="1"/>
      </rPr>
      <t>&gt;</t>
    </r>
  </si>
  <si>
    <t>             &lt;div class="archive-grid" id="weeks-grid"&gt;</t>
  </si>
  <si>
    <r>
      <rPr>
        <sz val="11"/>
        <color rgb="FFBBBEBF"/>
        <rFont val="Consolas"/>
        <family val="3"/>
        <charset val="1"/>
      </rPr>
      <t xml:space="preserve">      </t>
    </r>
    <r>
      <rPr>
        <sz val="11"/>
        <color rgb="FF8B949E"/>
        <rFont val="Consolas"/>
        <family val="3"/>
        <charset val="1"/>
      </rPr>
      <t>&lt;!-- wird per JavaScript gefüllt --&gt;</t>
    </r>
  </si>
  <si>
    <r>
      <rPr>
        <sz val="11"/>
        <color rgb="FFBBBEBF"/>
        <rFont val="Consolas"/>
        <family val="3"/>
        <charset val="1"/>
      </rPr>
      <t xml:space="preserve">    </t>
    </r>
    <r>
      <rPr>
        <sz val="11"/>
        <color rgb="FF808080"/>
        <rFont val="Consolas"/>
        <family val="3"/>
        <charset val="1"/>
      </rPr>
      <t>&lt;/</t>
    </r>
    <r>
      <rPr>
        <sz val="11"/>
        <color rgb="FF7EE787"/>
        <rFont val="Consolas"/>
        <family val="3"/>
        <charset val="1"/>
      </rPr>
      <t>div</t>
    </r>
    <r>
      <rPr>
        <sz val="11"/>
        <color rgb="FF808080"/>
        <rFont val="Consolas"/>
        <family val="3"/>
        <charset val="1"/>
      </rPr>
      <t>&gt;</t>
    </r>
  </si>
  <si>
    <r>
      <rPr>
        <sz val="11"/>
        <color rgb="FFBBBEBF"/>
        <rFont val="Consolas"/>
        <family val="3"/>
        <charset val="1"/>
      </rPr>
      <t xml:space="preserve">    </t>
    </r>
    <r>
      <rPr>
        <sz val="11"/>
        <color rgb="FF808080"/>
        <rFont val="Consolas"/>
        <family val="3"/>
        <charset val="1"/>
      </rPr>
      <t>&lt;/</t>
    </r>
    <r>
      <rPr>
        <sz val="11"/>
        <color rgb="FF7EE787"/>
        <rFont val="Consolas"/>
        <family val="3"/>
        <charset val="1"/>
      </rPr>
      <t>main</t>
    </r>
    <r>
      <rPr>
        <sz val="11"/>
        <color rgb="FF808080"/>
        <rFont val="Consolas"/>
        <family val="3"/>
        <charset val="1"/>
      </rPr>
      <t>&gt;</t>
    </r>
  </si>
  <si>
    <r>
      <rPr>
        <sz val="11"/>
        <color rgb="FFBBBEBF"/>
        <rFont val="Consolas"/>
        <family val="3"/>
        <charset val="1"/>
      </rPr>
      <t xml:space="preserve">    </t>
    </r>
    <r>
      <rPr>
        <sz val="11"/>
        <color rgb="FF808080"/>
        <rFont val="Consolas"/>
        <family val="3"/>
        <charset val="1"/>
      </rPr>
      <t>&lt;</t>
    </r>
    <r>
      <rPr>
        <sz val="11"/>
        <color rgb="FF7EE787"/>
        <rFont val="Consolas"/>
        <family val="3"/>
        <charset val="1"/>
      </rPr>
      <t>footer</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"site-footer"</t>
    </r>
    <r>
      <rPr>
        <sz val="11"/>
        <color rgb="FF808080"/>
        <rFont val="Consolas"/>
        <family val="3"/>
        <charset val="1"/>
      </rPr>
      <t>&gt;</t>
    </r>
  </si>
  <si>
    <r>
      <rPr>
        <sz val="11"/>
        <color rgb="FFBBBEBF"/>
        <rFont val="Consolas"/>
        <family val="3"/>
        <charset val="1"/>
      </rPr>
      <t xml:space="preserve">      </t>
    </r>
    <r>
      <rPr>
        <sz val="11"/>
        <color rgb="FF808080"/>
        <rFont val="Consolas"/>
        <family val="3"/>
        <charset val="1"/>
      </rPr>
      <t>&lt;</t>
    </r>
    <r>
      <rPr>
        <sz val="11"/>
        <color rgb="FF7EE787"/>
        <rFont val="Consolas"/>
        <family val="3"/>
        <charset val="1"/>
      </rPr>
      <t>div</t>
    </r>
    <r>
      <rPr>
        <sz val="11"/>
        <color rgb="FFBBBEBF"/>
        <rFont val="Consolas"/>
        <family val="3"/>
        <charset val="1"/>
      </rPr>
      <t xml:space="preserve"> </t>
    </r>
    <r>
      <rPr>
        <sz val="11"/>
        <color rgb="FF9CDCFE"/>
        <rFont val="Consolas"/>
        <family val="3"/>
        <charset val="1"/>
      </rPr>
      <t>class</t>
    </r>
    <r>
      <rPr>
        <sz val="11"/>
        <color rgb="FFBBBEBF"/>
        <rFont val="Consolas"/>
        <family val="3"/>
        <charset val="1"/>
      </rPr>
      <t>=</t>
    </r>
    <r>
      <rPr>
        <sz val="11"/>
        <color rgb="FFA5D6FF"/>
        <rFont val="Consolas"/>
        <family val="3"/>
        <charset val="1"/>
      </rPr>
      <t>"container footer-inner"</t>
    </r>
    <r>
      <rPr>
        <sz val="11"/>
        <color rgb="FF808080"/>
        <rFont val="Consolas"/>
        <family val="3"/>
        <charset val="1"/>
      </rPr>
      <t>&gt;</t>
    </r>
  </si>
  <si>
    <r>
      <rPr>
        <sz val="11"/>
        <color rgb="FFBBBEBF"/>
        <rFont val="Consolas"/>
        <family val="3"/>
        <charset val="1"/>
      </rPr>
      <t xml:space="preserve">        </t>
    </r>
    <r>
      <rPr>
        <sz val="11"/>
        <color rgb="FF808080"/>
        <rFont val="Consolas"/>
        <family val="3"/>
        <charset val="1"/>
      </rPr>
      <t>&lt;</t>
    </r>
    <r>
      <rPr>
        <sz val="11"/>
        <color rgb="FF7EE787"/>
        <rFont val="Consolas"/>
        <family val="3"/>
        <charset val="1"/>
      </rPr>
      <t>p</t>
    </r>
    <r>
      <rPr>
        <sz val="11"/>
        <color rgb="FF808080"/>
        <rFont val="Consolas"/>
        <family val="3"/>
        <charset val="1"/>
      </rPr>
      <t>&gt;</t>
    </r>
    <r>
      <rPr>
        <sz val="11"/>
        <color rgb="FFBBBEBF"/>
        <rFont val="Consolas"/>
        <family val="3"/>
        <charset val="1"/>
      </rPr>
      <t>© Teresianischer Karmel – Online-Exerzitien</t>
    </r>
    <r>
      <rPr>
        <sz val="11"/>
        <color rgb="FF808080"/>
        <rFont val="Consolas"/>
        <family val="3"/>
        <charset val="1"/>
      </rPr>
      <t>&lt;/</t>
    </r>
    <r>
      <rPr>
        <sz val="11"/>
        <color rgb="FF7EE787"/>
        <rFont val="Consolas"/>
        <family val="3"/>
        <charset val="1"/>
      </rPr>
      <t>p</t>
    </r>
    <r>
      <rPr>
        <sz val="11"/>
        <color rgb="FF808080"/>
        <rFont val="Consolas"/>
        <family val="3"/>
        <charset val="1"/>
      </rPr>
      <t>&gt;</t>
    </r>
  </si>
  <si>
    <r>
      <rPr>
        <sz val="11"/>
        <color rgb="FFBBBEBF"/>
        <rFont val="Consolas"/>
        <family val="3"/>
        <charset val="1"/>
      </rPr>
      <t xml:space="preserve">        </t>
    </r>
    <r>
      <rPr>
        <sz val="11"/>
        <color rgb="FF808080"/>
        <rFont val="Consolas"/>
        <family val="3"/>
        <charset val="1"/>
      </rPr>
      <t>&lt;</t>
    </r>
    <r>
      <rPr>
        <sz val="11"/>
        <color rgb="FF7EE787"/>
        <rFont val="Consolas"/>
        <family val="3"/>
        <charset val="1"/>
      </rPr>
      <t>p</t>
    </r>
    <r>
      <rPr>
        <sz val="11"/>
        <color rgb="FF808080"/>
        <rFont val="Consolas"/>
        <family val="3"/>
        <charset val="1"/>
      </rPr>
      <t>&gt;</t>
    </r>
    <r>
      <rPr>
        <sz val="11"/>
        <color rgb="FFBBBEBF"/>
        <rFont val="Consolas"/>
        <family val="3"/>
        <charset val="1"/>
      </rPr>
      <t>Geistliche Begleitung für Advent und Fastenzeit</t>
    </r>
    <r>
      <rPr>
        <sz val="11"/>
        <color rgb="FF808080"/>
        <rFont val="Consolas"/>
        <family val="3"/>
        <charset val="1"/>
      </rPr>
      <t>&lt;/</t>
    </r>
    <r>
      <rPr>
        <sz val="11"/>
        <color rgb="FF7EE787"/>
        <rFont val="Consolas"/>
        <family val="3"/>
        <charset val="1"/>
      </rPr>
      <t>p</t>
    </r>
    <r>
      <rPr>
        <sz val="11"/>
        <color rgb="FF808080"/>
        <rFont val="Consolas"/>
        <family val="3"/>
        <charset val="1"/>
      </rPr>
      <t>&gt;</t>
    </r>
  </si>
  <si>
    <r>
      <rPr>
        <sz val="11"/>
        <color rgb="FFBBBEBF"/>
        <rFont val="Consolas"/>
        <family val="3"/>
        <charset val="1"/>
      </rPr>
      <t xml:space="preserve">    </t>
    </r>
    <r>
      <rPr>
        <sz val="11"/>
        <color rgb="FF808080"/>
        <rFont val="Consolas"/>
        <family val="3"/>
        <charset val="1"/>
      </rPr>
      <t>&lt;/</t>
    </r>
    <r>
      <rPr>
        <sz val="11"/>
        <color rgb="FF7EE787"/>
        <rFont val="Consolas"/>
        <family val="3"/>
        <charset val="1"/>
      </rPr>
      <t>footer</t>
    </r>
    <r>
      <rPr>
        <sz val="11"/>
        <color rgb="FF808080"/>
        <rFont val="Consolas"/>
        <family val="3"/>
        <charset val="1"/>
      </rPr>
      <t>&gt;</t>
    </r>
  </si>
  <si>
    <r>
      <rPr>
        <sz val="11"/>
        <color rgb="FFBBBEBF"/>
        <rFont val="Consolas"/>
        <family val="3"/>
        <charset val="1"/>
      </rPr>
      <t xml:space="preserve">  </t>
    </r>
    <r>
      <rPr>
        <sz val="11"/>
        <color rgb="FF808080"/>
        <rFont val="Consolas"/>
        <family val="3"/>
        <charset val="1"/>
      </rPr>
      <t>&lt;/</t>
    </r>
    <r>
      <rPr>
        <sz val="11"/>
        <color rgb="FF7EE787"/>
        <rFont val="Consolas"/>
        <family val="3"/>
        <charset val="1"/>
      </rPr>
      <t>body</t>
    </r>
    <r>
      <rPr>
        <sz val="11"/>
        <color rgb="FF808080"/>
        <rFont val="Consolas"/>
        <family val="3"/>
        <charset val="1"/>
      </rPr>
      <t>&gt;</t>
    </r>
  </si>
  <si>
    <r>
      <rPr>
        <sz val="11"/>
        <color rgb="FFBBBEBF"/>
        <rFont val="Consolas"/>
        <family val="3"/>
        <charset val="1"/>
      </rPr>
      <t xml:space="preserve">  </t>
    </r>
    <r>
      <rPr>
        <sz val="11"/>
        <color rgb="FF808080"/>
        <rFont val="Consolas"/>
        <family val="3"/>
        <charset val="1"/>
      </rPr>
      <t>&lt;</t>
    </r>
    <r>
      <rPr>
        <sz val="11"/>
        <color rgb="FF7EE787"/>
        <rFont val="Consolas"/>
        <family val="3"/>
        <charset val="1"/>
      </rPr>
      <t>script</t>
    </r>
    <r>
      <rPr>
        <sz val="11"/>
        <color rgb="FFD4D4D4"/>
        <rFont val="Consolas"/>
        <family val="3"/>
        <charset val="1"/>
      </rPr>
      <t xml:space="preserve"> </t>
    </r>
    <r>
      <rPr>
        <sz val="11"/>
        <color rgb="FF9CDCFE"/>
        <rFont val="Consolas"/>
        <family val="3"/>
        <charset val="1"/>
      </rPr>
      <t>type</t>
    </r>
    <r>
      <rPr>
        <sz val="11"/>
        <color rgb="FFD4D4D4"/>
        <rFont val="Consolas"/>
        <family val="3"/>
        <charset val="1"/>
      </rPr>
      <t>=</t>
    </r>
    <r>
      <rPr>
        <sz val="11"/>
        <color rgb="FFA5D6FF"/>
        <rFont val="Consolas"/>
        <family val="3"/>
        <charset val="1"/>
      </rPr>
      <t>"module"</t>
    </r>
    <r>
      <rPr>
        <sz val="11"/>
        <color rgb="FFD4D4D4"/>
        <rFont val="Consolas"/>
        <family val="3"/>
        <charset val="1"/>
      </rPr>
      <t xml:space="preserve"> </t>
    </r>
    <r>
      <rPr>
        <sz val="11"/>
        <color rgb="FF9CDCFE"/>
        <rFont val="Consolas"/>
        <family val="3"/>
        <charset val="1"/>
      </rPr>
      <t>src</t>
    </r>
    <r>
      <rPr>
        <sz val="11"/>
        <color rgb="FFD4D4D4"/>
        <rFont val="Consolas"/>
        <family val="3"/>
        <charset val="1"/>
      </rPr>
      <t>=</t>
    </r>
    <r>
      <rPr>
        <sz val="11"/>
        <color rgb="FFA5D6FF"/>
        <rFont val="Consolas"/>
        <family val="3"/>
        <charset val="1"/>
      </rPr>
      <t>"../script.js"</t>
    </r>
    <r>
      <rPr>
        <sz val="11"/>
        <color rgb="FF808080"/>
        <rFont val="Consolas"/>
        <family val="3"/>
        <charset val="1"/>
      </rPr>
      <t>&gt;&lt;/</t>
    </r>
    <r>
      <rPr>
        <sz val="11"/>
        <color rgb="FF7EE787"/>
        <rFont val="Consolas"/>
        <family val="3"/>
        <charset val="1"/>
      </rPr>
      <t>script</t>
    </r>
    <r>
      <rPr>
        <sz val="11"/>
        <color rgb="FF808080"/>
        <rFont val="Consolas"/>
        <family val="3"/>
        <charset val="1"/>
      </rPr>
      <t>&gt;</t>
    </r>
  </si>
  <si>
    <r>
      <rPr>
        <sz val="11"/>
        <color rgb="FFBBBEBF"/>
        <rFont val="Consolas"/>
        <family val="3"/>
        <charset val="1"/>
      </rPr>
      <t xml:space="preserve">  </t>
    </r>
    <r>
      <rPr>
        <sz val="11"/>
        <color rgb="FF808080"/>
        <rFont val="Consolas"/>
        <family val="3"/>
        <charset val="1"/>
      </rPr>
      <t>&lt;</t>
    </r>
    <r>
      <rPr>
        <sz val="11"/>
        <color rgb="FF7EE787"/>
        <rFont val="Consolas"/>
        <family val="3"/>
        <charset val="1"/>
      </rPr>
      <t>script</t>
    </r>
    <r>
      <rPr>
        <sz val="11"/>
        <color rgb="FFD4D4D4"/>
        <rFont val="Consolas"/>
        <family val="3"/>
        <charset val="1"/>
      </rPr>
      <t xml:space="preserve"> </t>
    </r>
    <r>
      <rPr>
        <sz val="11"/>
        <color rgb="FF9CDCFE"/>
        <rFont val="Consolas"/>
        <family val="3"/>
        <charset val="1"/>
      </rPr>
      <t>type</t>
    </r>
    <r>
      <rPr>
        <sz val="11"/>
        <color rgb="FFD4D4D4"/>
        <rFont val="Consolas"/>
        <family val="3"/>
        <charset val="1"/>
      </rPr>
      <t>=</t>
    </r>
    <r>
      <rPr>
        <sz val="11"/>
        <color rgb="FFA5D6FF"/>
        <rFont val="Consolas"/>
        <family val="3"/>
        <charset val="1"/>
      </rPr>
      <t>"module"</t>
    </r>
    <r>
      <rPr>
        <sz val="11"/>
        <color rgb="FFD4D4D4"/>
        <rFont val="Consolas"/>
        <family val="3"/>
        <charset val="1"/>
      </rPr>
      <t xml:space="preserve"> </t>
    </r>
    <r>
      <rPr>
        <sz val="11"/>
        <color rgb="FF9CDCFE"/>
        <rFont val="Consolas"/>
        <family val="3"/>
        <charset val="1"/>
      </rPr>
      <t>src</t>
    </r>
    <r>
      <rPr>
        <sz val="11"/>
        <color rgb="FFD4D4D4"/>
        <rFont val="Consolas"/>
        <family val="3"/>
        <charset val="1"/>
      </rPr>
      <t>=</t>
    </r>
    <r>
      <rPr>
        <sz val="11"/>
        <color rgb="FFA5D6FF"/>
        <rFont val="Consolas"/>
        <family val="3"/>
        <charset val="1"/>
      </rPr>
      <t>"./de-fs-26-script.js"</t>
    </r>
    <r>
      <rPr>
        <sz val="11"/>
        <color rgb="FF808080"/>
        <rFont val="Consolas"/>
        <family val="3"/>
        <charset val="1"/>
      </rPr>
      <t>&gt;</t>
    </r>
  </si>
  <si>
    <r>
      <rPr>
        <sz val="11"/>
        <color rgb="FFD4D4D4"/>
        <rFont val="Consolas"/>
        <family val="3"/>
        <charset val="1"/>
      </rPr>
      <t xml:space="preserve">  </t>
    </r>
    <r>
      <rPr>
        <sz val="11"/>
        <color rgb="FF808080"/>
        <rFont val="Consolas"/>
        <family val="3"/>
        <charset val="1"/>
      </rPr>
      <t>&lt;/</t>
    </r>
    <r>
      <rPr>
        <sz val="11"/>
        <color rgb="FF7EE787"/>
        <rFont val="Consolas"/>
        <family val="3"/>
        <charset val="1"/>
      </rPr>
      <t>script</t>
    </r>
    <r>
      <rPr>
        <sz val="11"/>
        <color rgb="FF808080"/>
        <rFont val="Consolas"/>
        <family val="3"/>
        <charset val="1"/>
      </rPr>
      <t>&gt;</t>
    </r>
  </si>
  <si>
    <r>
      <rPr>
        <sz val="11"/>
        <color rgb="FF808080"/>
        <rFont val="Consolas"/>
        <family val="3"/>
        <charset val="1"/>
      </rPr>
      <t>&lt;/</t>
    </r>
    <r>
      <rPr>
        <sz val="11"/>
        <color rgb="FF7EE787"/>
        <rFont val="Consolas"/>
        <family val="3"/>
        <charset val="1"/>
      </rPr>
      <t>html</t>
    </r>
    <r>
      <rPr>
        <sz val="11"/>
        <color rgb="FF808080"/>
        <rFont val="Consolas"/>
        <family val="3"/>
        <charset val="1"/>
      </rPr>
      <t>&gt;</t>
    </r>
  </si>
  <si>
    <t>&lt;section class="section-intro" id="abonniere"&gt;
&lt;div id="mc_embed_shell"&gt;  
&lt;div id="mc_embed_signup"&gt;
    &lt;form action="https://karmel.us6.list-manage.com/subscribe/post?u=7c9d2aa0ecc1fde64fd44bc67&amp;amp;id=10430a5833&amp;amp;f_id=009254e3f0" method="post" id="mc-embedded-subscribe-form" name="mc-embedded-subscribe-form" class="validate" target="_self" novalidate=""&gt;
        &lt;div id="mc_embed_signup_scroll"&gt;
            &lt;div class="mc-field-group"&gt;&lt;label for="mce-EMAIL"&gt;eMail Adresse&lt;span class="asterisk"&gt;* (erforderlich)&lt;/span&gt;&lt;/label&gt;
              &lt;input type="email" name="EMAIL" class="required email" id="mce-EMAIL" required="" value=""&gt;&lt;/div&gt;
              &lt;div class="mc-field-group"&gt;&lt;label for="mce-FNAME"&gt;Vorname &lt;/label&gt;
                &lt;input type="text" name="FNAME" class=" text" id="mce-FNAME" value=""&gt;&lt;/div&gt;
                &lt;div class="mc-field-group"&gt;&lt;label for="mce-LNAME"&gt;Nachname &lt;/label&gt;
                  &lt;input type="text" name="LNAME" class=" text" id="mce-LNAME" value=""&gt;&lt;/div&gt;
                                        &lt;div class="mc-field-group"&gt;&lt;label for="mce-AUFMERKS01"&gt;Wie sind Sie auf uns aufmerksam geworden? &lt;/label&gt;
                        &lt;select name="AUFMERKS01" class="" id="mce-AUFMERKS01"&gt;
                        &lt;option value="Bitte auswahlen..."&gt;Bitte auswahlen...&lt;/option&gt;
                        &lt;option value="Karmeliten in Wien"&gt;Karmeliten in Wien&lt;/option&gt;
                        &lt;option value="Karmeliten in Linz"&gt;Karmeliten in Linz&lt;/option&gt;
                        &lt;option value="Karmeliten in Graz"&gt;Karmeliten in Graz&lt;/option&gt;
                        &lt;option value="Persönliche Empfehlung"&gt;Persönliche Empfehlung&lt;/option&gt;
                        &lt;option value="Plakat"&gt;Plakat&lt;/option&gt;
                        &lt;option value="Internetsuche"&gt;Internetsuche&lt;/option&gt;
                        &lt;option value="YouTube"&gt;YouTube&lt;/option&gt;
                        &lt;option value="Facebook"&gt;Facebook&lt;/option&gt;
                        &lt;option value="Instagram"&gt;Instagram&lt;/option&gt;
                        &lt;option value="Sonstiges"&gt;Sonstiges&lt;/option&gt;&lt;/select&gt;&lt;/div&gt;
                      &lt;div class="mc-field-group" id="sonstiges-field" style="display:none"&gt;&lt;label for="mce-AUFMERKS02"&gt;Sonstiges&lt;/label&gt;
                        &lt;input type="text" name="AUFMERKS02" class=" text" id="mce-AUFMERKS02" value="" disabled&gt;&lt;span id="mce-AUFMERKS02-HELPERTEXT" class="help-block" hidden&gt;Wenn Sie „Sonstiges“ ausgewählt haben, geben Sie bitte hier &lt;/span&gt;
                      &lt;/div&gt;
                  &lt;div class="mc-field-group"&gt;&lt;label for="mce-LNAME"&gt; &lt;/label&gt;
                  &lt;/div&gt;
                    &lt;div class="mc-field-group input-group"&gt;
                      &lt;details class="interest-details"&gt;
                        &lt;summary&gt;Weitere Angebote der Karmeliten&lt;/summary&gt;
                        &lt;ul class="interest-group" style="text-align: left;"&gt;
                        &lt;li&gt;&lt;input type="checkbox" name="group[16777][64]" id="mce-group[16777]-16777-0" value=""&gt;&lt;label for="mce-group[16777]-16777-0"&gt;alle Veranstaltungen des Karmel in Österreich&lt;/label&gt;&lt;/li&gt;
                          &lt;details class="interest-details" style="padding-left: 1rem"&gt;&lt;summary&gt;Orte und Formate einschränken&lt;/summary&gt;
                            &lt;ul&gt;
                        &lt;li&gt;&lt;input type="checkbox" name="group[16777][512]" id="mce-group[16777]-16777-1" value="" &gt;&lt;label for="mce-group[16777]-16777-1"&gt;in Wien&lt;/label&gt;&lt;/li&gt;
                        &lt;li&gt;&lt;input type="checkbox" name="group[16777][1024]" id="mce-group[16777]-16777-2" value="" &gt;&lt;label for="mce-group[16777]-16777-2"&gt;in Linz&lt;/label&gt;&lt;/li&gt;
                        &lt;li&gt;&lt;input type="checkbox" name="group[16777][2048]" id="mce-group[16777]-16777-3" value="" &gt;&lt;label for="mce-group[16777]-16777-3"&gt;in Graz&lt;/label&gt;&lt;/li&gt;
                        &lt;li&gt;&lt;input type="checkbox" name="group[16777][524288]" id="mce-group[16777]-16777-4" value=""&gt;&lt;label for="mce-group[16777]-16777-4"&gt;online&lt;/label&gt;&lt;/li&gt;
                      &lt;/ul&gt;
                      &lt;/details&gt;
                        &lt;li&gt;&lt;input type="checkbox" name="group[16777][256]" id="mce-group[16777]-16777-5" value=""&gt;&lt;label for="mce-group[16777]-16777-5"&gt;Infos/Veranstaltungen der Edith Stein Gesellschaft&lt;/label&gt;&lt;/li&gt;
                        &lt;details class="interest-details" &gt;&lt;summary&gt;Novenen und Exerzitien auswählen&lt;/summary&gt;
                          &lt;ul&gt;
                        &lt;li&gt;&lt;input type="checkbox" name="group[16777][128]" id="mce-group[16777]-16777-6" value=""&gt;&lt;label for="mce-group[16777]-16777-6"&gt;Friedensgebet/Novene Hl. Edith Stein&lt;/label&gt;&lt;/li&gt;
                        &lt;li style="display:none"&gt;&lt;input type="checkbox" name="group[16777][32]" id="mce-group[16777]-16777-7" value="" checked&gt;&lt;label for="mce-group[16777]-16777-7"&gt;Exerzitien Online in Advent/Fastenzeit&lt;/label&gt;&lt;/li&gt;
                        &lt;li&gt;&lt;input type="checkbox" name="group[16777][16]" id="mce-group[16777]-16777-8" value=""&gt;&lt;label for="mce-group[16777]-16777-8"&gt;Novene Online zum Skapulierfest&lt;/label&gt;&lt;/li&gt;
                        &lt;li&gt;&lt;input type="checkbox" name="group[16777][8192]" id="mce-group[16777]-16777-9" value=""&gt;&lt;label for="mce-group[16777]-16777-9"&gt;33 Schritte mit Maria zu Jesus&lt;/label&gt;&lt;/li&gt;
                        &lt;li&gt;&lt;input type="checkbox" name="group[16777][4096]" id="mce-group[16777]-16777-10" value=""&gt;&lt;label for="mce-group[16777]-16777-10"&gt;Jesus-Gebet&lt;/label&gt;&lt;/li&gt;                      
                          &lt;/ul&gt;
                        &lt;/details&gt;
&lt;!--                                    &lt;div class="card-links"&gt;
              &lt;a href="#angebote-cards"&gt;Mehr Informationen zur Angebote nach unten&lt;/a&gt;
            &lt;/div&gt; --&gt;
                      &lt;/ul&gt;
                      &lt;/details&gt;
                      &lt;div hidden=""&gt;&lt;input type="hidden" name="tags" value="8501"&gt;&lt;/div&gt;
                    &lt;/div&gt;
        &lt;div id="mce-responses" class="clear"&gt;
            &lt;div class="response" id="mce-error-response" style="display: none;"&gt;&lt;/div&gt;
            &lt;div class="response" id="mce-success-response" style="display: none;"&gt;&lt;/div&gt;
        &lt;/div&gt;&lt;div style="position: absolute; left: -5000px;" aria-hidden="true"&gt;&lt;input type="text" name="b_7c9d2aa0ecc1fde64fd44bc67_10430a5833" tabindex="-1" value=""&gt;&lt;/div&gt;
        &lt;div class="clear"&gt;&lt;input type="submit" name="subscribe" id="mc-embedded-subscribe" class="button-signup" value="Anmelden"&gt;&lt;/div&gt;
&lt;/form&gt;
      &lt;/section&gt;
                &lt;/div&gt;
            &lt;/div&gt;
                      &lt;div class="datenschutz-toggle"&gt;
          &lt;a href="#datenschutz-wrap" id="datenschutz-toggle" aria-expanded="false" aria-controls="datenschutz-wrap"&gt;Datenschutz&lt;/a&gt;
                      &lt;div id="datenschutz-wrap" hidden&gt;
          &lt;p style="font-size: 14px;"&gt;Die Karmeliten in Österreich werden die Informationen, die Sie in diesem Formular angeben, dazu verwenden, mit Ihnen in Kontakt zu bleiben und Ihnen Informationen über Internet-Aktivitäten wie Exerzitien Online o.ä. zu übermitteln – je nach Ihrer Auswahl im obigen Formular.
            Sie können Ihre Meinung jederzeit ändern, indem Sie auf den Abbestellungs-Link klicken, den Sie in der Fußzeile jeder E-Mail, die Sie von uns erhalten, finden können, oder indem Sie uns unter online-exerzitien@karmel.at kontaktieren. Wir werden Ihre Informationen mit Sorgfalt und Respekt behandeln. Weitere Informationen zu unseren Datenschutzpraktiken finden Sie auf unserer Website www.karmel.at. Indem Sie unten klicken, erklären Sie sich damit einverstanden, dass wir Ihre Informationen in Übereinstimmung mit diesen Bedingungen verarbeiten dürfen.
          &lt;/p&gt;
          &lt;p style="font-size: 14px;"&gt;
  Wir nutzen Mailchimp als unsere Marketing-Plattform. Mit einem Klick auf den untenstehenden Button zum Abonnieren erklären Sie sich damit einverstanden, dass Ihre Daten zur Verarbeitung an Mailchimp übermittelt werden.&lt;/p&gt;
  &lt;a class="plain-link" href="https://mailchimp.com/legal/terms/" target="_blank" rel="noopener noreferrer" style="display:inline-block; font-size: 14px; font-weight: 200; text-decoration:none;"&gt;
      Mehr über die Datenschutzpraktiken von Mailchimp erfahren Sie hier.
  &lt;/a&gt;&lt;/div&gt;&lt;/div&gt;
          &lt;/div&gt;
        &lt;/div&gt;
      &lt;/section&gt;</t>
  </si>
  <si>
    <t>Column1.id</t>
  </si>
  <si>
    <t>Column1.art</t>
  </si>
  <si>
    <t>Column1.year</t>
  </si>
  <si>
    <t>Column1.slug</t>
  </si>
  <si>
    <t>Column1.heiliger</t>
  </si>
  <si>
    <t>Column1.start_datum</t>
  </si>
  <si>
    <t>Column1.end_datum</t>
  </si>
  <si>
    <t>Column1.folder_path</t>
  </si>
  <si>
    <t>Column1.thema.de</t>
  </si>
  <si>
    <t>Column1.titel.de</t>
  </si>
  <si>
    <t>Column1.zusammenfassung.de</t>
  </si>
  <si>
    <t>Column1.header_img.de</t>
  </si>
  <si>
    <t>lent-2026-johannes-vom-kreuz</t>
  </si>
  <si>
    <t>lent</t>
  </si>
  <si>
    <t>fastenzeit-2026</t>
  </si>
  <si>
    <t>Heiliger Johannes vom Kreuz</t>
  </si>
  <si>
    <t>2026-02-18</t>
  </si>
  <si>
    <t>2026-04-05</t>
  </si>
  <si>
    <t>X:\ALLGEMEIN\0900 Veröffentlichungen\Veröffentlichungen-aktuell\2026 Fastenzeit</t>
  </si>
  <si>
    <t>Fastenzeit 2026 mit dem heiligen Johannes vom Kreuz</t>
  </si>
  <si>
    <t>Christus in der Tiefe des Herzens begegnen</t>
  </si>
  <si>
    <t>Wir bieten Ihnen Online-Exerzitien in der Schule des heiligen Johannes vom Kreuz an. In diesen Exerzitien werden wir im Lichte der Evangelien unsere Beziehung zu Jesus vertiefen, um im Heiligen Geist wieder zur Vertrautheit mit Ihm und mit Gott Vater in der Tiefe unseres Herzens zu gelangen. Es wird ein Weg der inneren Befreiung sein, auf dem uns Johannes vom Kreuz zuverlässig und sicher führen wird. Er wird uns in einer zunehmend auf das Äußere hin orientierten Welt lehren, wieder in unser tiefstes Inneres einzugehen, wo Christus, der Bräutigam der Kirche, uns begegnen und reinigen will, damit wir mit Ihm im Feuer des Heiligen Geistes zu den innig geliebten Kindern des Vaters werden.</t>
  </si>
  <si>
    <t>img/FS26_header_DE.png</t>
  </si>
  <si>
    <t>advent-2025-mirjam-von-jesus-dem-gekreuzigten</t>
  </si>
  <si>
    <t>advent</t>
  </si>
  <si>
    <t>advent-2025</t>
  </si>
  <si>
    <t>Heilige Mirjam von Jesus, dem Gekreuzigten</t>
  </si>
  <si>
    <t>2025-11-26</t>
  </si>
  <si>
    <t>2025-12-25</t>
  </si>
  <si>
    <t>X:\ALLGEMEIN\0900 Veröffentlichungen\Veröffentlichungen-aktuell\2025 Advent</t>
  </si>
  <si>
    <t>Advent 2025 mit der heiligen Mirjam von Jesus, dem Gekreuzigten</t>
  </si>
  <si>
    <t>Mariam oder der Weg der Armen des Herrn</t>
  </si>
  <si>
    <t>Die heilige Maria von Jesus, dem Gekreuzigten (1846-1878), die „kleine Araberin“, geboren im Heiligen Land, Analphabetin und demütige Karmelitin, gründete dennoch mehrere Karmelklöster im Orient und in Indien. Ihr schlichtes Leben im Glanz der Heiligkeit, geführt vom Heiligen Geist, lädt uns ein, uns von Jesus lieben und verwandeln zu lassen …</t>
  </si>
  <si>
    <t>img/AD25_header_DE.png</t>
  </si>
  <si>
    <t>lent-2025-therese-von-lisieux</t>
  </si>
  <si>
    <t>fastenzeit-2025</t>
  </si>
  <si>
    <t>Heilige Thérèse von Lisieux</t>
  </si>
  <si>
    <t>2025-03-05</t>
  </si>
  <si>
    <t>2025-04-27</t>
  </si>
  <si>
    <t>X:\ALLGEMEIN\0900 Veröffentlichungen\Veröffentlichungen-aktuell\2025 Fasten</t>
  </si>
  <si>
    <t>Fastenzeit 2025 mit Thérèse von Lisieux und das Östergeheimnis</t>
  </si>
  <si>
    <t>„Aus Liebe sterben, das ist meine Hoffnung“</t>
  </si>
  <si>
    <t>Die heilige Thérèse von Lisieux wird uns in sechs Schritten zur Osterfreude führen: 
-   1. Sonntag: „Selig jener, der würdig erachtet wurde, Anfechtung zu erleiden!“ 
-   2. Sonntag: „O [Heiliges] Antlitz, schöner als die Lilien und Rosen im Frühling!“ 
-   3. Sonntag: „Ich fühlte ein großes Verlangen, für die Bekehrung der Sünder zu arbeiten“
 -   4. Sonntag: „Hätte ich auch alle begehbaren Sünden auf dem Gewissen ...“ 
-   5. Sonntag: „Eine arme Sünderin wie ich“ 
-   Karwoche: „Schau Jesus ins Antlitz ... Da wirst du sehen, wie er uns liebt!“ 
-   Ostern: „Dies ist mein Himmel ... dies ist meine Bestimmung: Leben aus Liebe!!!...“ Jeden Freitag erhalten Sie eine E-Mail-Nachricht: Dort können Sie den Text herunterladen (in drei Formaten: PDF, Word, PDF im Handyformat) oder die Audio-Version als Podcast anhören. Der Inhalt der Betrachtung wird vom Sonntagsevangelium ausgehen und uns in die Schule der heiligen Thérèse von Lisieux führen. Ein Fastenkalender (Zitate und Bilder) wird Sie außerdem jeden Tag, von Montag bis Samstag, durch geistliche Impulse inspirieren.</t>
  </si>
  <si>
    <t>img/FS25_header_DE.png</t>
  </si>
  <si>
    <t>advent-2024-therese-von-lisieux</t>
  </si>
  <si>
    <t>2024_ad_therese_von_lisieux</t>
  </si>
  <si>
    <t>2024-11-27</t>
  </si>
  <si>
    <t>2025-01-05</t>
  </si>
  <si>
    <t>X:\ALLGEMEIN\0900 Veröffentlichungen\Veröffentlichungen-aktuell\2024 Advent</t>
  </si>
  <si>
    <t>Advent 2024 mit der Hl. Thérèse vom Kind Jesu</t>
  </si>
  <si>
    <t>„Kind sein vor Gott“</t>
  </si>
  <si>
    <t>Diese Online-Exerzitien wollen in den Geist und das Gebet der Jüngsten unter allen Kirchenlehrern einführen, deren Geburtstag sich letztes Jahr zum 150. Mal jährte: die hl. Thérèse vom Kinde Jesus (von Lisieux). Wir werden dies tun, indem wir uns in erster Linie auf die Schriften der Heiligen stützen, die uns ein umfangreiches schriftliches Werk hinterlassen hat. Doch diese erklären nicht alles. Thérèses fulminante Berufung kann nur vor dem Hintergrund des unergründlichen Geheimnisses, von dem ihr ganzes Leben Zeugnis ablegt, vollständig verstanden werden: dem der göttlichen Barmherzigkeit.</t>
  </si>
  <si>
    <t>img/AD24_header_DE.png</t>
  </si>
  <si>
    <t>lent-2024-pater-jacques-de-jesus</t>
  </si>
  <si>
    <t>2024_fs_pater_jacques_de_jesus</t>
  </si>
  <si>
    <t>Pater Jacques von Jesus</t>
  </si>
  <si>
    <t>2024-02-14</t>
  </si>
  <si>
    <t>2024-04-07</t>
  </si>
  <si>
    <t>X:\ALLGEMEIN\0900 Veröffentlichungen\Veröffentlichungen-aktuell\2024 Fasten</t>
  </si>
  <si>
    <t>Fastenzeit 2024 mit Pater Jacuqes von Jesus (1900-1945)</t>
  </si>
  <si>
    <t>Durch das Kreuz zum Licht</t>
  </si>
  <si>
    <t>„Durch das Kreuz zum Licht“: So lautet der Anfang der Worte, die Pater Jacques von Jesus im März 1945 im Konzentrationslager Gusen (Österreich) mit Bleistift in ein Notizbuch kritzelte. Sie haben den Wert eines geistlichen Testaments. Dieser bemerkenswerte Erzieher, der im Januar 1944 im Karmeliterkloster von Avon von der Gestapo verhaftet worden war (ein Vorfall, der in dem Film „Auf Wiedersehen, Kinder“  von Louis Malle aufgegriffen wird) und dessen Seligsprechungsprozess im Gange ist, wird uns einen wirkkräftigen Fastenweg aufzeigen, um dem Licht Christi entgegenzugehen.</t>
  </si>
  <si>
    <t>img/FS24_header_DE.png</t>
  </si>
  <si>
    <t>advent-2023-therese-des-andes</t>
  </si>
  <si>
    <t>2023_ad_therese_des_andes</t>
  </si>
  <si>
    <t>Heilige Teresa de Los Andes</t>
  </si>
  <si>
    <t>2023-11-29</t>
  </si>
  <si>
    <t>2023-12-25</t>
  </si>
  <si>
    <t>X:\ALLGEMEIN\0900 Veröffentlichungen\Veröffentlichungen-aktuell\2023 Advent</t>
  </si>
  <si>
    <t>Advent 2023 mit der heiligen Teresa de Los Andes (1900-1920)</t>
  </si>
  <si>
    <t>Leben in der Göttlichen Freude</t>
  </si>
  <si>
    <t>„Gott ist unendliche Freude." Dieser berühmte Ausspruch der heiligen Teresa de Los Andes (1900-1920), der ersten Chilenin, die heiliggesprochen wurde, ist das Leitmotiv für diese Exerzitien im Advent 2023: Ja, Gott ist sehr viel liebenswürdiger, schöner und liebevoller als wir im Allgemeinen denken! Teresa wird uns dies erkennen lassen, indem sie uns das Beispiel einer liebenswürdigen Heiligkeit vor Augen führt und uns leicht verständliche Ratschläge gibt, damit auch wir unser Leben in der göttlichen Freude verankern können. In ihrer Schule werden wir erkennen, dass wir – an der Seite des göttlichen Neugeborenen – zu einer frohen Heiligkeit gelangen können …</t>
  </si>
  <si>
    <t>img/AD23_header_DE.png</t>
  </si>
  <si>
    <t>lent-2023-oraison-weg-der-kindlichen-berufung</t>
  </si>
  <si>
    <t>2023_fs_oraison_weg_der_kindlichen_berufung</t>
  </si>
  <si>
    <t>Die Heiligen des Karmel</t>
  </si>
  <si>
    <t>2023-02-22</t>
  </si>
  <si>
    <t>2023-04-16</t>
  </si>
  <si>
    <t>X:\ALLGEMEIN\0900 Veröffentlichungen\Veröffentlichungen-aktuell\2023 Fastenzeit</t>
  </si>
  <si>
    <t>Fastenzeit 2023: Das Gebet</t>
  </si>
  <si>
    <t>Das Gebet - ein Weg, unsere Berufung als Kind Gottes zu leben</t>
  </si>
  <si>
    <t>„Kinder Gottes: Wir sind es bereits im Keim durch unsere Taufe. Aber wie können wir unsere tiefe Berufung, für Gott Söhne und Töchter zu werden, voll und ganz verwirklichen? Das Gebet, das persönliche Gebet ist ein bevorzugter Weg für diese Neuschöpfung in Christus. Diese Exerzitien in der Fastenzeit werden uns helfen, unser geistliches Leben tiefgreifend zu erneuern, damit wir uns an der Ostergnade in kindlicher Dankbarkeit erfreuen können!"</t>
  </si>
  <si>
    <t>img/FS23_header_DE.png</t>
  </si>
  <si>
    <t>advent-2022-gott-in-unserem-leben</t>
  </si>
  <si>
    <t>2022_ad_gott_in_unserem_leben</t>
  </si>
  <si>
    <t>X:\ALLGEMEIN\0900 Veröffentlichungen\Veröffentlichungen-aktuell\2022 Advent</t>
  </si>
  <si>
    <t>Advent 2022 in der Schule der Heiligen des Karmel</t>
  </si>
  <si>
    <t>Die Gegenwart Gottes in unserem Leben erfahren</t>
  </si>
  <si>
    <t>Das Weihnachtsgeheimnis ist das Geheimnis Gottes, der sich in unserem Menschsein zu unserer Erlösung gegenwärtig macht. Vor 2000 Jahren in der Krippe von Bethlehem anwesend, ist Christus Jesus hier und jetzt, mitten unter uns und in jedem von uns gegenwärtig. Während dieser Einkehrtage im Advent werden wir uns in die Schule der Heiligen des Karmel begeben, um diese Gegenwart Gottes in unserem Leben auf erneuerte Weise zu empfangen. Gehen wir "auf dieser wunderbaren Straße der Gegenwart Gottes"!</t>
  </si>
  <si>
    <t>img/AD22_header_DE.png</t>
  </si>
  <si>
    <t>lent-2022-barmherzigkeit-gottes-mit-den-heiligen-des-karmels</t>
  </si>
  <si>
    <t>2022_fs_barmherzigkeit_gottes_mit_den_heiligen_des_karmels</t>
  </si>
  <si>
    <t>X:\ALLGEMEIN\0900 Veröffentlichungen\Veröffentlichungen-aktuell\2022 Fasten</t>
  </si>
  <si>
    <t>Fastenzeit 2022: Gottes Barmherzigkeit leben mit den Heiligen des Karmel</t>
  </si>
  <si>
    <t>Die Barmherzigkeit Gottes leben</t>
  </si>
  <si>
    <t>img/FS22_header_DE.png</t>
  </si>
  <si>
    <t>advent-2021-kindheit-der-seele</t>
  </si>
  <si>
    <t>2021_ad_kindheit_der_seele</t>
  </si>
  <si>
    <t>Heilige Thérèse vom Kinde Jesu</t>
  </si>
  <si>
    <t>2021-11-26</t>
  </si>
  <si>
    <t>2022-01-02</t>
  </si>
  <si>
    <t>X:\ALLGEMEIN\0900 Veröffentlichungen\Veröffentlichungen-aktuell\2021 Advent</t>
  </si>
  <si>
    <t>Advent 2021 mit der hl. Thérèse von Lisieux und Maria Montessori</t>
  </si>
  <si>
    <t>"Die Kindschaft der Seele" Unser Morgenrot Wecken</t>
  </si>
  <si>
    <t>Die heilige Thérèse vom Kinde Jesus (1873-1897) und Maria Montessori (1870-1952) sind beide Doktoren. Die eine führt die Kirche zur Kindschaft, die andere das Kind zur Kirche. Als Frauen und Prophetinnen haben sie aus der Quelle desselben Evangeliums geschöpft. Durch ihre Stimmen, die  im Wechsel gleichsam als Echo widerhallen, lüftet Gott den geheimnisvollen Schleier seines Antlitzes, das den Kleinen zugetan ist.</t>
  </si>
  <si>
    <t>img/AD21_header_DE.png</t>
  </si>
  <si>
    <t>lent-2021-therese-von-avila</t>
  </si>
  <si>
    <t>2021_fs_therese_von_avila</t>
  </si>
  <si>
    <t>Heilige Teresa von Ávila</t>
  </si>
  <si>
    <t>X:\ALLGEMEIN\0900 Veröffentlichungen\Veröffentlichungen-aktuell\2021 Fasten</t>
  </si>
  <si>
    <t>Fastenzeit 2021 mit der Heilige Teresa von Ávila</t>
  </si>
  <si>
    <t>Tretet ein in die Burg Eurer Seele...</t>
  </si>
  <si>
    <t>Es war mitten in einer Krise, als die heilige Teresa von Ávila (1515-1582) ihr geistliches Meisterwerk, das Buch der Wohnungen der Inneren Burg, schrieb. Während ihr gesamtes Werk als Gründerin des Karmel in sich zusammenzufallen scheint, schöpft sie ihre Energie aus ihrer inneren Burg. In unserem Kontext der Gesundheits- und Wirtschaftskrise kann uns die ‘Madre’ in dieser Fastenzeit helfen, zu entdecken, dass unsere Stärke im Inneren liegt. Mit dieser Kirchenlehrerin gehen wir durch die Burg von Wohnung zu Wohnung zum Zentrum, wo das Licht von Ostern leuchtet. Die Gegenwart des Auferstandenen ist die wahre gute Nachricht, die unser geistliches Leben wiederbeleben kann. 
Die Meditationen wurden von P. Guillaume Dehorter OCD (Karmelit in Avon bei Paris) und einem Team zusammengestellt. Die Aussendung in deutscher Sprache geschieht als Initiative des Verlags Christliche Innerlichkeit und des Teresianischen Karmel in Österreich, der Edith Stein Gesellschaft Österreich und der Marienschwestern vom Karmel. Die deutsche Fassung wurde von den Karmelitinnen in Mayerling bereitgestellt.</t>
  </si>
  <si>
    <t>img/FS21_header_DE.png</t>
  </si>
  <si>
    <t>advent-2020-madame-acarie</t>
  </si>
  <si>
    <t>2020_ad_madame_acarie</t>
  </si>
  <si>
    <t>Maria von der Menschwerdung</t>
  </si>
  <si>
    <t>X:\ALLGEMEIN\0900 Veröffentlichungen\Veröffentlichungen-aktuell\2020 Advent</t>
  </si>
  <si>
    <t>Advent 2020 mit der "Schönen Acarie" (1566-1618)</t>
  </si>
  <si>
    <t>Glauben an das Unmögliche</t>
  </si>
  <si>
    <t>Diesmal begleitet uns durch den Advent die Gründerin des Karmel in Frankreich, Sr. Maria von der Menschwerdung (1566-1618), auch die “Schöne Acarie” genannt. Sie heiratete, bekamm Kinder und war in der Gesellshaft ihrer Zeit sehr einflussreich, bevor sie schließlich als Witwe in den Karmel eintrat. Ihre Biographie und ihre geistlichen Schriften geben Nahrung besonders in einer Zeit wie dieser, die von Unsicherheit geprägt ist. Die Exerzitien stehen unter dem Motto: Glauben an das Unmögliche.</t>
  </si>
  <si>
    <t>img/AD20_header_DE.png</t>
  </si>
  <si>
    <t>lent-2020-heureuse-aventure</t>
  </si>
  <si>
    <t>2020_fs_heureuse_aventure</t>
  </si>
  <si>
    <t>X:\ALLGEMEIN\0900 Veröffentlichungen\Veröffentlichungen-aktuell\2020 Fasten</t>
  </si>
  <si>
    <t>Fastenzeit 2020 mit dem Hl. Johannes vom Kreuz</t>
  </si>
  <si>
    <t>die Liebe wagen...</t>
  </si>
  <si>
    <t>In dieser Fastenzeit werden uns Texte des hl. Karmeliten Johannes vom Kreuz begleiten, der im XVI. Jhd. zusammen mit der hl. Teresa von Avila den Orden der Karmelitinnen und Karmeliten reformiert hat. Als Lehrer der Kirche gilt er besonders als Meister des mystischen Lebens und wird heute noch von vielen als Berater im Geistlichen Leben angerufen bzw. werden seine Werke gelesen.</t>
  </si>
  <si>
    <t>img/FS20_header_DE.png</t>
  </si>
  <si>
    <t>advent-2019-communier-a-la-vie-de-grace-de-marie</t>
  </si>
  <si>
    <t>2019_ad_communier_a_la_vie_de_grace_de_marie</t>
  </si>
  <si>
    <t>Unsere Liebe Frau vom Berge Karmel</t>
  </si>
  <si>
    <t>X:\ALLGEMEIN\0900 Veröffentlichungen\Veröffentlichungen-aktuell\2019 Advent</t>
  </si>
  <si>
    <t>Advent 2019 mit Unserer Lieben Frau vom Berge Karmel</t>
  </si>
  <si>
    <t>Am Gnadenleben Mariens teilhaben</t>
  </si>
  <si>
    <t>Wer ist qualifizierter als die Mutter Jesu, die Jungfrau Maria, um uns auf Weihnachten vorzubereiten? Unsere liebe Frau vom Berge Karmel begleitet uns in diesen neuen Adventsexerzitien und hilft uns, das Wort Gottes zu verinnerlichen und es in die Tat umzusetzen. Wir werden das Geheimnis Mariens mithilfe der Schriften des Karmeliten P. François de S.te Marie OCD näher kennenlernen.</t>
  </si>
  <si>
    <t>img/AD19_header_DE.png</t>
  </si>
  <si>
    <t>lent-2019-edith-stein</t>
  </si>
  <si>
    <t>2019_fs_edith_stein</t>
  </si>
  <si>
    <t>Heilige Teresa-Benedicta vom Kreuz (Edith Stein)</t>
  </si>
  <si>
    <t>X:\ALLGEMEIN\0900 Veröffentlichungen\Veröffentlichungen-aktuell\2019 Fasten</t>
  </si>
  <si>
    <t>Fastenzeit 2019 mit Edith Stein Hl. Teresa-Benedicta vom Kreuz</t>
  </si>
  <si>
    <t>Der Auferstehung entgegen mit Edith Stein Hl. Teresa-Benedicta vom Kreuz</t>
  </si>
  <si>
    <t>Die Hl. Teresa Benedicta vom Kreuz ist eine Mit-Patronin von Europa. Bevor sie in den Karmel eintrat und ihren Ordensnamen angenommen hat, war Edith Stein Philosophin und Dozentin. Sie wurde 1981 in Preussen als Jüdin geboren und wandte sich später dem Agnostizismus zu. Sie begab sich auf die Suche nach Wahrheit, durch die Philosophie und die Ereignisse in ihrem Leben, bis sie schließlich Christus entdeckte und sich im Alter von 31 Jahren taufen ließ. Sie wurde eine bemerkenswerte katholische Intellektuelle, der von den Nazis die Lehrerlaubnis entzogen wurde. Im Jahr 1933 trat sie in den Kölner Karmel ein, von wo sie 1939 nach Holland in den Karmel in Echt fliehen musste. Dort wurden sie und ihre Schwester festgenommen und nach Auschwitz gebracht, wo Edith Stein am 9. August 1942 starb. Hinterlassen hat sie uns ihr Werk und eine starke Botschaft. In dieser Fastenzeit werden uns ihre Schriften und ihr Leben begleiten, wenn wir uns auf den Weg machen, Christus nachzufolgen, der Auferstehung entgegen.</t>
  </si>
  <si>
    <t>img/FS19_header_DE.png</t>
  </si>
  <si>
    <t>advent-2018-mont-carmel</t>
  </si>
  <si>
    <t>2018_ad_notre_dame_du_mont_carmel</t>
  </si>
  <si>
    <t>X:\ALLGEMEIN\0900 Veröffentlichungen\Veröffentlichungen-aktuell\2018 Advent</t>
  </si>
  <si>
    <t>Advent 2018 mit Unserer Lieben Frau vom Berge Karmel</t>
  </si>
  <si>
    <t>Den Weg des Herrn vorbereiten</t>
  </si>
  <si>
    <t>Wer ist qualifizierter als die Mutter Jesu, die Jungfrau Maria, um uns auf Weihnachten vorzubereiten? Nach dem heiligen Josef im vergangenen Jahr, begleitet sie uns in diesen neuen Adventsexerzitien. Unsere liebe Frau vom Berge Karmel hilft uns, das Wort Gottes zu verinnerlichen und es in die Tat umzusetzen. Wir werden das Geheimnis Mariens anhand des mittelalterlichen Gedichtes „Flos carmeli“ meditieren, das sie als Blume, Königin und Schönheit des Karmel anruft. So werden wir noch mehr entdecken, wie sehr Christus uns in unserer Menschheit begegnet.</t>
  </si>
  <si>
    <t>img/AD18_header_DE.png</t>
  </si>
  <si>
    <t>lent-2018-laurent-de-la-resurrection</t>
  </si>
  <si>
    <t>2018_fs_laurent_de_la_resurrection</t>
  </si>
  <si>
    <t>Br. Lorenz von der Auferstehung</t>
  </si>
  <si>
    <t>X:\ALLGEMEIN\0900 Veröffentlichungen\Veröffentlichungen-aktuell\2018 Fasten</t>
  </si>
  <si>
    <t>Fastenzeit 2018 mit Br. Lorenz von der Auferstehung</t>
  </si>
  <si>
    <t>Sich von Gott formen lassen</t>
  </si>
  <si>
    <t>«Ich wende mein kleines Omelett in der Pfanne aus Liebe zu Gott» Bruder Lorenz von der Auferstehung der „mystische Koch”</t>
  </si>
  <si>
    <t>img/FS18_header_DE.png</t>
  </si>
  <si>
    <t>advent-2017-josef-das-wort</t>
  </si>
  <si>
    <t>2017_ad_josef_lassen_wort_raum</t>
  </si>
  <si>
    <t>Heiliger Joseph</t>
  </si>
  <si>
    <t>X:\ALLGEMEIN\0900 Veröffentlichungen\Veröffentlichungen-aktuell\2017 Advent</t>
  </si>
  <si>
    <t>Advent 2017 mit dem hl. Josef</t>
  </si>
  <si>
    <t>Ite ad Joseph</t>
  </si>
  <si>
    <t>In diesem Jahr bieten Ihnen die Karmeliten Online-Exerzitien mit dem hl. Josef. Seit der hl. Teresa von Avila (1515-1582) hat Josef in der karmelitanischen Tradition einen wichtigen Platz. Teresa gab den meisten ihrer Klöster den hl. Josef zum Patron und empfahl ihren Mitschwestern, „unseren glorreichen Vater Josef“ als Meister des Gebetes anzurufen. 
Der hl. Josef hat eine wichtige Rolle in der Heilsgeschichte gespielt, obwohl er fast unbemerkt im Hintergrund blieb. Was kann man über ihn sagen, von dem die hl. Schrift kein einziges Wort überliefert hat? 
Der hl. Josef kann uns allerdings Vieles lehren. Er wird uns helfen, in die Stille des Advents einzutauchen, damit wir dem Wort Gottes – d.h. Seinem Sohn – Raum geben können. Unsere Exerzitien orientieren sich an der Bibel mit Hinzunahme der Tradition des Karmel – sie möchten uns helfen, Jesus aufzunehmen – das Wort Gottes, das von Josef und Maria großgezogen wurde.</t>
  </si>
  <si>
    <t>img/AD17_header_DE.png</t>
  </si>
  <si>
    <t>lent-2017-elisabeth-der-dreifaltigkeit</t>
  </si>
  <si>
    <t>2017_fs_elisabeth_von_der_dreifaltigkeit</t>
  </si>
  <si>
    <t>Heilige Elisabeth von der Dreifaltigkeit</t>
  </si>
  <si>
    <t>X:\ALLGEMEIN\0900 Veröffentlichungen\Veröffentlichungen-aktuell\2017 Fasten</t>
  </si>
  <si>
    <t>KarmelExerzitien Online in der Fastenzeit 2017</t>
  </si>
  <si>
    <t>Sich auf Ostern vorbereiten mit Elisabeth von der Dreifaltigkeit</t>
  </si>
  <si>
    <t>img/FS17_header_DE.png</t>
  </si>
  <si>
    <t>advent-2016-josef-das-wort</t>
  </si>
  <si>
    <t>2016_ad_josef_lassen_wort_raum</t>
  </si>
  <si>
    <t>Sel. Maria-Eugen vom Kinde Jesus OCD</t>
  </si>
  <si>
    <t>X:\ALLGEMEIN\0900 Veröffentlichungen\Veröffentlichungen-aktuell\2016 Advent</t>
  </si>
  <si>
    <t>Advent 2016 mit dem Sel. Maria-Eugen vom Kinde Jesus OCD</t>
  </si>
  <si>
    <t>img/AD16_header_DE.png</t>
  </si>
  <si>
    <t>lent-2016-elija-lebensgott</t>
  </si>
  <si>
    <t>2016_fs_elija_rencontrer_le_dieu_de_vie</t>
  </si>
  <si>
    <t>Heiliger Elija</t>
  </si>
  <si>
    <t>X:\ALLGEMEIN\0900 Veröffentlichungen\Veröffentlichungen-aktuell\2016 Fasten</t>
  </si>
  <si>
    <t>Fastenzeit 2016 mit dem heiligen Elija</t>
  </si>
  <si>
    <t>Vor dem Angesicht Gottes stehen</t>
  </si>
  <si>
    <t>So laden wir Sie ein, wirklich in das Wort Gottes einzutauchen, damit es Ihren Weg auf Ostern hin begleite, wie es das Leben des Propheten Elija geführt hat. Um tagsüber in der Atmosphäre der Exerzitien zu bleiben, möchten wir Sie sehr dazu ermutigen, sich den angegebenen Schriftvers einzuprägen. So können Sie ihn gemäß der östlichen Tradition des „Jesusgebets“ während des Tages innerlich wiederholen. Sich das Wort ins Gedächtnis zu rufen, es innerlich zu wiederholen, das bedeutet, in der Gegenwart Gottes zu bleiben, zu Hause wie unterwegs, bei der Erholung wie in der Arbeitszeit. Gott wohnt in unserem Herzen, wenn sein Wort in unserem Gedächtnis wohnt. Dieses Wort wirkt, wenn es vom Atem getragen wird. Gedächtnis und Atem wirken zusammen, damit das Wort Gottes im Laufe der Tage in uns Licht und Leben werde. Beginnen Sie gleich, indem Sie sich den sinnbildlichen Ausruf des Propheten Elija einprägen und „atmen“:</t>
  </si>
  <si>
    <t>img/FS16_header_DE.png</t>
  </si>
  <si>
    <t>advent-2015-louis-und-zelie-martin</t>
  </si>
  <si>
    <t>2015_ad_louis_und_zelie_martin</t>
  </si>
  <si>
    <t>Louis Martin und Zélie Martin (Eltern der hl. Thérèse von Lisieux</t>
  </si>
  <si>
    <t>X:\ALLGEMEIN\0900 Veröffentlichungen\Veröffentlichungen-aktuell\2015 Advent</t>
  </si>
  <si>
    <t>Advent 2015</t>
  </si>
  <si>
    <t>Mit Louis und Zélie Martin – Eltern der hl. Thérèse von Lisieux</t>
  </si>
  <si>
    <t>Sie sind die Ersten! Louis und Zélie Martin, am vergangenen 18. Oktober heiliggesprochen, sind das erste Ehepaar der Geschichte, das gemeinsam, als Ehemann und Ehefrau, kanonisiert worden ist. Aber wer sind sie wirklich? Sind sie nur die Eltern der kleinen Thérèse, deren Leben uninteressant gewesen wäre, wenn es ihre berühmte Tochter nicht gegeben hätte? Oder sind sie im Gegenteil unnachahmliche Heilige? Worin kann ihr Glaubensleben für uns heute noch bedeutsam sein? Und schließlich: Welche Verbindung kann man zwischen diesem Ehepaar und der kommenden Weihnachtsgnade herstellen? Die verschiedenen Themen, die im Lauf der vier Adventssonntage angesprochen werden, beantworten diese Fragen. Wir werden im Laufe der Exerzitien nach und nach den Verlauf ihres Lebens kennenlernen. Doch schon jetzt können wir auf die letzte Frage antworten: Louis und Zélie haben wie Maria und Josef die Gabe dessen angenommen, der das Leben ist; sie haben die heiligende Gegenwart der Liebe angenommen. Ihr gemeinsames Leben, dem wir im Lauf der Online-Exerzitien chronologisch nachgehen werden, wird uns zeigen, wie sehr die Gnade von Weihnachten – das heißt die Gnade der Liebe, die kommt, um unter uns Fleisch anzunehmen – sich in einem Leben oder in einer Familie erneuert, die den alltäglichen Glauben der bescheidenen Familie von Nazaret teilt.</t>
  </si>
  <si>
    <t>img/AD15_header_DE.png</t>
  </si>
  <si>
    <t>lent-2015-therese-von-avila</t>
  </si>
  <si>
    <t>2015_fs_therese_von_avila</t>
  </si>
  <si>
    <t>X:\ALLGEMEIN\0900 Veröffentlichungen\Veröffentlichungen-aktuell\2015 Fasten</t>
  </si>
  <si>
    <t>Fastenzeit 2015 mit Teresa von Avila</t>
  </si>
  <si>
    <t>Auf dem Weg der Umkehr mit der hl. Teresa von Avila</t>
  </si>
  <si>
    <t>In diesem Jahr begehen wir das 500-jährige Jubiläum der Geburt der hl. Teresa von Ávila (1515–1582), Gründerin unseres Zweiges des Karmel.
Die Exerzitien werden sich mit der Umkehr der jungen Teresa befassen, die uns als Vorbild vorangegangen ist und uns durch diese Fastenzeit begleiten wird auf unserem persönlichen Weg der Umkehr.</t>
  </si>
  <si>
    <t>img/FS15_header_DE.png</t>
  </si>
  <si>
    <t>advent-2014-jacques-de-jesus</t>
  </si>
  <si>
    <t>2014_ad_jacques_de_jesus</t>
  </si>
  <si>
    <t>X:\ALLGEMEIN\0900 Veröffentlichungen\Veröffentlichungen-aktuell\2014 Advent</t>
  </si>
  <si>
    <t>Licht in der Finsternis werden mit dem Karmeliten P. Jacques von Jesus OCD (1900-1945)</t>
  </si>
  <si>
    <t>Ich will Gott ausstrahlen...</t>
  </si>
  <si>
    <t>Der französische Karmelit P. Jacques wurde in Mauthausen-Gusen interniert, weil er 1943 jüdische Kinder in einer Schule der Karmeliten versteckt hatte. Er starb am 2. Juni 1945 im Spital der Elisabethinen in Linz.</t>
  </si>
  <si>
    <t>img/AD14_header_DE.png</t>
  </si>
  <si>
    <t>lent-2014-therese-von-lisieux</t>
  </si>
  <si>
    <t>2014_fs_therese_von_lisieux</t>
  </si>
  <si>
    <t>X:\ALLGEMEIN\0900 Veröffentlichungen\Veröffentlichungen-aktuell\2014 Fasten</t>
  </si>
  <si>
    <t>Fastenzeit 2014</t>
  </si>
  <si>
    <t>"Ich habe großes Verlangen, all die Ereignisse unserer Tage einmal im Licht der Ewigkeit zu sehen. Denn das erkennt man doch immer klarer, wie blind wir für alles sind. Man staunt, wie verkehrt man vieles früher angesehen hat, und begeht doch im nächsten Augenblick wieder den Fehler, sich ein Urteil zu bilden, ohne dass man die nötigen Grundlagen dafür hat." Hl. Edith Stein</t>
  </si>
  <si>
    <t>img/FS14_header_DE.png</t>
  </si>
  <si>
    <t>advent-2013-elisabeth-von-der-dreifaltigkeit</t>
  </si>
  <si>
    <t>2013_ad_elisabeth_von_der_dreifaltigkeit</t>
  </si>
  <si>
    <t>2013-11-29</t>
  </si>
  <si>
    <t>2013-12-25</t>
  </si>
  <si>
    <t>X:\ALLGEMEIN\0900 Veröffentlichungen\Veröffentlichungen-aktuell\2013 Advent</t>
  </si>
  <si>
    <t>Advent 2013: Vorbereitung auf Weihnachten mit Edith Stein</t>
  </si>
  <si>
    <t>Gott ward ein Menschenkind, damit die Menschen Gotteskinder werden. (Hl. Edith Stein)</t>
  </si>
  <si>
    <t>Die Karmeliten in Wien geben für jede Woche im Advent einen Impuls zur Besinnung und täglich kurze Anregungen zum Gebet. Unsere Begleiterin ist die hl. Sr. Teresia Benedicta vom Kreuz (Edith Stein) mit ihren Texten über das Weihnachtsgeheimnis.</t>
  </si>
  <si>
    <t>img/AD13_header_DE.png</t>
  </si>
  <si>
    <t>lent-2013-therese-von-avila-und-paulus</t>
  </si>
  <si>
    <t>2013_fs_therese_von_avila_und_paulus</t>
  </si>
  <si>
    <t>X:\ALLGEMEIN\0900 Veröffentlichungen\Veröffentlichungen-aktuell\2013 Fasten</t>
  </si>
  <si>
    <t>Fastenzeit 2013 mit der Hl. Edith Stein</t>
  </si>
  <si>
    <t>img/FS13_header_DE.png</t>
  </si>
  <si>
    <t>advent-2012-johannes-vom-kreuz</t>
  </si>
  <si>
    <t>2012_ad_johannes_vom_kreuz</t>
  </si>
  <si>
    <t>X:\ALLGEMEIN\0900 Veröffentlichungen\Veröffentlichungen-aktuell\2012 Advent</t>
  </si>
  <si>
    <t>img/AD12_header_DE.png</t>
  </si>
  <si>
    <t>lent-2012-therese-benedikta-vom-kreuz</t>
  </si>
  <si>
    <t>2012_fs_therese_benedikta_vom_kreuz</t>
  </si>
  <si>
    <t>X:\ALLGEMEIN\0900 Veröffentlichungen\Veröffentlichungen-aktuell\2012 Fasten</t>
  </si>
  <si>
    <t>Fastenzeit 2012 mit der Hl. Edith Stein</t>
  </si>
  <si>
    <t>Mit der heiligen Teresa-Benedicta vom Kreuz (Edith Stein)</t>
  </si>
  <si>
    <t>Jeden Tag in der Fastenzeit finden Sie auf der Homepage www.edithstein.karmel.at einen Impuls zur Besinnung mit Texten der hl. Edith Stein. Im Rahmen des Edith-Stein-Gedenkjahres 2011/2012 von den Marienschwestern vom Karmel erstellt.</t>
  </si>
  <si>
    <t>2024_advent</t>
  </si>
  <si>
    <t>2023_advent</t>
  </si>
  <si>
    <t>2023_lent</t>
  </si>
  <si>
    <t>2023-01-01</t>
  </si>
  <si>
    <t>2022-11-23</t>
  </si>
  <si>
    <t>2022-03-02</t>
  </si>
  <si>
    <t>2022-04-24</t>
  </si>
  <si>
    <t>&lt;section class="section"&gt;</t>
  </si>
  <si>
    <t>&lt;head&gt;</t>
  </si>
  <si>
    <t>&lt;meta charset="UTF-8" /&gt;</t>
  </si>
  <si>
    <t>&lt;meta name="viewport" content="width=device-width, initial-scale=1.0" /&gt;</t>
  </si>
  <si>
    <t>&lt;title&gt;Fastenzeit 2026 mit Johannes vom Kreuz&lt;/title&gt;</t>
  </si>
  <si>
    <t>&lt;link rel="preconnect" href="https://fonts.googleapis.com" /&gt;</t>
  </si>
  <si>
    <t>&lt;link rel="preconnect" href="https://fonts.gstatic.com" crossorigin /&gt;</t>
  </si>
  <si>
    <t>&lt;link</t>
  </si>
  <si>
    <t>href="https://fonts.googleapis.com/css2?family=Cormorant+Garamond:wght@500;600;700&amp;family=Inter:wght@400;500;600;700&amp;display=swap"</t>
  </si>
  <si>
    <t>rel="stylesheet"</t>
  </si>
  <si>
    <t>/&gt;</t>
  </si>
  <si>
    <t>&lt;link rel="stylesheet" href="../style.css" /&gt;</t>
  </si>
  <si>
    <t>&lt;/head&gt;</t>
  </si>
  <si>
    <t>&lt;body&gt;</t>
  </si>
  <si>
    <t>&lt;a class="skip-link" href="#main"&gt;Zum Inhalt springen&lt;/a&gt;</t>
  </si>
  <si>
    <t>&lt;header class="site-header"&gt;</t>
  </si>
  <si>
    <t>&lt;div class="cover-img"&gt;</t>
  </si>
  <si>
    <t>&lt;/header&gt;</t>
  </si>
  <si>
    <t>&lt;div class="container header-inner"&gt;</t>
  </si>
  <si>
    <t>&lt;a href=".." class="brand" aria-label="Startseite"&gt;</t>
  </si>
  <si>
    <t>&lt;span class="brand-mark" aria-hidden="true"&gt;&lt;img src="../img/apple-touch-icon.png" style="border-radius: var(--radius-lg)"&gt;&lt;/span&gt;</t>
  </si>
  <si>
    <t>&lt;span class="brand-text"&gt;</t>
  </si>
  <si>
    <t>&lt;span class="brand-kicker"&gt;Karmel&lt;/span&gt;</t>
  </si>
  <si>
    <t>&lt;span class="brand-name"&gt;Online-Exerzitien&lt;/span&gt;</t>
  </si>
  <si>
    <t>&lt;/span&gt;</t>
  </si>
  <si>
    <t>&lt;/a&gt;</t>
  </si>
  <si>
    <t>&lt;div class="header-actions"&gt;</t>
  </si>
  <si>
    <t>&lt;nav class="language-switcher" aria-label="Sprachauswahl"&gt;</t>
  </si>
  <si>
    <t>&lt;a</t>
  </si>
  <si>
    <t>href="#"</t>
  </si>
  <si>
    <t>class="lang-link is-active"</t>
  </si>
  <si>
    <t>lang="de"</t>
  </si>
  <si>
    <t>aria-current="page"</t>
  </si>
  <si>
    <t>&gt;DE&lt;/a</t>
  </si>
  <si>
    <t>&gt;</t>
  </si>
  <si>
    <t>&lt;a href="https://retraites.carmes-paris.org/careme-2026/careme-2026-st-jean-de-la-croix/" class="lang-link" lang="fr"&gt;FR&lt;/a&gt;</t>
  </si>
  <si>
    <t>&lt;a href="#" class="lang-link" lang="en"&gt;EN&lt;/a&gt;</t>
  </si>
  <si>
    <t>&lt;/nav&gt;</t>
  </si>
  <si>
    <t>&lt;main id="main"&gt;</t>
  </si>
  <si>
    <t>&lt;div class="container hero-grid-1col"&gt;</t>
  </si>
  <si>
    <t>&lt;h1&gt;„Christus in der Tiefe des Herzens begegnen”&lt;/h1&gt;</t>
  </si>
  <si>
    <t>&lt;h2&gt;Fastenzeit 2026 mit dem heiligen Johannes vom Kreuz&lt;/h2&gt;</t>
  </si>
  <si>
    <t>&lt;li&gt;300. Jahrestag seiner Heiligsprechung (1726)&lt;/li&gt;</t>
  </si>
  <si>
    <t>&lt;li&gt;100. Jahrestag seiner Ernennung zum Kirchenlehrer (1926)&lt;/li&gt;</t>
  </si>
  <si>
    <t xml:space="preserve">dem heiligen Johannes vom Kreuz&lt;/p&gt; </t>
  </si>
  <si>
    <t xml:space="preserve">&lt;/p&gt; </t>
  </si>
  <si>
    <t>&lt;div class="image-zoom"&gt;</t>
  </si>
  <si>
    <t>&lt;/section&gt;</t>
  </si>
  <si>
    <t>&lt;section class="section section-intro"&gt;</t>
  </si>
  <si>
    <t>&lt;section class="section section-archive" aria-labelledby="archiv-titel" id="weeks-cards"&gt;</t>
  </si>
  <si>
    <t>&lt;p class="eyebrow"&gt;Anmeldung&lt;/p&gt;</t>
  </si>
  <si>
    <t>&lt;div class="container"&gt;</t>
  </si>
  <si>
    <t>&lt;h1&gt;Jetzt für die Online-Exerzitien anmelden&lt;/h1&gt;</t>
  </si>
  <si>
    <t>&lt;div class="section-head"&gt;</t>
  </si>
  <si>
    <t>&lt;p class="lead"&gt;</t>
  </si>
  <si>
    <t>&lt;p class="section-label"&gt;Impulse&lt;/p&gt;</t>
  </si>
  <si>
    <t>Erhalten Sie die Impulse der Exerzitien direkt per E-Mail und</t>
  </si>
  <si>
    <t>&lt;h2&gt;Die wöchentlichen Meditationen der Exerzitien&lt;/h2&gt;</t>
  </si>
  <si>
    <t>gehen Sie den Weg durch Advent oder Fastenzeit im Geist des</t>
  </si>
  <si>
    <t>Karmel.</t>
  </si>
  <si>
    <t>Die Impulse werden hier erscheinen, wenn sie veröffentlicht sind...</t>
  </si>
  <si>
    <t>&lt;div</t>
  </si>
  <si>
    <t>&lt;!-- wird per JavaScript gefüllt --&gt;</t>
  </si>
  <si>
    <t>class="form-placeholder"</t>
  </si>
  <si>
    <t>aria-label="Platzhalter für Anmeldeformular"</t>
  </si>
  <si>
    <t>&lt;p class="form-label"&gt;Anmeldeformular&lt;/p&gt;</t>
  </si>
  <si>
    <t>&lt;div class="embed-box"&gt;</t>
  </si>
  <si>
    <t>&lt;section class="section intro" id="abonniere"&gt;</t>
  </si>
  <si>
    <t>&lt;div id="mc_embed_signup_scroll"&gt;</t>
  </si>
  <si>
    <t>&lt;div class="mc-field-group"&gt;&lt;label for="mce-EMAIL"&gt;eMail Adresse&lt;span class="asterisk"&gt;* (erforderlich)&lt;/span&gt;&lt;/label&gt;</t>
  </si>
  <si>
    <t>&lt;input type="email" name="EMAIL" class="required email" id="mce-EMAIL" required="" value=""&gt;&lt;/div&gt;</t>
  </si>
  <si>
    <t>&lt;div class="mc-field-group"&gt;&lt;label for="mce-FNAME"&gt;Vorname &lt;/label&gt;</t>
  </si>
  <si>
    <t>&lt;input type="text" name="FNAME" class=" text" id="mce-FNAME" value=""&gt;&lt;/div&gt;</t>
  </si>
  <si>
    <t>&lt;div class="mc-field-group"&gt;&lt;label for="mce-LNAME"&gt;Nachname &lt;/label&gt;</t>
  </si>
  <si>
    <t>&lt;input type="text" name="LNAME" class=" text" id="mce-LNAME" value=""&gt;&lt;/div&gt;</t>
  </si>
  <si>
    <t>&lt;div class="mc-field-group input-group"&gt;</t>
  </si>
  <si>
    <t>&lt;strong&gt;Ich interessiere auch mich für:&lt;/strong&gt;</t>
  </si>
  <si>
    <t>&lt;ul class="interest-group" style="text-align: left;"&gt;</t>
  </si>
  <si>
    <t>&lt;li&gt;&lt;input type="checkbox" name="group[16777][64]" id="mce-group[16777]-16777-0" value=""&gt;&lt;label for="mce-group[16777]-16777-0"&gt;alle Veranstaltungen des Karmel in Österreich&lt;/label&gt;&lt;/li&gt;</t>
  </si>
  <si>
    <t>&lt;details class="option-group"&gt;&lt;summary&gt;Orte und Formate einschränken&lt;/summary&gt;</t>
  </si>
  <si>
    <t>&lt;ul&gt;</t>
  </si>
  <si>
    <t>&lt;li&gt;&lt;input type="checkbox" name="group[16777][512]" id="mce-group[16777]-16777-1" value="" &gt;&lt;label for="mce-group[16777]-16777-1"&gt;in Wien&lt;/label&gt;&lt;/li&gt;</t>
  </si>
  <si>
    <t>&lt;li&gt;&lt;input type="checkbox" name="group[16777][1024]" id="mce-group[16777]-16777-2" value="" &gt;&lt;label for="mce-group[16777]-16777-2"&gt;in Linz&lt;/label&gt;&lt;/li&gt;</t>
  </si>
  <si>
    <t>&lt;li&gt;&lt;input type="checkbox" name="group[16777][2048]" id="mce-group[16777]-16777-3" value="" &gt;&lt;label for="mce-group[16777]-16777-3"&gt;in Graz&lt;/label&gt;&lt;/li&gt;</t>
  </si>
  <si>
    <t>&lt;li&gt;&lt;input type="checkbox" name="group[16777][524288]" id="mce-group[16777]-16777-4" value=""&gt;&lt;label for="mce-group[16777]-16777-4"&gt;online&lt;/label&gt;&lt;/li&gt;</t>
  </si>
  <si>
    <t>&lt;/ul&gt;</t>
  </si>
  <si>
    <t>&lt;/details&gt;</t>
  </si>
  <si>
    <t>&lt;li&gt;&lt;input type="checkbox" name="group[16777][256]" id="mce-group[16777]-16777-5" value=""&gt;&lt;label for="mce-group[16777]-16777-5"&gt;Infos/Veranstaltungen der Edith Stein Gesellschaft&lt;/label&gt;&lt;/li&gt;</t>
  </si>
  <si>
    <t>&lt;details class="option-group"&gt;&lt;summary&gt;Novenen und Exerzitien auswählen&lt;/summary&gt;</t>
  </si>
  <si>
    <t>&lt;li&gt;&lt;input type="checkbox" name="group[16777][128]" id="mce-group[16777]-16777-6" value=""&gt;&lt;label for="mce-group[16777]-16777-6"&gt;Friedensgebet/Novene Hl. Edith Stein&lt;/label&gt;&lt;/li&gt;</t>
  </si>
  <si>
    <t>&lt;li style="display:none"&gt;&lt;input type="checkbox" name="group[16777][32]" id="mce-group[16777]-16777-7" value="" checked&gt;&lt;label for="mce-group[16777]-16777-7"&gt;Exerzitien Online in Advent/Fastenzeit&lt;/label&gt;&lt;/li&gt;</t>
  </si>
  <si>
    <t>&lt;li&gt;&lt;input type="checkbox" name="group[16777][16]" id="mce-group[16777]-16777-8" value=""&gt;&lt;label for="mce-group[16777]-16777-8"&gt;Novene Online zum Skapulierfest&lt;/label&gt;&lt;/li&gt;</t>
  </si>
  <si>
    <t>&lt;li&gt;&lt;input type="checkbox" name="group[16777][8192]" id="mce-group[16777]-16777-9" value=""&gt;&lt;label for="mce-group[16777]-16777-9"&gt;33 Schritte mit Maria zu Jesus&lt;/label&gt;&lt;/li&gt;</t>
  </si>
  <si>
    <t>&lt;li&gt;&lt;input type="checkbox" name="group[16777][4096]" id="mce-group[16777]-16777-10" value=""&gt;&lt;label for="mce-group[16777]-16777-10"&gt;Jesus-Gebet&lt;/label&gt;&lt;/li&gt;  </t>
  </si>
  <si>
    <t>&lt;!--  &lt;div class="card-links"&gt;</t>
  </si>
  <si>
    <t>&lt;a href="#angebote-cards"&gt;Mehr Informationen zur Angebote nach unten&lt;/a&gt;</t>
  </si>
  <si>
    <t>&lt;/div&gt; --&gt;</t>
  </si>
  <si>
    <t>&lt;div hidden=""&gt;&lt;input type="hidden" name="tags" value="8501"&gt;&lt;/div&gt;</t>
  </si>
  <si>
    <t>&lt;div class="mc-field-group"&gt;&lt;label for="mce-AUFMERKS01"&gt;Wie sind Sie auf uns aufmerksam geworden? &lt;/label&gt;</t>
  </si>
  <si>
    <t>&lt;select name="AUFMERKS01" class="" id="mce-AUFMERKS01"&gt;</t>
  </si>
  <si>
    <t>&lt;option value="Bitte auswahlen..."&gt;Bitte auswahlen...&lt;/option&gt;</t>
  </si>
  <si>
    <t>&lt;option value="Karmeliten in Wien"&gt;Karmeliten in Wien&lt;/option&gt;</t>
  </si>
  <si>
    <t>&lt;option value="Karmeliten in Linz"&gt;Karmeliten in Linz&lt;/option&gt;</t>
  </si>
  <si>
    <t>&lt;option value="Karmeliten in Graz"&gt;Karmeliten in Graz&lt;/option&gt;</t>
  </si>
  <si>
    <t>&lt;option value="Persönliche Empfehlung"&gt;Persönliche Empfehlung&lt;/option&gt;</t>
  </si>
  <si>
    <t>&lt;option value="Plakat"&gt;Plakat&lt;/option&gt;</t>
  </si>
  <si>
    <t>&lt;option value="Internetsuche"&gt;Internetsuche&lt;/option&gt;</t>
  </si>
  <si>
    <t>&lt;option value="YouTube"&gt;YouTube&lt;/option&gt;</t>
  </si>
  <si>
    <t>&lt;option value="Facebook"&gt;Facebook&lt;/option&gt;</t>
  </si>
  <si>
    <t>&lt;option value="Instagram"&gt;Instagram&lt;/option&gt;</t>
  </si>
  <si>
    <t>&lt;option value="Sonstiges – bitte unten angeben"&gt;Sonstiges – bitte unten angeben&lt;/option&gt;&lt;/select&gt;&lt;/div&gt;</t>
  </si>
  <si>
    <t>&lt;div class="mc-field-group"&gt;&lt;label for="mce-AUFMERKS02"&gt;Sonstiges – bitte hier angeben  &lt;/label&gt;</t>
  </si>
  <si>
    <t>&lt;input type="text" name="AUFMERKS02" class=" text" id="mce-AUFMERKS02" value=""&gt;</t>
  </si>
  <si>
    <t>&lt;div id="mce-responses" class="clear"&gt;</t>
  </si>
  <si>
    <t>&lt;div class="response" id="mce-error-response" style="display: none;"&gt;&lt;/div&gt;</t>
  </si>
  <si>
    <t>&lt;div class="response" id="mce-success-response" style="display: none;"&gt;&lt;/div&gt;</t>
  </si>
  <si>
    <t>&lt;/div&gt;&lt;div style="position: absolute; left: -5000px;" aria-hidden="true"&gt;&lt;input type="text" name="b_7c9d2aa0ecc1fde64fd44bc67_10430a5833" tabindex="-1" value=""&gt;&lt;/div&gt;</t>
  </si>
  <si>
    <t>&lt;div class="clear"&gt;&lt;input type="submit" name="subscribe" id="mc-embedded-subscribe" class="button" value="Anmelden"&gt;&lt;/div&gt;</t>
  </si>
  <si>
    <t>&lt;div class="card-links"&gt;</t>
  </si>
  <si>
    <t>&lt;a href="#datenschutz-wrap" id="datenschutz-toggle" aria-expanded="false" aria-controls="datenschutz-wrap"&gt;Datenschutz&lt;/a&gt;</t>
  </si>
  <si>
    <t>&lt;div id="datenschutz-wrap" hidden&gt;</t>
  </si>
  <si>
    <t>&lt;div&gt;</t>
  </si>
  <si>
    <t>&lt;p style="font-size: 14px;"&gt;Die Karmeliten in Österreich werden die Informationen, die Sie in diesem Formular angeben, dazu verwenden, mit Ihnen in Kontakt zu bleiben und Ihnen Informationen über Internet-Aktivitäten wie Exerzitien Online o.ä. zu übermitteln – je nach Ihrer Auswahl im obigen Formular.</t>
  </si>
  <si>
    <t>Sie können Ihre Meinung jederzeit ändern, indem Sie auf den Abbestellungs-Link klicken, den Sie in der Fußzeile jeder E-Mail, die Sie von uns erhalten, finden können, oder indem Sie uns unter online-exerzitien@karmel.at kontaktieren. Wir werden Ihre Informationen mit Sorgfalt und Respekt behandeln. Weitere Informationen zu unseren Datenschutzpraktiken finden Sie auf unserer Website www.karmel.at . Indem Sie unten klicken, erklären Sie sich damit einverstanden, dass wir Ihre Informationen in Übereinstimmung mit diesen Bedingungen verarbeiten dürfen.</t>
  </si>
  <si>
    <t>&lt;p style="font-size: 14px;"&gt;</t>
  </si>
  <si>
    <t>Wir nutzen Mailchimp als unsere Marketing-Plattform. Mit einem Klick auf den untenstehenden Button zum Abonnieren erklären Sie sich damit einverstanden, dass Ihre Daten zur Verarbeitung an Mailchimp übermittelt werden.</t>
  </si>
  <si>
    <t>&lt;a class="plain-link" href="https://mailchimp.com/legal/terms/" target="_blank" rel="noopener noreferrer" style="display:inline-block; font-weight:400; text-decoration:underline;"&gt;</t>
  </si>
  <si>
    <t>&lt;br&gt;Mehr über die Datenschutzpraktiken von Mailchimp erfahren Sie hier.</t>
  </si>
  <si>
    <t>&lt;/a&gt;&lt;/div&gt;&lt;/div&gt;&lt;/div&gt;</t>
  </si>
  <si>
    <t xml:space="preserve">Laden Sie auch Freunde und Bekannte ein! Sie können diese Seite weiterempfehlen oder auf &lt;a href="https://rundbrief.karmel.at"&gt;rundbrief.karmel.at&lt;/a&gt; verweisen.&lt;/p&gt; </t>
  </si>
  <si>
    <t>&lt;p&gt;Wenn Sie sich mit dem online-Anmeldeformular schwer tun oder Fehler auftreten, &lt;a href="mailto:secretarius@karmel.at?subject=Anmeldung%zum%Rundbrief"&gt;schreiben Sie uns ein eMail&lt;/a&gt;.&lt;/p&gt;</t>
  </si>
  <si>
    <t>&lt;p&gt;  Sie können die Exerzitien/Novenen und die anderen Aussendungen auch über die kostenlose App "Gott allein genügt!" für iPhone, Android und Windows Mobile verfolgen: &lt;a href="http://app.karmel.at"&gt;Homepage der App&lt;/a&gt; - dort finden Sie auch weitere Impulse und Infos.&lt;/p&gt;</t>
  </si>
  <si>
    <t>&lt;p&gt;So wünschen wir Ihnen ein gutes, frohes Lesen und Beten!</t>
  </si>
  <si>
    <t>&lt;section class="section section-features"&gt;</t>
  </si>
  <si>
    <t>&lt;h1&gt;Ablauf der Exerzitien&lt;/h1&gt;</t>
  </si>
  <si>
    <t>&lt;div class="cards-grid"&gt;</t>
  </si>
  <si>
    <t>&lt;article class="info-card"&gt;</t>
  </si>
  <si>
    <t>&lt;span class="step-index"&gt;1&lt;/span&gt;</t>
  </si>
  <si>
    <t>&lt;h3&gt;Mit Christus siege&lt;/h3&gt;</t>
  </si>
  <si>
    <t>&lt;/article&gt;</t>
  </si>
  <si>
    <t>&lt;span class="step-index"&gt;2&lt;/span&gt;</t>
  </si>
  <si>
    <t>&lt;h3&gt;Unser Herz – entflammt durch das Herz Christi&lt;/h3&gt;</t>
  </si>
  <si>
    <t>&lt;span class="step-index"&gt;3&lt;/span&gt;</t>
  </si>
  <si>
    <t>&lt;h3&gt;Wenn Eva wieder Maria wird&lt;/h3&gt;</t>
  </si>
  <si>
    <t>&lt;/main&gt;</t>
  </si>
  <si>
    <t>&lt;span class="step-index"&gt;4&lt;/span&gt;</t>
  </si>
  <si>
    <t>&lt;footer class="site-footer"&gt;</t>
  </si>
  <si>
    <t>&lt;h3&gt;Mit den Augen Mariens sehen&lt;/h3&gt;</t>
  </si>
  <si>
    <t>&lt;div class="container footer-inner"&gt;</t>
  </si>
  <si>
    <t>&lt;p&gt;© Teresianischer Karmel – Online-Exerzitien&lt;/p&gt;</t>
  </si>
  <si>
    <t>&lt;p&gt;Geistliche Begleitung für Advent und Fastenzeit&lt;/p&gt;</t>
  </si>
  <si>
    <t>&lt;span class="step-index"&gt;5&lt;/span&gt;</t>
  </si>
  <si>
    <t>&lt;h3&gt;Die Freiheit der Kinder Gottes wiedererlangen&lt;/h3&gt;</t>
  </si>
  <si>
    <t>&lt;/footer&gt;</t>
  </si>
  <si>
    <t>&lt;/body&gt;</t>
  </si>
  <si>
    <t>&lt;script type="module" src="../script.js"&gt;&lt;/script&gt;</t>
  </si>
  <si>
    <t>&lt;span class="step-index"&gt;6&lt;/span&gt;</t>
  </si>
  <si>
    <t>&lt;script type="module" src="./weeks_script.js"&gt;</t>
  </si>
  <si>
    <t>&lt;h3&gt;Die Liebeswunde am Kreuz&lt;/h3&gt;</t>
  </si>
  <si>
    <t>&lt;/script&gt;</t>
  </si>
  <si>
    <t> &lt;div class="archive-grid" id="weeks-grid"&gt;</t>
  </si>
  <si>
    <t>&lt;script type="module" src="./de-fs-26-script.js"&gt;</t>
  </si>
  <si>
    <t>&lt;img src="../img/website_banner.jpg" alt="Cover"&gt;</t>
  </si>
  <si>
    <t>&lt;img src="../img/FS26_header_DE.png" alt="Cover"&gt;</t>
  </si>
  <si>
    <t>2021-02-17</t>
  </si>
  <si>
    <t>2021-04-11</t>
  </si>
  <si>
    <t>2020-11-25</t>
  </si>
  <si>
    <t>2021-02-03</t>
  </si>
  <si>
    <t>2020-02-26</t>
  </si>
  <si>
    <t>2020-04-12</t>
  </si>
  <si>
    <t>2019-11-29</t>
  </si>
  <si>
    <t>2018-11-28</t>
  </si>
  <si>
    <t>2020-01-06</t>
  </si>
  <si>
    <t>2019-03-06</t>
  </si>
  <si>
    <t>2019-04-28</t>
  </si>
  <si>
    <t>2019-01-06</t>
  </si>
  <si>
    <t>2018-02-14</t>
  </si>
  <si>
    <t>2018-03-30</t>
  </si>
  <si>
    <t>2012-02-22</t>
  </si>
  <si>
    <t>2012-04-08</t>
  </si>
  <si>
    <t>2013-02-13</t>
  </si>
  <si>
    <t>2013-03-31</t>
  </si>
  <si>
    <t>2014-11-30</t>
  </si>
  <si>
    <t>2015-01-06</t>
  </si>
  <si>
    <t>2015-02-18</t>
  </si>
  <si>
    <t>2015-04-05</t>
  </si>
  <si>
    <t>2015-11-29</t>
  </si>
  <si>
    <t>2016-01-06</t>
  </si>
  <si>
    <t>2016-02-10</t>
  </si>
  <si>
    <t>2016-03-27</t>
  </si>
  <si>
    <t>2016-11-27</t>
  </si>
  <si>
    <t>2017-01-06</t>
  </si>
  <si>
    <t>2017-03-01</t>
  </si>
  <si>
    <t>2017-04-16</t>
  </si>
  <si>
    <t>2017-11-29</t>
  </si>
  <si>
    <t>2018-01-08</t>
  </si>
  <si>
    <t>rel="stylesheet"/&gt;</t>
  </si>
  <si>
    <t>    &lt;link rel="stylesheet" href="https://fonts.googleapis.com/css2?family=Material+Symbols+Outlined:opsz,wght,FILL,GRAD@20..48,100..700,0..1,-50..200&amp;icon_names=dictionary,folded_hands,movie_speaker,today,home,settings,settings_accessibility" /&gt;</t>
  </si>
  <si>
    <t>&lt;header class="moving-banner" aria-label="Decorative animated banner"&gt;
  &lt;div class="moving-banner__track"&gt;
    &lt;img src="../img/website_banner_wide_e.webp" alt=""&gt;
    &lt;img src="../img/website_banner_wide_e.webp" alt="" aria-hidden="true"&gt;
  &lt;/div&gt;
    &lt;/header&gt;
      &lt;nav class="header-inner"&gt;
        &lt;a href="#" class="brand" aria-label="Startseite"&gt;
          &lt;span class="brand-mark" aria-hidden="true"&gt;&lt;img src="../img/apple-touch-icon.png" style="border-radius: var(--radius-lg)"&gt;&lt;/span&gt;
          &lt;span class="brand-text"&gt;
            &lt;span class="brand-kicker"&gt;Teresianischer Karmel&lt;/span&gt;
            &lt;span class="brand-name"&gt;Online-Exerzitien&lt;/span&gt;
          &lt;/span&gt;
        &lt;/a&gt;
&lt;div class="header-actions"&gt;
            &lt;nav class="main-nav" id="main-navigation" aria-label="Hauptnavigation"&gt;
        &lt;ul&gt;
          &lt;li&gt;&lt;a href="../index.html"&gt;&lt;span class="material-symbols-outlined"&gt;home&lt;/span&gt;&lt;/a&gt;&lt;/li&gt;
          &lt;li&gt;&lt;a href="../index.html#signup-panel"&gt;Anmelden&lt;/a&gt;&lt;/li&gt;
          &lt;li&gt;&lt;a href="../index.html#aktuelleExerzitien"&gt;Aktuelle Exerzitien&lt;/a&gt;&lt;/li&gt;
          &lt;li&gt;&lt;a href="../index.html#saints-cards"&gt;Persönlichkeiten&lt;/a&gt;&lt;/li&gt;
          &lt;li&gt;&lt;a href="../index.html#archiv-cards"&gt;Archiv&lt;/a&gt;&lt;/li&gt;
          &lt;li&gt;&lt;a href="../index.html#faq"&gt;FAQ&lt;/a&gt;&lt;/li&gt;
          &lt;li&gt;&lt;a href="../index.html#weiterempfehlen"&gt;Weiterempfehlen&lt;/a&gt;&lt;/li&gt;
          &lt;li&gt;&lt;a href="../about.html"&gt;Über die Karmeliten&lt;/a&gt;&lt;/li&gt;
        &lt;/ul&gt;
                        &lt;details class="settings_accessibility"&gt;
                          &lt;summary class="settings_accessibility_trigger" aria-label="Accessiblity Settings"&gt;
                            &lt;span class="material-symbols-outlined" aria-label="true"&gt;
                            settings
                            &lt;/span&gt;  
                            &lt;span class="material-symbols-outlined" aria-label="true"&gt;
                            settings_accessibility
                            &lt;/span&gt;                        
                          &lt;/summary&gt;
                &lt;nav class="settings_accessibility_list" aria-label="Sprachauswahl"&gt;
                &lt;button class="font-decrease theme-toggle" type="button" data-font-decrease aria-label="Schriftgröße verkleinern"&gt;
          A-
        &lt;/button&gt;
          &lt;button class="font-reset theme-toggle" type="button" data-font-reset aria-label="Schriftgröße zurücksetzen"&gt;
          A
        &lt;/button&gt; 
        &lt;button class="font-increase theme-toggle" type="button" data-font-increase aria-label="Schriftgröße vergrößern"&gt;
          A+
        &lt;/button&gt;
        &lt;button class="theme-toggle" type="button" data-theme-toggle aria-label="Farbschema wechseln"&gt;
          &lt;span class="theme-toggle__icon" aria-hidden="true"&gt;◐&lt;/span&gt;
        &lt;/button&gt;
                &lt;/nav&gt;
        &lt;/details&gt;
      &lt;/nav&gt;
          &lt;button class="nav-toggle" type="button" aria-expanded="false" aria-controls="main-navigation" aria-label="Menü öffnen"&gt;
          &lt;span&gt;&lt;/span&gt;
          &lt;span&gt;&lt;/span&gt;
          &lt;span&gt;&lt;/span&gt;
        &lt;/button&gt;
  &lt;details class="language-menu"&gt;
    &lt;summary class="language-menu__trigger" aria-label="Sprache auswählen"&gt;
      &lt;span aria-hidden="true"&gt;🌐&lt;/span&gt;
      &lt;span&gt;DE&lt;/span&gt;
      &lt;span class="language-menu__current"&gt;Deutsch&lt;/span&gt;
    &lt;/summary&gt;
    &lt;nav class="language-menu__list" aria-label="Sprachauswahl"&gt;
      &lt;a href="https://retraites.carmes-paris.org/" lang="fr" hreflang="fr"&gt;
        &lt;span class="language-flag" aria-hidden="true"&gt;🇫🇷&lt;/span&gt;
        &lt;span class="language-code"&gt;FR&lt;/span&gt;
        &lt;span&gt;Français&lt;/span&gt;
      &lt;/a&gt;
      &lt;a href="../de/" lang="de" hreflang="de" aria-current="page"&gt;
        &lt;span class="language-flag" aria-hidden="true"&gt;🇦🇹🇩🇪&lt;/span&gt;
        &lt;span class="language-code"&gt;DE&lt;/span&gt;
        &lt;span&gt;Deutsch&lt;/span&gt;
        &lt;span class="language-check" aria-hidden="true"&gt;✓&lt;/span&gt;
      &lt;/a&gt;
      &lt;a href="../es/" lang="es" hreflang="es"&gt;
        &lt;span class="language-flag" aria-hidden="true"&gt;🇪🇸&lt;/span&gt;
        &lt;span class="language-code"&gt;ES&lt;/span&gt;
        &lt;span&gt;Español&lt;/span&gt;
      &lt;/a&gt;
      &lt;a href="../it/" lang="it" hreflang="it"&gt;
        &lt;span class="language-flag" aria-hidden="true"&gt;🇮🇹&lt;/span&gt;
        &lt;span class="language-code"&gt;IT&lt;/span&gt;
        &lt;span&gt;Italiano&lt;/span&gt;
      &lt;/a&gt;
      &lt;a href="../en/" lang="en" hreflang="en"&gt;
        &lt;span class="language-flag" aria-hidden="true"&gt;🇬🇧🇺🇸&lt;/span&gt;
        &lt;span class="language-code"&gt;EN&lt;/span&gt;
        &lt;span&gt;English&lt;/span&gt;
      &lt;/a&gt;
      &lt;a href="../pl/" lang="pl" hreflang="pl"&gt;
        &lt;span class="language-flag" aria-hidden="true"&gt;🇵🇱&lt;/span&gt;
        &lt;span class="language-code"&gt;PL&lt;/span&gt;
        &lt;span&gt;Polski&lt;/span&gt;
      &lt;/a&gt;
      &lt;a href="../ar/" lang="ar" hreflang="ar" dir="rtl"&gt;
        &lt;span class="language-flag" aria-hidden="true"&gt;🇱🇧🇸🇦&lt;/span&gt;
        &lt;span class="language-code"&gt;AR&lt;/span&gt;
        &lt;span&gt;العربية&lt;/span&gt;
      &lt;/a&gt;
      &lt;a href="../pt/" lang="pt" hreflang="pt"&gt;
        &lt;span class="language-flag" aria-hidden="true"&gt;🇵🇹&lt;/span&gt;
        &lt;span class="language-code"&gt;PT&lt;/span&gt;
        &lt;span&gt;Português&lt;/span&gt;
      &lt;/a&gt;
      &lt;a href="../zh/" lang="zh" hreflang="zh"&gt;
        &lt;span class="language-flag" aria-hidden="true"&gt;🇨🇳&lt;/span&gt;
        &lt;span class="language-code"&gt;ZH&lt;/span&gt;
        &lt;span&gt;中文&lt;/span&gt;
      &lt;/a&gt;
      &lt;a href="../cs/" lang="cs" hreflang="cs"&gt;
        &lt;span class="language-flag" aria-hidden="true"&gt;🇨🇿&lt;/span&gt;
        &lt;span class="language-code"&gt;CS&lt;/span&gt;
        &lt;span&gt;Čeština&lt;/span&gt;
      &lt;/a&gt;
      &lt;a href="../hr/" lang="hr" hreflang="hr"&gt;
        &lt;span class="language-flag" aria-hidden="true"&gt;🇭🇷&lt;/span&gt;
        &lt;span class="language-code"&gt;HR&lt;/span&gt;
        &lt;span&gt;Hrvatski&lt;/span&gt;
      &lt;/a&gt;
      &lt;a href="../hu/" lang="hu" hreflang="hu"&gt;
        &lt;span class="language-flag" aria-hidden="true"&gt;🇭🇺&lt;/span&gt;
        &lt;span class="language-code"&gt;HU&lt;/span&gt;
        &lt;span&gt;Magyar&lt;/span&gt;
      &lt;/a&gt;
      &lt;a href="../mt/" lang="mt" hreflang="mt"&gt;
        &lt;span class="language-flag" aria-hidden="true"&gt;🇲🇹&lt;/span&gt;
        &lt;span class="language-code"&gt;MT&lt;/span&gt;
        &lt;span&gt;Malti&lt;/span&gt;
      &lt;/a&gt;
      &lt;a href="../nl/" lang="nl" hreflang="nl"&gt;
        &lt;span class="language-flag" aria-hidden="true"&gt;🇳🇱&lt;/span&gt;
        &lt;span class="language-code"&gt;NL&lt;/span&gt;
        &lt;span&gt;Nederlands&lt;/span&gt;
      &lt;/a&gt;
      &lt;a href="../ro/" lang="ro" hreflang="ro"&gt;
        &lt;span class="language-flag" aria-hidden="true"&gt;🇷🇴&lt;/span&gt;
        &lt;span class="language-code"&gt;RO&lt;/span&gt;
        &lt;span&gt;Română&lt;/span&gt;
      &lt;/a&gt;
      &lt;a href="../vi/" lang="vi" hreflang="vi"&gt;
        &lt;span class="language-flag" aria-hidden="true"&gt;🇻🇳&lt;/span&gt;
        &lt;span class="language-code"&gt;VI&lt;/span&gt;
        &lt;span&gt;Tiếng Việt&lt;/span&gt;
      &lt;/a&gt;
    &lt;/nav&gt;
  &lt;/details&gt;
&lt;/div&gt;
      &lt;/nav&gt;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</si>
</sst>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Aptos Narrow"/>
      <family val="2"/>
      <charset val="1"/>
    </font>
    <font>
      <sz val="11"/>
      <color rgb="FF808080"/>
      <name val="Consolas"/>
      <family val="3"/>
      <charset val="1"/>
    </font>
    <font>
      <sz val="11"/>
      <color rgb="FF7EE787"/>
      <name val="Consolas"/>
      <family val="3"/>
      <charset val="1"/>
    </font>
    <font>
      <sz val="11"/>
      <color rgb="FFBBBEBF"/>
      <name val="Consolas"/>
      <family val="3"/>
      <charset val="1"/>
    </font>
    <font>
      <sz val="11"/>
      <color rgb="FF9CDCFE"/>
      <name val="Consolas"/>
      <family val="3"/>
      <charset val="1"/>
    </font>
    <font>
      <sz val="11"/>
      <color rgb="FFA5D6FF"/>
      <name val="Consolas"/>
      <family val="3"/>
      <charset val="1"/>
    </font>
    <font>
      <sz val="11"/>
      <color rgb="FFFF7B72"/>
      <name val="Consolas"/>
      <family val="3"/>
      <charset val="1"/>
    </font>
    <font>
      <sz val="11"/>
      <color rgb="FF8B949E"/>
      <name val="Consolas"/>
      <family val="3"/>
      <charset val="1"/>
    </font>
    <font>
      <sz val="11"/>
      <color rgb="FFD4D4D4"/>
      <name val="Consolas"/>
      <family val="3"/>
      <charset val="1"/>
    </font>
  </fonts>
  <fills count="5">
    <fill>
      <patternFill patternType="none"/>
    </fill>
    <fill>
      <patternFill patternType="gray125"/>
    </fill>
    <fill>
      <patternFill patternType="solid">
        <fgColor theme="9" tint="0.79989013336588644"/>
        <bgColor rgb="FFCCFFFF"/>
      </patternFill>
    </fill>
    <fill>
      <patternFill patternType="solid">
        <fgColor rgb="FFFFC000"/>
        <bgColor rgb="FFFF9900"/>
      </patternFill>
    </fill>
    <fill>
      <patternFill patternType="solid">
        <fgColor rgb="FF121314"/>
        <bgColor rgb="FF000000"/>
      </patternFill>
    </fill>
  </fills>
  <borders count="1">
    <border>
      <left/>
      <right/>
      <top/>
      <bottom/>
      <diagonal/>
    </border>
  </borders>
  <cellStyleXfs count="1">
    <xf numFmtId="0" fontId="0" fillId="0" borderId="0"/>
  </cellStyleXfs>
  <cellXfs count="13">
    <xf numFmtId="0" fontId="0" fillId="0" borderId="0" xfId="0"/>
    <xf numFmtId="0" fontId="0" fillId="2" borderId="0" xfId="0" applyFill="1"/>
    <xf numFmtId="0" fontId="0" fillId="3" borderId="0" xfId="0" applyFill="1"/>
    <xf numFmtId="0" fontId="1" fillId="0" borderId="0" xfId="0" applyFont="1" applyAlignment="1">
      <alignment vertical="center"/>
    </xf>
    <xf numFmtId="0" fontId="3" fillId="0" borderId="0" xfId="0" applyFont="1" applyAlignment="1">
      <alignment vertical="center"/>
    </xf>
    <xf numFmtId="0" fontId="0" fillId="4" borderId="0" xfId="0" applyFill="1" applyAlignment="1">
      <alignment vertical="center"/>
    </xf>
    <xf numFmtId="0" fontId="0" fillId="2" borderId="0" xfId="0" applyFill="1" applyAlignment="1">
      <alignment wrapText="1"/>
    </xf>
    <xf numFmtId="0" fontId="0" fillId="0" borderId="0" xfId="0" applyAlignment="1">
      <alignment wrapText="1"/>
    </xf>
    <xf numFmtId="0" fontId="7" fillId="0" borderId="0" xfId="0" applyFont="1" applyAlignment="1">
      <alignment vertical="center"/>
    </xf>
    <xf numFmtId="0" fontId="8" fillId="0" borderId="0" xfId="0" applyFont="1" applyAlignment="1">
      <alignment vertical="center"/>
    </xf>
    <xf numFmtId="0" fontId="0" fillId="0" borderId="0" xfId="0" quotePrefix="1"/>
    <xf numFmtId="14" fontId="0" fillId="0" borderId="0" xfId="0" quotePrefix="1" applyNumberFormat="1"/>
    <xf numFmtId="49" fontId="0" fillId="0" borderId="0" xfId="0" applyNumberFormat="1"/>
  </cellXfs>
  <cellStyles count="1">
    <cellStyle name="Standard"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EBF"/>
      <rgbColor rgb="FF808080"/>
      <rgbColor rgb="FF9999FF"/>
      <rgbColor rgb="FF993366"/>
      <rgbColor rgb="FFFFFFCC"/>
      <rgbColor rgb="FF9CDCFE"/>
      <rgbColor rgb="FF660066"/>
      <rgbColor rgb="FFFF7B72"/>
      <rgbColor rgb="FF0066CC"/>
      <rgbColor rgb="FFD4D4D4"/>
      <rgbColor rgb="FF000080"/>
      <rgbColor rgb="FFFF00FF"/>
      <rgbColor rgb="FFFFFF00"/>
      <rgbColor rgb="FF00FFFF"/>
      <rgbColor rgb="FF800080"/>
      <rgbColor rgb="FF800000"/>
      <rgbColor rgb="FF008080"/>
      <rgbColor rgb="FF0000FF"/>
      <rgbColor rgb="FF00CCFF"/>
      <rgbColor rgb="FFCCFFFF"/>
      <rgbColor rgb="FFD9F2D0"/>
      <rgbColor rgb="FFFFFF99"/>
      <rgbColor rgb="FFA5D6FF"/>
      <rgbColor rgb="FFFF99CC"/>
      <rgbColor rgb="FFCC99FF"/>
      <rgbColor rgb="FFFFCC99"/>
      <rgbColor rgb="FF3366FF"/>
      <rgbColor rgb="FF7EE787"/>
      <rgbColor rgb="FF99CC00"/>
      <rgbColor rgb="FFFFC000"/>
      <rgbColor rgb="FFFF9900"/>
      <rgbColor rgb="FFFF6600"/>
      <rgbColor rgb="FF666699"/>
      <rgbColor rgb="FF8B949E"/>
      <rgbColor rgb="FF003366"/>
      <rgbColor rgb="FF339966"/>
      <rgbColor rgb="FF121314"/>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xerzitien_katalog" displayName="exerzitien_katalog" ref="A1:L30" totalsRowShown="0">
  <autoFilter ref="A1:L30" xr:uid="{00000000-0009-0000-0100-000001000000}"/>
  <tableColumns count="12">
    <tableColumn id="1" xr3:uid="{00000000-0010-0000-0000-000001000000}" name="Column1.id"/>
    <tableColumn id="2" xr3:uid="{00000000-0010-0000-0000-000002000000}" name="Column1.art"/>
    <tableColumn id="3" xr3:uid="{00000000-0010-0000-0000-000003000000}" name="Column1.year"/>
    <tableColumn id="4" xr3:uid="{00000000-0010-0000-0000-000004000000}" name="Column1.slug"/>
    <tableColumn id="5" xr3:uid="{00000000-0010-0000-0000-000005000000}" name="Column1.heiliger"/>
    <tableColumn id="6" xr3:uid="{00000000-0010-0000-0000-000006000000}" name="Column1.start_datum"/>
    <tableColumn id="7" xr3:uid="{00000000-0010-0000-0000-000007000000}" name="Column1.end_datum"/>
    <tableColumn id="8" xr3:uid="{00000000-0010-0000-0000-000008000000}" name="Column1.folder_path"/>
    <tableColumn id="9" xr3:uid="{00000000-0010-0000-0000-000009000000}" name="Column1.thema.de"/>
    <tableColumn id="10" xr3:uid="{00000000-0010-0000-0000-00000A000000}" name="Column1.titel.de"/>
    <tableColumn id="11" xr3:uid="{00000000-0010-0000-0000-00000B000000}" name="Column1.zusammenfassung.de"/>
    <tableColumn id="12" xr3:uid="{00000000-0010-0000-0000-00000C000000}" name="Column1.header_img.de"/>
  </tableColumns>
  <tableStyleInfo showFirstColumn="0" showLastColumn="0" showRowStripes="1" showColumnStripes="0"/>
</table>
</file>

<file path=xl/theme/theme1.xml><?xml version="1.0" encoding="utf-8"?>
<a:theme xmlns:a="http://schemas.openxmlformats.org/drawingml/2006/main" name="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G248"/>
  <sheetViews>
    <sheetView topLeftCell="K27" zoomScaleNormal="100" workbookViewId="0">
      <selection activeCell="R218" sqref="R183:W218"/>
    </sheetView>
  </sheetViews>
  <sheetFormatPr baseColWidth="10" defaultColWidth="10.7109375" defaultRowHeight="15" x14ac:dyDescent="0.25"/>
  <cols>
    <col min="1" max="3" width="20.140625" customWidth="1"/>
    <col min="4" max="4" width="28.42578125" customWidth="1"/>
    <col min="5" max="5" width="109.42578125" style="1" customWidth="1"/>
    <col min="6" max="6" width="31.140625" style="2" customWidth="1"/>
    <col min="7" max="7" width="39.140625" customWidth="1"/>
    <col min="8" max="8" width="30.42578125" customWidth="1"/>
    <col min="9" max="10" width="255.7109375" bestFit="1" customWidth="1"/>
    <col min="11" max="11" width="14.42578125" customWidth="1"/>
    <col min="12" max="12" width="15.7109375" customWidth="1"/>
    <col min="13" max="13" width="27.7109375" customWidth="1"/>
    <col min="14" max="14" width="21.42578125" customWidth="1"/>
    <col min="17" max="17" width="18.42578125" customWidth="1"/>
  </cols>
  <sheetData>
    <row r="2" spans="2:33" x14ac:dyDescent="0.25">
      <c r="E2" s="1" t="s">
        <v>634</v>
      </c>
      <c r="F2" s="2" t="s">
        <v>635</v>
      </c>
      <c r="G2" t="s">
        <v>636</v>
      </c>
      <c r="H2" t="s">
        <v>3</v>
      </c>
    </row>
    <row r="3" spans="2:33" x14ac:dyDescent="0.25">
      <c r="B3" t="str">
        <f>'exerzitien-katalog'!I2</f>
        <v>Fastenzeit 2026 mit dem heiligen Johannes vom Kreuz</v>
      </c>
      <c r="C3" t="str">
        <f t="array" ref="C3">INDEX('exerzitien-katalog'!$I:$I,COLUMN(C3)+1)</f>
        <v>Fastenzeit 2025 mit Thérèse von Lisieux und das Östergeheimnis</v>
      </c>
      <c r="D3" t="str">
        <f t="array" ref="D3">INDEX('exerzitien-katalog'!$I:$I,COLUMN(D3)+1)</f>
        <v>Advent 2024 mit der Hl. Thérèse vom Kind Jesu</v>
      </c>
      <c r="E3" s="1" t="str">
        <f t="array" ref="E3">INDEX('exerzitien-katalog'!$I:$I,COLUMN(E3)+1)</f>
        <v>Fastenzeit 2024 mit Pater Jacuqes von Jesus (1900-1945)</v>
      </c>
      <c r="F3" s="2" t="str">
        <f t="array" ref="F3">INDEX('exerzitien-katalog'!$I:$I,COLUMN(F3)+1)</f>
        <v>Advent 2023 mit der heiligen Teresa de Los Andes (1900-1920)</v>
      </c>
      <c r="G3" t="str">
        <f t="array" ref="G3">INDEX('exerzitien-katalog'!$I:$I,COLUMN(G3)+1)</f>
        <v>Fastenzeit 2023: Das Gebet</v>
      </c>
      <c r="H3" t="str">
        <f t="array" ref="H3">INDEX('exerzitien-katalog'!$I:$I,COLUMN(H3)+1)</f>
        <v>Advent 2022 in der Schule der Heiligen des Karmel</v>
      </c>
      <c r="I3" t="str">
        <f t="array" ref="I3">INDEX('exerzitien-katalog'!$I:$I,COLUMN(I3)+1)</f>
        <v>Fastenzeit 2022: Gottes Barmherzigkeit leben mit den Heiligen des Karmel</v>
      </c>
      <c r="J3" t="str">
        <f t="array" ref="J3">INDEX('exerzitien-katalog'!$I:$I,COLUMN(J3)+1)</f>
        <v>Advent 2021 mit der hl. Thérèse von Lisieux und Maria Montessori</v>
      </c>
      <c r="K3" t="str">
        <f t="array" ref="K3">INDEX('exerzitien-katalog'!$I:$I,COLUMN(K3)+1)</f>
        <v>Fastenzeit 2021 mit der Heilige Teresa von Ávila</v>
      </c>
      <c r="L3" t="str">
        <f t="array" ref="L3">INDEX('exerzitien-katalog'!$I:$I,COLUMN(L3)+1)</f>
        <v>Advent 2020 mit der "Schönen Acarie" (1566-1618)</v>
      </c>
      <c r="M3" t="str">
        <f t="array" ref="M3">INDEX('exerzitien-katalog'!$I:$I,COLUMN(M3)+1)</f>
        <v>Fastenzeit 2020 mit dem Hl. Johannes vom Kreuz</v>
      </c>
      <c r="N3" t="str">
        <f t="array" ref="N3">INDEX('exerzitien-katalog'!$I:$I,COLUMN(N3)+1)</f>
        <v>Advent 2019 mit Unserer Lieben Frau vom Berge Karmel</v>
      </c>
      <c r="O3" t="str">
        <f t="array" ref="O3">INDEX('exerzitien-katalog'!$I:$I,COLUMN(O3)+1)</f>
        <v>Fastenzeit 2019 mit Edith Stein Hl. Teresa-Benedicta vom Kreuz</v>
      </c>
      <c r="P3" t="str">
        <f t="array" ref="P3">INDEX('exerzitien-katalog'!$I:$I,COLUMN(P3)+1)</f>
        <v>Advent 2018 mit Unserer Lieben Frau vom Berge Karmel</v>
      </c>
      <c r="Q3" t="str">
        <f t="array" ref="Q3">INDEX('exerzitien-katalog'!$I:$I,COLUMN(Q3)+1)</f>
        <v>Fastenzeit 2018 mit Br. Lorenz von der Auferstehung</v>
      </c>
      <c r="R3" t="str">
        <f t="array" ref="R3">INDEX('exerzitien-katalog'!$I:$I,COLUMN(R3)+1)</f>
        <v>Advent 2017 mit dem hl. Josef</v>
      </c>
      <c r="S3" t="str">
        <f t="array" ref="S3">INDEX('exerzitien-katalog'!$I:$I,COLUMN(S3)+1)</f>
        <v>KarmelExerzitien Online in der Fastenzeit 2017</v>
      </c>
      <c r="T3" t="str">
        <f t="array" ref="T3">INDEX('exerzitien-katalog'!$I:$I,COLUMN(T3)+1)</f>
        <v>Advent 2016 mit dem Sel. Maria-Eugen vom Kinde Jesus OCD</v>
      </c>
      <c r="U3" t="str">
        <f t="array" ref="U3">INDEX('exerzitien-katalog'!$I:$I,COLUMN(U3)+1)</f>
        <v>Fastenzeit 2016 mit dem heiligen Elija</v>
      </c>
      <c r="V3" s="1" t="str">
        <f t="array" ref="V3">INDEX('exerzitien-katalog'!$I:$I,COLUMN(V3)+1)</f>
        <v>Advent 2015</v>
      </c>
      <c r="W3" s="2" t="str">
        <f t="array" ref="W3">INDEX('exerzitien-katalog'!$I:$I,COLUMN(W3)+1)</f>
        <v>Fastenzeit 2015 mit Teresa von Avila</v>
      </c>
      <c r="X3" t="str">
        <f t="array" ref="X3">INDEX('exerzitien-katalog'!$I:$I,COLUMN(X3)+1)</f>
        <v>Licht in der Finsternis werden mit dem Karmeliten P. Jacques von Jesus OCD (1900-1945)</v>
      </c>
      <c r="Y3" t="str">
        <f t="array" ref="Y3">INDEX('exerzitien-katalog'!$I:$I,COLUMN(Y3)+1)</f>
        <v>Fastenzeit 2014</v>
      </c>
      <c r="Z3" t="str">
        <f t="array" ref="Z3">INDEX('exerzitien-katalog'!$I:$I,COLUMN(Z3)+1)</f>
        <v>Advent 2013: Vorbereitung auf Weihnachten mit Edith Stein</v>
      </c>
      <c r="AA3" t="str">
        <f t="array" ref="AA3">INDEX('exerzitien-katalog'!$I:$I,COLUMN(AA3)+1)</f>
        <v>Fastenzeit 2013 mit der Hl. Edith Stein</v>
      </c>
      <c r="AB3">
        <f t="array" ref="AB3">INDEX('exerzitien-katalog'!$I:$I,COLUMN(AB3)+1)</f>
        <v>0</v>
      </c>
      <c r="AC3" t="str">
        <f t="array" ref="AC3">INDEX('exerzitien-katalog'!$I:$I,COLUMN(AC3)+1)</f>
        <v>Fastenzeit 2012 mit der Hl. Edith Stein</v>
      </c>
      <c r="AD3">
        <f t="array" ref="AD3">INDEX('exerzitien-katalog'!$I:$I,COLUMN(AD3)+1)</f>
        <v>0</v>
      </c>
      <c r="AE3">
        <f t="array" ref="AE3">INDEX('exerzitien-katalog'!$I:$I,COLUMN(AE3)+1)</f>
        <v>0</v>
      </c>
    </row>
    <row r="4" spans="2:33" x14ac:dyDescent="0.25">
      <c r="B4" t="str">
        <f>'exerzitien-katalog'!J2</f>
        <v>Christus in der Tiefe des Herzens begegnen</v>
      </c>
      <c r="C4" t="str">
        <f t="array" ref="C4">INDEX('exerzitien-katalog'!$J:$J,COLUMN(C4)+1)</f>
        <v>„Aus Liebe sterben, das ist meine Hoffnung“</v>
      </c>
      <c r="D4" t="str">
        <f t="array" ref="D4">INDEX('exerzitien-katalog'!$J:$J,COLUMN(D4)+1)</f>
        <v>„Kind sein vor Gott“</v>
      </c>
      <c r="E4" s="1" t="str">
        <f t="array" ref="E4">INDEX('exerzitien-katalog'!$J:$J,COLUMN(E4)+1)</f>
        <v>Durch das Kreuz zum Licht</v>
      </c>
      <c r="F4" s="2" t="str">
        <f t="array" ref="F4">INDEX('exerzitien-katalog'!$J:$J,COLUMN(F4)+1)</f>
        <v>Leben in der Göttlichen Freude</v>
      </c>
      <c r="G4" t="str">
        <f t="array" ref="G4">INDEX('exerzitien-katalog'!$J:$J,COLUMN(G4)+1)</f>
        <v>Das Gebet - ein Weg, unsere Berufung als Kind Gottes zu leben</v>
      </c>
      <c r="H4" t="str">
        <f t="array" ref="H4">INDEX('exerzitien-katalog'!$J:$J,COLUMN(H4)+1)</f>
        <v>Die Gegenwart Gottes in unserem Leben erfahren</v>
      </c>
      <c r="I4" t="str">
        <f t="array" ref="I4">INDEX('exerzitien-katalog'!$J:$J,COLUMN(I4)+1)</f>
        <v>Die Barmherzigkeit Gottes leben</v>
      </c>
      <c r="J4" t="str">
        <f t="array" ref="J4">INDEX('exerzitien-katalog'!$J:$J,COLUMN(J4)+1)</f>
        <v>"Die Kindschaft der Seele" Unser Morgenrot Wecken</v>
      </c>
      <c r="K4" t="str">
        <f t="array" ref="K4">INDEX('exerzitien-katalog'!$J:$J,COLUMN(K4)+1)</f>
        <v>Tretet ein in die Burg Eurer Seele...</v>
      </c>
      <c r="L4" t="str">
        <f t="array" ref="L4">INDEX('exerzitien-katalog'!$J:$J,COLUMN(L4)+1)</f>
        <v>Glauben an das Unmögliche</v>
      </c>
      <c r="M4" t="str">
        <f t="array" ref="M4">INDEX('exerzitien-katalog'!$J:$J,COLUMN(M4)+1)</f>
        <v>die Liebe wagen...</v>
      </c>
      <c r="N4" t="str">
        <f t="array" ref="N4">INDEX('exerzitien-katalog'!$J:$J,COLUMN(N4)+1)</f>
        <v>Am Gnadenleben Mariens teilhaben</v>
      </c>
      <c r="O4" t="str">
        <f t="array" ref="O4">INDEX('exerzitien-katalog'!$J:$J,COLUMN(O4)+1)</f>
        <v>Der Auferstehung entgegen mit Edith Stein Hl. Teresa-Benedicta vom Kreuz</v>
      </c>
      <c r="P4" t="str">
        <f t="array" ref="P4">INDEX('exerzitien-katalog'!$J:$J,COLUMN(P4)+1)</f>
        <v>Den Weg des Herrn vorbereiten</v>
      </c>
      <c r="Q4" t="str">
        <f t="array" ref="Q4">INDEX('exerzitien-katalog'!$J:$J,COLUMN(Q4)+1)</f>
        <v>Sich von Gott formen lassen</v>
      </c>
      <c r="R4" t="str">
        <f t="array" ref="R4">INDEX('exerzitien-katalog'!$J:$J,COLUMN(R4)+1)</f>
        <v>Ite ad Joseph</v>
      </c>
      <c r="S4" t="str">
        <f t="array" ref="S4">INDEX('exerzitien-katalog'!$J:$J,COLUMN(S4)+1)</f>
        <v>Sich auf Ostern vorbereiten mit Elisabeth von der Dreifaltigkeit</v>
      </c>
      <c r="T4">
        <f t="array" ref="T4">INDEX('exerzitien-katalog'!$J:$J,COLUMN(T4)+1)</f>
        <v>0</v>
      </c>
      <c r="U4" t="str">
        <f t="array" ref="U4">INDEX('exerzitien-katalog'!$J:$J,COLUMN(U4)+1)</f>
        <v>Vor dem Angesicht Gottes stehen</v>
      </c>
      <c r="V4" s="1" t="str">
        <f t="array" ref="V4">INDEX('exerzitien-katalog'!$J:$J,COLUMN(V4)+1)</f>
        <v>Mit Louis und Zélie Martin – Eltern der hl. Thérèse von Lisieux</v>
      </c>
      <c r="W4" s="2" t="str">
        <f t="array" ref="W4">INDEX('exerzitien-katalog'!$J:$J,COLUMN(W4)+1)</f>
        <v>Auf dem Weg der Umkehr mit der hl. Teresa von Avila</v>
      </c>
      <c r="X4" t="str">
        <f t="array" ref="X4">INDEX('exerzitien-katalog'!$J:$J,COLUMN(X4)+1)</f>
        <v>Ich will Gott ausstrahlen...</v>
      </c>
      <c r="Y4" t="str">
        <f t="array" ref="Y4">INDEX('exerzitien-katalog'!$J:$J,COLUMN(Y4)+1)</f>
        <v>Der Auferstehung entgegen mit Edith Stein Hl. Teresa-Benedicta vom Kreuz</v>
      </c>
      <c r="Z4" t="str">
        <f t="array" ref="Z4">INDEX('exerzitien-katalog'!$J:$J,COLUMN(Z4)+1)</f>
        <v>Gott ward ein Menschenkind, damit die Menschen Gotteskinder werden. (Hl. Edith Stein)</v>
      </c>
      <c r="AA4" t="str">
        <f t="array" ref="AA4">INDEX('exerzitien-katalog'!$J:$J,COLUMN(AA4)+1)</f>
        <v>Der Auferstehung entgegen mit Edith Stein Hl. Teresa-Benedicta vom Kreuz</v>
      </c>
      <c r="AB4">
        <f t="array" ref="AB4">INDEX('exerzitien-katalog'!$J:$J,COLUMN(AB4)+1)</f>
        <v>0</v>
      </c>
      <c r="AC4" t="str">
        <f t="array" ref="AC4">INDEX('exerzitien-katalog'!$J:$J,COLUMN(AC4)+1)</f>
        <v>Mit der heiligen Teresa-Benedicta vom Kreuz (Edith Stein)</v>
      </c>
      <c r="AD4">
        <f t="array" ref="AD4">INDEX('exerzitien-katalog'!$J:$J,COLUMN(AD4)+1)</f>
        <v>0</v>
      </c>
      <c r="AE4">
        <f t="array" ref="AE4">INDEX('exerzitien-katalog'!$J:$J,COLUMN(AE4)+1)</f>
        <v>0</v>
      </c>
    </row>
    <row r="5" spans="2:33" x14ac:dyDescent="0.25">
      <c r="B5" t="str">
        <f>'exerzitien-katalog'!K2</f>
        <v>Wir bieten Ihnen Online-Exerzitien in der Schule des heiligen Johannes vom Kreuz an. In diesen Exerzitien werden wir im Lichte der Evangelien unsere Beziehung zu Jesus vertiefen, um im Heiligen Geist wieder zur Vertrautheit mit Ihm und mit Gott Vater in der Tiefe unseres Herzens zu gelangen. Es wird ein Weg der inneren Befreiung sein, auf dem uns Johannes vom Kreuz zuverlässig und sicher führen wird. Er wird uns in einer zunehmend auf das Äußere hin orientierten Welt lehren, wieder in unser tiefstes Inneres einzugehen, wo Christus, der Bräutigam der Kirche, uns begegnen und reinigen will, damit wir mit Ihm im Feuer des Heiligen Geistes zu den innig geliebten Kindern des Vaters werden.</v>
      </c>
      <c r="C5" t="str">
        <f t="array" ref="C5">INDEX('exerzitien-katalog'!$K:$K,COLUMN(C5)+1)</f>
        <v>Die heilige Thérèse von Lisieux wird uns in sechs Schritten zur Osterfreude führen: 
-   1. Sonntag: „Selig jener, der würdig erachtet wurde, Anfechtung zu erleiden!“ 
-   2. Sonntag: „O [Heiliges] Antlitz, schöner als die Lilien und Rosen im Frühling!“ 
-   3. Sonntag: „Ich fühlte ein großes Verlangen, für die Bekehrung der Sünder zu arbeiten“
 -   4. Sonntag: „Hätte ich auch alle begehbaren Sünden auf dem Gewissen ...“ 
-   5. Sonntag: „Eine arme Sünderin wie ich“ 
-   Karwoche: „Schau Jesus ins Antlitz ... Da wirst du sehen, wie er uns liebt!“ 
-   Ostern: „Dies ist mein Himmel ... dies ist meine Bestimmung: Leben aus Liebe!!!...“ Jeden Freitag erhalten Sie eine E-Mail-Nachricht: Dort können Sie den Text herunterladen (in drei Formaten: PDF, Word, PDF im Handyformat) oder die Audio-Version als Podcast anhören. Der Inhalt der Betrachtung wird vom Sonntagsevangelium ausgehen und uns in die Schule der heiligen Thérèse von Lisieux führen. Ein Fastenkalender (Zitate und Bilder) wird Sie außerdem jeden Tag, von Montag bis Samstag, durch geistliche Impulse inspirieren.</v>
      </c>
      <c r="D5" t="str">
        <f t="array" ref="D5">INDEX('exerzitien-katalog'!$K:$K,COLUMN(D5)+1)</f>
        <v>Diese Online-Exerzitien wollen in den Geist und das Gebet der Jüngsten unter allen Kirchenlehrern einführen, deren Geburtstag sich letztes Jahr zum 150. Mal jährte: die hl. Thérèse vom Kinde Jesus (von Lisieux). Wir werden dies tun, indem wir uns in erster Linie auf die Schriften der Heiligen stützen, die uns ein umfangreiches schriftliches Werk hinterlassen hat. Doch diese erklären nicht alles. Thérèses fulminante Berufung kann nur vor dem Hintergrund des unergründlichen Geheimnisses, von dem ihr ganzes Leben Zeugnis ablegt, vollständig verstanden werden: dem der göttlichen Barmherzigkeit.</v>
      </c>
      <c r="E5" s="1" t="str">
        <f t="array" ref="E5">INDEX('exerzitien-katalog'!$K:$K,COLUMN(E5)+1)</f>
        <v>„Durch das Kreuz zum Licht“: So lautet der Anfang der Worte, die Pater Jacques von Jesus im März 1945 im Konzentrationslager Gusen (Österreich) mit Bleistift in ein Notizbuch kritzelte. Sie haben den Wert eines geistlichen Testaments. Dieser bemerkenswerte Erzieher, der im Januar 1944 im Karmeliterkloster von Avon von der Gestapo verhaftet worden war (ein Vorfall, der in dem Film „Auf Wiedersehen, Kinder“  von Louis Malle aufgegriffen wird) und dessen Seligsprechungsprozess im Gange ist, wird uns einen wirkkräftigen Fastenweg aufzeigen, um dem Licht Christi entgegenzugehen.</v>
      </c>
      <c r="F5" s="2" t="str">
        <f t="array" ref="F5">INDEX('exerzitien-katalog'!$K:$K,COLUMN(F5)+1)</f>
        <v>„Gott ist unendliche Freude." Dieser berühmte Ausspruch der heiligen Teresa de Los Andes (1900-1920), der ersten Chilenin, die heiliggesprochen wurde, ist das Leitmotiv für diese Exerzitien im Advent 2023: Ja, Gott ist sehr viel liebenswürdiger, schöner und liebevoller als wir im Allgemeinen denken! Teresa wird uns dies erkennen lassen, indem sie uns das Beispiel einer liebenswürdigen Heiligkeit vor Augen führt und uns leicht verständliche Ratschläge gibt, damit auch wir unser Leben in der göttlichen Freude verankern können. In ihrer Schule werden wir erkennen, dass wir – an der Seite des göttlichen Neugeborenen – zu einer frohen Heiligkeit gelangen können …</v>
      </c>
      <c r="G5" t="str">
        <f t="array" ref="G5">INDEX('exerzitien-katalog'!$K:$K,COLUMN(G5)+1)</f>
        <v>„Kinder Gottes: Wir sind es bereits im Keim durch unsere Taufe. Aber wie können wir unsere tiefe Berufung, für Gott Söhne und Töchter zu werden, voll und ganz verwirklichen? Das Gebet, das persönliche Gebet ist ein bevorzugter Weg für diese Neuschöpfung in Christus. Diese Exerzitien in der Fastenzeit werden uns helfen, unser geistliches Leben tiefgreifend zu erneuern, damit wir uns an der Ostergnade in kindlicher Dankbarkeit erfreuen können!"</v>
      </c>
      <c r="H5" t="str">
        <f t="array" ref="H5">INDEX('exerzitien-katalog'!$K:$K,COLUMN(H5)+1)</f>
        <v>Das Weihnachtsgeheimnis ist das Geheimnis Gottes, der sich in unserem Menschsein zu unserer Erlösung gegenwärtig macht. Vor 2000 Jahren in der Krippe von Bethlehem anwesend, ist Christus Jesus hier und jetzt, mitten unter uns und in jedem von uns gegenwärtig. Während dieser Einkehrtage im Advent werden wir uns in die Schule der Heiligen des Karmel begeben, um diese Gegenwart Gottes in unserem Leben auf erneuerte Weise zu empfangen. Gehen wir "auf dieser wunderbaren Straße der Gegenwart Gottes"!</v>
      </c>
      <c r="I5">
        <f t="array" ref="I5">INDEX('exerzitien-katalog'!$K:$K,COLUMN(I5)+1)</f>
        <v>0</v>
      </c>
      <c r="J5" t="str">
        <f t="array" ref="J5">INDEX('exerzitien-katalog'!$K:$K,COLUMN(J5)+1)</f>
        <v>Die heilige Thérèse vom Kinde Jesus (1873-1897) und Maria Montessori (1870-1952) sind beide Doktoren. Die eine führt die Kirche zur Kindschaft, die andere das Kind zur Kirche. Als Frauen und Prophetinnen haben sie aus der Quelle desselben Evangeliums geschöpft. Durch ihre Stimmen, die  im Wechsel gleichsam als Echo widerhallen, lüftet Gott den geheimnisvollen Schleier seines Antlitzes, das den Kleinen zugetan ist.</v>
      </c>
      <c r="K5" t="str">
        <f t="array" ref="K5">INDEX('exerzitien-katalog'!$K:$K,COLUMN(K5)+1)</f>
        <v>Es war mitten in einer Krise, als die heilige Teresa von Ávila (1515-1582) ihr geistliches Meisterwerk, das Buch der Wohnungen der Inneren Burg, schrieb. Während ihr gesamtes Werk als Gründerin des Karmel in sich zusammenzufallen scheint, schöpft sie ihre Energie aus ihrer inneren Burg. In unserem Kontext der Gesundheits- und Wirtschaftskrise kann uns die ‘Madre’ in dieser Fastenzeit helfen, zu entdecken, dass unsere Stärke im Inneren liegt. Mit dieser Kirchenlehrerin gehen wir durch die Burg von Wohnung zu Wohnung zum Zentrum, wo das Licht von Ostern leuchtet. Die Gegenwart des Auferstandenen ist die wahre gute Nachricht, die unser geistliches Leben wiederbeleben kann. 
Die Meditationen wurden von P. Guillaume Dehorter OCD (Karmelit in Avon bei Paris) und einem Team zusammengestellt. Die Aussendung in deutscher Sprache geschieht als Initiative des Verlags Christliche Innerlichkeit und des Teresianischen Karmel in Österreich, der Edith Stein Gesellschaft Österreich und der Marienschwestern vom Karmel. Die deutsche Fassung wurde von den Karmelitinnen in Mayerling bereitgestellt.</v>
      </c>
      <c r="L5" t="str">
        <f t="array" ref="L5">INDEX('exerzitien-katalog'!$K:$K,COLUMN(L5)+1)</f>
        <v>Diesmal begleitet uns durch den Advent die Gründerin des Karmel in Frankreich, Sr. Maria von der Menschwerdung (1566-1618), auch die “Schöne Acarie” genannt. Sie heiratete, bekamm Kinder und war in der Gesellshaft ihrer Zeit sehr einflussreich, bevor sie schließlich als Witwe in den Karmel eintrat. Ihre Biographie und ihre geistlichen Schriften geben Nahrung besonders in einer Zeit wie dieser, die von Unsicherheit geprägt ist. Die Exerzitien stehen unter dem Motto: Glauben an das Unmögliche.</v>
      </c>
      <c r="M5" t="str">
        <f t="array" ref="M5">INDEX('exerzitien-katalog'!$K:$K,COLUMN(M5)+1)</f>
        <v>In dieser Fastenzeit werden uns Texte des hl. Karmeliten Johannes vom Kreuz begleiten, der im XVI. Jhd. zusammen mit der hl. Teresa von Avila den Orden der Karmelitinnen und Karmeliten reformiert hat. Als Lehrer der Kirche gilt er besonders als Meister des mystischen Lebens und wird heute noch von vielen als Berater im Geistlichen Leben angerufen bzw. werden seine Werke gelesen.</v>
      </c>
      <c r="N5" t="str">
        <f t="array" ref="N5">INDEX('exerzitien-katalog'!$K:$K,COLUMN(N5)+1)</f>
        <v>Wer ist qualifizierter als die Mutter Jesu, die Jungfrau Maria, um uns auf Weihnachten vorzubereiten? Unsere liebe Frau vom Berge Karmel begleitet uns in diesen neuen Adventsexerzitien und hilft uns, das Wort Gottes zu verinnerlichen und es in die Tat umzusetzen. Wir werden das Geheimnis Mariens mithilfe der Schriften des Karmeliten P. François de S.te Marie OCD näher kennenlernen.</v>
      </c>
      <c r="O5" t="str">
        <f t="array" ref="O5">INDEX('exerzitien-katalog'!$K:$K,COLUMN(O5)+1)</f>
        <v>Die Hl. Teresa Benedicta vom Kreuz ist eine Mit-Patronin von Europa. Bevor sie in den Karmel eintrat und ihren Ordensnamen angenommen hat, war Edith Stein Philosophin und Dozentin. Sie wurde 1981 in Preussen als Jüdin geboren und wandte sich später dem Agnostizismus zu. Sie begab sich auf die Suche nach Wahrheit, durch die Philosophie und die Ereignisse in ihrem Leben, bis sie schließlich Christus entdeckte und sich im Alter von 31 Jahren taufen ließ. Sie wurde eine bemerkenswerte katholische Intellektuelle, der von den Nazis die Lehrerlaubnis entzogen wurde. Im Jahr 1933 trat sie in den Kölner Karmel ein, von wo sie 1939 nach Holland in den Karmel in Echt fliehen musste. Dort wurden sie und ihre Schwester festgenommen und nach Auschwitz gebracht, wo Edith Stein am 9. August 1942 starb. Hinterlassen hat sie uns ihr Werk und eine starke Botschaft. In dieser Fastenzeit werden uns ihre Schriften und ihr Leben begleiten, wenn wir uns auf den Weg machen, Christus nachzufolgen, der Auferstehung entgegen.</v>
      </c>
      <c r="P5" t="str">
        <f t="array" ref="P5">INDEX('exerzitien-katalog'!$K:$K,COLUMN(P5)+1)</f>
        <v>Wer ist qualifizierter als die Mutter Jesu, die Jungfrau Maria, um uns auf Weihnachten vorzubereiten? Nach dem heiligen Josef im vergangenen Jahr, begleitet sie uns in diesen neuen Adventsexerzitien. Unsere liebe Frau vom Berge Karmel hilft uns, das Wort Gottes zu verinnerlichen und es in die Tat umzusetzen. Wir werden das Geheimnis Mariens anhand des mittelalterlichen Gedichtes „Flos carmeli“ meditieren, das sie als Blume, Königin und Schönheit des Karmel anruft. So werden wir noch mehr entdecken, wie sehr Christus uns in unserer Menschheit begegnet.</v>
      </c>
      <c r="Q5" t="str">
        <f t="array" ref="Q5">INDEX('exerzitien-katalog'!$K:$K,COLUMN(Q5)+1)</f>
        <v>«Ich wende mein kleines Omelett in der Pfanne aus Liebe zu Gott» Bruder Lorenz von der Auferstehung der „mystische Koch”</v>
      </c>
      <c r="R5" t="str">
        <f t="array" ref="R5">INDEX('exerzitien-katalog'!$K:$K,COLUMN(R5)+1)</f>
        <v>In diesem Jahr bieten Ihnen die Karmeliten Online-Exerzitien mit dem hl. Josef. Seit der hl. Teresa von Avila (1515-1582) hat Josef in der karmelitanischen Tradition einen wichtigen Platz. Teresa gab den meisten ihrer Klöster den hl. Josef zum Patron und empfahl ihren Mitschwestern, „unseren glorreichen Vater Josef“ als Meister des Gebetes anzurufen. 
Der hl. Josef hat eine wichtige Rolle in der Heilsgeschichte gespielt, obwohl er fast unbemerkt im Hintergrund blieb. Was kann man über ihn sagen, von dem die hl. Schrift kein einziges Wort überliefert hat? 
Der hl. Josef kann uns allerdings Vieles lehren. Er wird uns helfen, in die Stille des Advents einzutauchen, damit wir dem Wort Gottes – d.h. Seinem Sohn – Raum geben können. Unsere Exerzitien orientieren sich an der Bibel mit Hinzunahme der Tradition des Karmel – sie möchten uns helfen, Jesus aufzunehmen – das Wort Gottes, das von Josef und Maria großgezogen wurde.</v>
      </c>
      <c r="S5">
        <f t="array" ref="S5">INDEX('exerzitien-katalog'!$K:$K,COLUMN(S5)+1)</f>
        <v>0</v>
      </c>
      <c r="T5">
        <f t="array" ref="T5">INDEX('exerzitien-katalog'!$K:$K,COLUMN(T5)+1)</f>
        <v>0</v>
      </c>
      <c r="U5" t="str">
        <f t="array" ref="U5">INDEX('exerzitien-katalog'!$K:$K,COLUMN(U5)+1)</f>
        <v>So laden wir Sie ein, wirklich in das Wort Gottes einzutauchen, damit es Ihren Weg auf Ostern hin begleite, wie es das Leben des Propheten Elija geführt hat. Um tagsüber in der Atmosphäre der Exerzitien zu bleiben, möchten wir Sie sehr dazu ermutigen, sich den angegebenen Schriftvers einzuprägen. So können Sie ihn gemäß der östlichen Tradition des „Jesusgebets“ während des Tages innerlich wiederholen. Sich das Wort ins Gedächtnis zu rufen, es innerlich zu wiederholen, das bedeutet, in der Gegenwart Gottes zu bleiben, zu Hause wie unterwegs, bei der Erholung wie in der Arbeitszeit. Gott wohnt in unserem Herzen, wenn sein Wort in unserem Gedächtnis wohnt. Dieses Wort wirkt, wenn es vom Atem getragen wird. Gedächtnis und Atem wirken zusammen, damit das Wort Gottes im Laufe der Tage in uns Licht und Leben werde. Beginnen Sie gleich, indem Sie sich den sinnbildlichen Ausruf des Propheten Elija einprägen und „atmen“:</v>
      </c>
      <c r="V5" s="1" t="str">
        <f t="array" ref="V5">INDEX('exerzitien-katalog'!$K:$K,COLUMN(V5)+1)</f>
        <v>Sie sind die Ersten! Louis und Zélie Martin, am vergangenen 18. Oktober heiliggesprochen, sind das erste Ehepaar der Geschichte, das gemeinsam, als Ehemann und Ehefrau, kanonisiert worden ist. Aber wer sind sie wirklich? Sind sie nur die Eltern der kleinen Thérèse, deren Leben uninteressant gewesen wäre, wenn es ihre berühmte Tochter nicht gegeben hätte? Oder sind sie im Gegenteil unnachahmliche Heilige? Worin kann ihr Glaubensleben für uns heute noch bedeutsam sein? Und schließlich: Welche Verbindung kann man zwischen diesem Ehepaar und der kommenden Weihnachtsgnade herstellen? Die verschiedenen Themen, die im Lauf der vier Adventssonntage angesprochen werden, beantworten diese Fragen. Wir werden im Laufe der Exerzitien nach und nach den Verlauf ihres Lebens kennenlernen. Doch schon jetzt können wir auf die letzte Frage antworten: Louis und Zélie haben wie Maria und Josef die Gabe dessen angenommen, der das Leben ist; sie haben die heiligende Gegenwart der Liebe angenommen. Ihr gemeinsames Leben, dem wir im Lauf der Online-Exerzitien chronologisch nachgehen werden, wird uns zeigen, wie sehr die Gnade von Weihnachten – das heißt die Gnade der Liebe, die kommt, um unter uns Fleisch anzunehmen – sich in einem Leben oder in einer Familie erneuert, die den alltäglichen Glauben der bescheidenen Familie von Nazaret teilt.</v>
      </c>
      <c r="W5" s="2" t="str">
        <f t="array" ref="W5">INDEX('exerzitien-katalog'!$K:$K,COLUMN(W5)+1)</f>
        <v>In diesem Jahr begehen wir das 500-jährige Jubiläum der Geburt der hl. Teresa von Ávila (1515–1582), Gründerin unseres Zweiges des Karmel.
Die Exerzitien werden sich mit der Umkehr der jungen Teresa befassen, die uns als Vorbild vorangegangen ist und uns durch diese Fastenzeit begleiten wird auf unserem persönlichen Weg der Umkehr.</v>
      </c>
      <c r="X5" t="str">
        <f t="array" ref="X5">INDEX('exerzitien-katalog'!$K:$K,COLUMN(X5)+1)</f>
        <v>Der französische Karmelit P. Jacques wurde in Mauthausen-Gusen interniert, weil er 1943 jüdische Kinder in einer Schule der Karmeliten versteckt hatte. Er starb am 2. Juni 1945 im Spital der Elisabethinen in Linz.</v>
      </c>
      <c r="Y5" t="str">
        <f t="array" ref="Y5">INDEX('exerzitien-katalog'!$K:$K,COLUMN(Y5)+1)</f>
        <v>"Ich habe großes Verlangen, all die Ereignisse unserer Tage einmal im Licht der Ewigkeit zu sehen. Denn das erkennt man doch immer klarer, wie blind wir für alles sind. Man staunt, wie verkehrt man vieles früher angesehen hat, und begeht doch im nächsten Augenblick wieder den Fehler, sich ein Urteil zu bilden, ohne dass man die nötigen Grundlagen dafür hat." Hl. Edith Stein</v>
      </c>
      <c r="Z5" t="str">
        <f t="array" ref="Z5">INDEX('exerzitien-katalog'!$K:$K,COLUMN(Z5)+1)</f>
        <v>Die Karmeliten in Wien geben für jede Woche im Advent einen Impuls zur Besinnung und täglich kurze Anregungen zum Gebet. Unsere Begleiterin ist die hl. Sr. Teresia Benedicta vom Kreuz (Edith Stein) mit ihren Texten über das Weihnachtsgeheimnis.</v>
      </c>
      <c r="AA5" t="str">
        <f t="array" ref="AA5">INDEX('exerzitien-katalog'!$K:$K,COLUMN(AA5)+1)</f>
        <v>"Ich habe großes Verlangen, all die Ereignisse unserer Tage einmal im Licht der Ewigkeit zu sehen. Denn das erkennt man doch immer klarer, wie blind wir für alles sind. Man staunt, wie verkehrt man vieles früher angesehen hat, und begeht doch im nächsten Augenblick wieder den Fehler, sich ein Urteil zu bilden, ohne dass man die nötigen Grundlagen dafür hat." Hl. Edith Stein</v>
      </c>
      <c r="AB5">
        <f t="array" ref="AB5">INDEX('exerzitien-katalog'!$K:$K,COLUMN(AB5)+1)</f>
        <v>0</v>
      </c>
      <c r="AC5" t="str">
        <f t="array" ref="AC5">INDEX('exerzitien-katalog'!$K:$K,COLUMN(AC5)+1)</f>
        <v>Jeden Tag in der Fastenzeit finden Sie auf der Homepage www.edithstein.karmel.at einen Impuls zur Besinnung mit Texten der hl. Edith Stein. Im Rahmen des Edith-Stein-Gedenkjahres 2011/2012 von den Marienschwestern vom Karmel erstellt.</v>
      </c>
      <c r="AD5">
        <f t="array" ref="AD5">INDEX('exerzitien-katalog'!$K:$K,COLUMN(AD5)+1)</f>
        <v>0</v>
      </c>
      <c r="AE5">
        <f t="array" ref="AE5">INDEX('exerzitien-katalog'!$K:$K,COLUMN(AE5)+1)</f>
        <v>0</v>
      </c>
    </row>
    <row r="6" spans="2:33" x14ac:dyDescent="0.25">
      <c r="B6" t="str">
        <f>'exerzitien-katalog'!L2</f>
        <v>img/FS26_header_DE.png</v>
      </c>
      <c r="C6" t="str">
        <f t="array" ref="C6">INDEX('exerzitien-katalog'!$L:$L,COLUMN(C6)+1)</f>
        <v>img/FS25_header_DE.png</v>
      </c>
      <c r="D6" t="str">
        <f t="array" ref="D6">INDEX('exerzitien-katalog'!$L:$L,COLUMN(D6)+1)</f>
        <v>img/AD24_header_DE.png</v>
      </c>
      <c r="E6" s="1" t="str">
        <f t="array" ref="E6">INDEX('exerzitien-katalog'!$L:$L,COLUMN(E6)+1)</f>
        <v>img/FS24_header_DE.png</v>
      </c>
      <c r="F6" s="2" t="str">
        <f t="array" ref="F6">INDEX('exerzitien-katalog'!$L:$L,COLUMN(F6)+1)</f>
        <v>img/AD23_header_DE.png</v>
      </c>
      <c r="G6" t="str">
        <f t="array" ref="G6">INDEX('exerzitien-katalog'!$L:$L,COLUMN(G6)+1)</f>
        <v>img/FS23_header_DE.png</v>
      </c>
      <c r="H6" t="str">
        <f t="array" ref="H6">INDEX('exerzitien-katalog'!$L:$L,COLUMN(H6)+1)</f>
        <v>img/AD22_header_DE.png</v>
      </c>
      <c r="I6" t="str">
        <f t="array" ref="I6">INDEX('exerzitien-katalog'!$L:$L,COLUMN(I6)+1)</f>
        <v>img/FS22_header_DE.png</v>
      </c>
      <c r="J6" t="str">
        <f t="array" ref="J6">INDEX('exerzitien-katalog'!$L:$L,COLUMN(J6)+1)</f>
        <v>img/AD21_header_DE.png</v>
      </c>
      <c r="K6" t="str">
        <f t="array" ref="K6">INDEX('exerzitien-katalog'!$L:$L,COLUMN(K6)+1)</f>
        <v>img/FS21_header_DE.png</v>
      </c>
      <c r="L6" t="str">
        <f t="array" ref="L6">INDEX('exerzitien-katalog'!$L:$L,COLUMN(L6)+1)</f>
        <v>img/AD20_header_DE.png</v>
      </c>
      <c r="M6" t="str">
        <f t="array" ref="M6">INDEX('exerzitien-katalog'!$L:$L,COLUMN(M6)+1)</f>
        <v>img/FS20_header_DE.png</v>
      </c>
      <c r="N6" t="str">
        <f t="array" ref="N6">INDEX('exerzitien-katalog'!$L:$L,COLUMN(N6)+1)</f>
        <v>img/AD19_header_DE.png</v>
      </c>
      <c r="O6" t="str">
        <f t="array" ref="O6">INDEX('exerzitien-katalog'!$L:$L,COLUMN(O6)+1)</f>
        <v>img/FS19_header_DE.png</v>
      </c>
      <c r="P6" t="str">
        <f t="array" ref="P6">INDEX('exerzitien-katalog'!$L:$L,COLUMN(P6)+1)</f>
        <v>img/AD18_header_DE.png</v>
      </c>
      <c r="Q6" t="str">
        <f t="array" ref="Q6">INDEX('exerzitien-katalog'!$L:$L,COLUMN(Q6)+1)</f>
        <v>img/FS18_header_DE.png</v>
      </c>
      <c r="R6" t="str">
        <f t="array" ref="R6">INDEX('exerzitien-katalog'!$L:$L,COLUMN(R6)+1)</f>
        <v>img/AD17_header_DE.png</v>
      </c>
      <c r="S6" t="str">
        <f t="array" ref="S6">INDEX('exerzitien-katalog'!$L:$L,COLUMN(S6)+1)</f>
        <v>img/FS17_header_DE.png</v>
      </c>
      <c r="T6" t="str">
        <f t="array" ref="T6">INDEX('exerzitien-katalog'!$L:$L,COLUMN(T6)+1)</f>
        <v>img/AD16_header_DE.png</v>
      </c>
      <c r="U6" t="str">
        <f t="array" ref="U6">INDEX('exerzitien-katalog'!$L:$L,COLUMN(U6)+1)</f>
        <v>img/FS16_header_DE.png</v>
      </c>
      <c r="V6" s="1" t="str">
        <f t="array" ref="V6">INDEX('exerzitien-katalog'!$L:$L,COLUMN(V6)+1)</f>
        <v>img/AD15_header_DE.png</v>
      </c>
      <c r="W6" s="2" t="str">
        <f t="array" ref="W6">INDEX('exerzitien-katalog'!$L:$L,COLUMN(W6)+1)</f>
        <v>img/FS15_header_DE.png</v>
      </c>
      <c r="X6" t="str">
        <f t="array" ref="X6">INDEX('exerzitien-katalog'!$L:$L,COLUMN(X6)+1)</f>
        <v>img/AD14_header_DE.png</v>
      </c>
      <c r="Y6" t="str">
        <f t="array" ref="Y6">INDEX('exerzitien-katalog'!$L:$L,COLUMN(Y6)+1)</f>
        <v>img/FS14_header_DE.png</v>
      </c>
      <c r="Z6" t="str">
        <f t="array" ref="Z6">INDEX('exerzitien-katalog'!$L:$L,COLUMN(Z6)+1)</f>
        <v>img/AD13_header_DE.png</v>
      </c>
      <c r="AA6" t="str">
        <f t="array" ref="AA6">INDEX('exerzitien-katalog'!$L:$L,COLUMN(AA6)+1)</f>
        <v>img/FS13_header_DE.png</v>
      </c>
      <c r="AB6" t="str">
        <f t="array" ref="AB6">INDEX('exerzitien-katalog'!$L:$L,COLUMN(AB6)+1)</f>
        <v>img/AD12_header_DE.png</v>
      </c>
      <c r="AC6">
        <f t="array" ref="AC6">INDEX('exerzitien-katalog'!$L:$L,COLUMN(AC6)+1)</f>
        <v>0</v>
      </c>
      <c r="AD6">
        <f t="array" ref="AD6">INDEX('exerzitien-katalog'!$L:$L,COLUMN(AD6)+1)</f>
        <v>0</v>
      </c>
      <c r="AE6">
        <f t="array" ref="AE6">INDEX('exerzitien-katalog'!$L:$L,COLUMN(AE6)+1)</f>
        <v>0</v>
      </c>
    </row>
    <row r="7" spans="2:33" x14ac:dyDescent="0.25">
      <c r="C7" t="str">
        <f t="array" ref="C7">INDEX('exerzitien-katalog'!$A:$A,COLUMN(C7)+1)</f>
        <v>lent-2025-therese-von-lisieux</v>
      </c>
      <c r="D7" t="str">
        <f t="array" ref="D7">INDEX('exerzitien-katalog'!$A:$A,COLUMN(D7)+1)</f>
        <v>advent-2024-therese-von-lisieux</v>
      </c>
      <c r="E7" s="1" t="str">
        <f t="array" ref="E7">INDEX('exerzitien-katalog'!$A:$A,COLUMN(E7)+1)</f>
        <v>lent-2024-pater-jacques-de-jesus</v>
      </c>
      <c r="F7" s="2" t="str">
        <f t="array" ref="F7">INDEX('exerzitien-katalog'!$A:$A,COLUMN(F7)+1)</f>
        <v>advent-2023-therese-des-andes</v>
      </c>
      <c r="G7" t="str">
        <f t="array" ref="G7">INDEX('exerzitien-katalog'!$A:$A,COLUMN(G7)+1)</f>
        <v>lent-2023-oraison-weg-der-kindlichen-berufung</v>
      </c>
      <c r="H7" t="str">
        <f t="array" ref="H7">INDEX('exerzitien-katalog'!$A:$A,COLUMN(H7)+1)</f>
        <v>advent-2022-gott-in-unserem-leben</v>
      </c>
      <c r="I7" t="str">
        <f t="array" ref="I7">INDEX('exerzitien-katalog'!$A:$A,COLUMN(I7)+1)</f>
        <v>lent-2022-barmherzigkeit-gottes-mit-den-heiligen-des-karmels</v>
      </c>
      <c r="J7" t="str">
        <f t="array" ref="J7">INDEX('exerzitien-katalog'!$A:$A,COLUMN(J7)+1)</f>
        <v>advent-2021-kindheit-der-seele</v>
      </c>
      <c r="K7" t="str">
        <f t="array" ref="K7">INDEX('exerzitien-katalog'!$A:$A,COLUMN(K7)+1)</f>
        <v>lent-2021-therese-von-avila</v>
      </c>
      <c r="L7" t="str">
        <f t="array" ref="L7">INDEX('exerzitien-katalog'!$A:$A,COLUMN(L7)+1)</f>
        <v>advent-2020-madame-acarie</v>
      </c>
      <c r="M7" t="str">
        <f t="array" ref="M7">INDEX('exerzitien-katalog'!$A:$A,COLUMN(M7)+1)</f>
        <v>lent-2020-heureuse-aventure</v>
      </c>
      <c r="N7" t="str">
        <f t="array" ref="N7">INDEX('exerzitien-katalog'!$A:$A,COLUMN(N7)+1)</f>
        <v>advent-2019-communier-a-la-vie-de-grace-de-marie</v>
      </c>
      <c r="O7" t="str">
        <f t="array" ref="O7">INDEX('exerzitien-katalog'!$A:$A,COLUMN(O7)+1)</f>
        <v>lent-2019-edith-stein</v>
      </c>
      <c r="P7" t="str">
        <f t="array" ref="P7">INDEX('exerzitien-katalog'!$A:$A,COLUMN(P7)+1)</f>
        <v>advent-2018-mont-carmel</v>
      </c>
      <c r="Q7" t="str">
        <f t="array" ref="Q7">INDEX('exerzitien-katalog'!$A:$A,COLUMN(Q7)+1)</f>
        <v>lent-2018-laurent-de-la-resurrection</v>
      </c>
      <c r="R7" t="str">
        <f t="array" ref="R7">INDEX('exerzitien-katalog'!$A:$A,COLUMN(R7)+1)</f>
        <v>advent-2017-josef-das-wort</v>
      </c>
      <c r="S7" t="str">
        <f t="array" ref="S7">INDEX('exerzitien-katalog'!$A:$A,COLUMN(S7)+1)</f>
        <v>lent-2017-elisabeth-der-dreifaltigkeit</v>
      </c>
      <c r="T7" t="str">
        <f t="array" ref="T7">INDEX('exerzitien-katalog'!$A:$A,COLUMN(T7)+1)</f>
        <v>advent-2016-josef-das-wort</v>
      </c>
      <c r="U7" t="str">
        <f t="array" ref="U7">INDEX('exerzitien-katalog'!$A:$A,COLUMN(U7)+1)</f>
        <v>lent-2016-elija-lebensgott</v>
      </c>
      <c r="V7" s="1" t="str">
        <f t="array" ref="V7">INDEX('exerzitien-katalog'!$A:$A,COLUMN(V7)+1)</f>
        <v>advent-2015-louis-und-zelie-martin</v>
      </c>
      <c r="W7" s="2" t="str">
        <f t="array" ref="W7">INDEX('exerzitien-katalog'!$A:$A,COLUMN(W7)+1)</f>
        <v>lent-2015-therese-von-avila</v>
      </c>
      <c r="X7" t="str">
        <f t="array" ref="X7">INDEX('exerzitien-katalog'!$A:$A,COLUMN(X7)+1)</f>
        <v>advent-2014-jacques-de-jesus</v>
      </c>
      <c r="Y7" t="str">
        <f t="array" ref="Y7">INDEX('exerzitien-katalog'!$A:$A,COLUMN(Y7)+1)</f>
        <v>lent-2014-therese-von-lisieux</v>
      </c>
      <c r="Z7" t="str">
        <f t="array" ref="Z7">INDEX('exerzitien-katalog'!$A:$A,COLUMN(Z7)+1)</f>
        <v>advent-2013-elisabeth-von-der-dreifaltigkeit</v>
      </c>
      <c r="AA7" t="str">
        <f t="array" ref="AA7">INDEX('exerzitien-katalog'!$A:$A,COLUMN(AA7)+1)</f>
        <v>lent-2013-therese-von-avila-und-paulus</v>
      </c>
      <c r="AB7" t="str">
        <f t="array" ref="AB7">INDEX('exerzitien-katalog'!$A:$A,COLUMN(AB7)+1)</f>
        <v>advent-2012-johannes-vom-kreuz</v>
      </c>
      <c r="AC7" t="str">
        <f t="array" ref="AC7">INDEX('exerzitien-katalog'!$A:$A,COLUMN(AC7)+1)</f>
        <v>lent-2012-therese-benedikta-vom-kreuz</v>
      </c>
      <c r="AD7">
        <f t="array" ref="AD7">INDEX('exerzitien-katalog'!$A:$A,COLUMN(AD7)+1)</f>
        <v>0</v>
      </c>
      <c r="AE7">
        <f t="array" ref="AE7">INDEX('exerzitien-katalog'!$A:$A,COLUMN(AE7)+1)</f>
        <v>0</v>
      </c>
    </row>
    <row r="8" spans="2:33" x14ac:dyDescent="0.25">
      <c r="C8" t="str">
        <f t="array" ref="C8">INDEX('exerzitien-katalog'!$F:$F,COLUMN(C8)+1)</f>
        <v>2025-03-05</v>
      </c>
      <c r="D8" t="str">
        <f t="array" ref="D8">INDEX('exerzitien-katalog'!$F:$F,COLUMN(D8)+1)</f>
        <v>2024-11-27</v>
      </c>
      <c r="E8" s="1" t="str">
        <f t="array" ref="E8">INDEX('exerzitien-katalog'!$F:$F,COLUMN(E8)+1)</f>
        <v>2024-02-14</v>
      </c>
      <c r="F8" s="2" t="str">
        <f t="array" ref="F8">INDEX('exerzitien-katalog'!$F:$F,COLUMN(F8)+1)</f>
        <v>2023-11-29</v>
      </c>
      <c r="G8" t="str">
        <f t="array" ref="G8">INDEX('exerzitien-katalog'!$F:$F,COLUMN(G8)+1)</f>
        <v>2023-02-22</v>
      </c>
      <c r="H8" t="str">
        <f t="array" ref="H8">INDEX('exerzitien-katalog'!$F:$F,COLUMN(H8)+1)</f>
        <v>2022-11-23</v>
      </c>
      <c r="I8" t="str">
        <f t="array" ref="I8">INDEX('exerzitien-katalog'!$F:$F,COLUMN(I8)+1)</f>
        <v>2022-03-02</v>
      </c>
      <c r="J8" t="str">
        <f t="array" ref="J8">INDEX('exerzitien-katalog'!$F:$F,COLUMN(J8)+1)</f>
        <v>2021-11-26</v>
      </c>
      <c r="K8" t="str">
        <f t="array" ref="K8">INDEX('exerzitien-katalog'!$F:$F,COLUMN(K8)+1)</f>
        <v>2021-02-17</v>
      </c>
      <c r="L8" t="str">
        <f t="array" ref="L8">INDEX('exerzitien-katalog'!$F:$F,COLUMN(L8)+1)</f>
        <v>2020-11-25</v>
      </c>
      <c r="M8" t="str">
        <f t="array" ref="M8">INDEX('exerzitien-katalog'!$F:$F,COLUMN(M8)+1)</f>
        <v>2020-02-26</v>
      </c>
      <c r="N8" t="str">
        <f t="array" ref="N8">INDEX('exerzitien-katalog'!$F:$F,COLUMN(N8)+1)</f>
        <v>2019-11-29</v>
      </c>
      <c r="O8" t="str">
        <f t="array" ref="O8">INDEX('exerzitien-katalog'!$F:$F,COLUMN(O8)+1)</f>
        <v>2019-03-06</v>
      </c>
      <c r="P8" t="str">
        <f t="array" ref="P8">INDEX('exerzitien-katalog'!$F:$F,COLUMN(P8)+1)</f>
        <v>2018-11-28</v>
      </c>
      <c r="Q8" t="str">
        <f t="array" ref="Q8">INDEX('exerzitien-katalog'!$F:$F,COLUMN(Q8)+1)</f>
        <v>2018-02-14</v>
      </c>
      <c r="R8" t="str">
        <f t="array" ref="R8">INDEX('exerzitien-katalog'!$F:$F,COLUMN(R8)+1)</f>
        <v>2017-11-29</v>
      </c>
      <c r="S8" t="str">
        <f t="array" ref="S8">INDEX('exerzitien-katalog'!$F:$F,COLUMN(S8)+1)</f>
        <v>2017-03-01</v>
      </c>
      <c r="T8" t="str">
        <f t="array" ref="T8">INDEX('exerzitien-katalog'!$F:$F,COLUMN(T8)+1)</f>
        <v>2016-11-27</v>
      </c>
      <c r="U8" t="str">
        <f t="array" ref="U8">INDEX('exerzitien-katalog'!$F:$F,COLUMN(U8)+1)</f>
        <v>2016-02-10</v>
      </c>
      <c r="V8" s="1" t="str">
        <f t="array" ref="V8">INDEX('exerzitien-katalog'!$F:$F,COLUMN(V8)+1)</f>
        <v>2015-11-29</v>
      </c>
      <c r="W8" s="2" t="str">
        <f t="array" ref="W8">INDEX('exerzitien-katalog'!$F:$F,COLUMN(W8)+1)</f>
        <v>2015-02-18</v>
      </c>
      <c r="X8" t="str">
        <f t="array" ref="X8">INDEX('exerzitien-katalog'!$F:$F,COLUMN(X8)+1)</f>
        <v>2014-11-30</v>
      </c>
      <c r="Y8" t="str">
        <f t="array" ref="Y8">INDEX('exerzitien-katalog'!$F:$F,COLUMN(Y8)+1)</f>
        <v>2013-11-29</v>
      </c>
      <c r="Z8" t="str">
        <f t="array" ref="Z8">INDEX('exerzitien-katalog'!$F:$F,COLUMN(Z8)+1)</f>
        <v>2013-11-29</v>
      </c>
      <c r="AA8" t="str">
        <f t="array" ref="AA8">INDEX('exerzitien-katalog'!$F:$F,COLUMN(AA8)+1)</f>
        <v>2013-02-13</v>
      </c>
      <c r="AB8">
        <f t="array" ref="AB8">INDEX('exerzitien-katalog'!$F:$F,COLUMN(AB8)+1)</f>
        <v>0</v>
      </c>
      <c r="AC8" t="str">
        <f t="array" ref="AC8">INDEX('exerzitien-katalog'!$F:$F,COLUMN(AC8)+1)</f>
        <v>2012-02-22</v>
      </c>
      <c r="AD8">
        <f t="array" ref="AD8">INDEX('exerzitien-katalog'!$F:$F,COLUMN(AD8)+1)</f>
        <v>0</v>
      </c>
      <c r="AE8">
        <f t="array" ref="AE8">INDEX('exerzitien-katalog'!$F:$F,COLUMN(AE8)+1)</f>
        <v>0</v>
      </c>
    </row>
    <row r="9" spans="2:33" x14ac:dyDescent="0.25">
      <c r="C9" t="str">
        <f t="array" ref="C9">INDEX('exerzitien-katalog'!$G:$G,COLUMN(C9)+1)</f>
        <v>2025-04-27</v>
      </c>
      <c r="D9" t="str">
        <f t="array" ref="D9">INDEX('exerzitien-katalog'!$G:$G,COLUMN(D9)+1)</f>
        <v>2025-01-05</v>
      </c>
      <c r="E9" s="1" t="str">
        <f t="array" ref="E9">INDEX('exerzitien-katalog'!$G:$G,COLUMN(E9)+1)</f>
        <v>2024-04-07</v>
      </c>
      <c r="F9" s="2" t="str">
        <f t="array" ref="F9">INDEX('exerzitien-katalog'!$G:$G,COLUMN(F9)+1)</f>
        <v>2023-12-25</v>
      </c>
      <c r="G9" t="str">
        <f t="array" ref="G9">INDEX('exerzitien-katalog'!$G:$G,COLUMN(G9)+1)</f>
        <v>2023-04-16</v>
      </c>
      <c r="H9" t="str">
        <f t="array" ref="H9">INDEX('exerzitien-katalog'!$G:$G,COLUMN(H9)+1)</f>
        <v>2023-01-01</v>
      </c>
      <c r="I9" t="str">
        <f t="array" ref="I9">INDEX('exerzitien-katalog'!$G:$G,COLUMN(I9)+1)</f>
        <v>2022-04-24</v>
      </c>
      <c r="J9" t="str">
        <f t="array" ref="J9">INDEX('exerzitien-katalog'!$G:$G,COLUMN(J9)+1)</f>
        <v>2022-01-02</v>
      </c>
      <c r="K9" t="str">
        <f t="array" ref="K9">INDEX('exerzitien-katalog'!$G:$G,COLUMN(K9)+1)</f>
        <v>2021-04-11</v>
      </c>
      <c r="L9" t="str">
        <f t="array" ref="L9">INDEX('exerzitien-katalog'!$G:$G,COLUMN(L9)+1)</f>
        <v>2021-02-03</v>
      </c>
      <c r="M9" t="str">
        <f t="array" ref="M9">INDEX('exerzitien-katalog'!$G:$G,COLUMN(M9)+1)</f>
        <v>2020-04-12</v>
      </c>
      <c r="N9" t="str">
        <f t="array" ref="N9">INDEX('exerzitien-katalog'!$G:$G,COLUMN(N9)+1)</f>
        <v>2020-01-06</v>
      </c>
      <c r="O9" t="str">
        <f t="array" ref="O9">INDEX('exerzitien-katalog'!$G:$G,COLUMN(O9)+1)</f>
        <v>2019-04-28</v>
      </c>
      <c r="P9" t="str">
        <f t="array" ref="P9">INDEX('exerzitien-katalog'!$G:$G,COLUMN(P9)+1)</f>
        <v>2019-01-06</v>
      </c>
      <c r="Q9" t="str">
        <f t="array" ref="Q9">INDEX('exerzitien-katalog'!$G:$G,COLUMN(Q9)+1)</f>
        <v>2018-03-30</v>
      </c>
      <c r="R9" t="str">
        <f t="array" ref="R9">INDEX('exerzitien-katalog'!$G:$G,COLUMN(R9)+1)</f>
        <v>2018-01-08</v>
      </c>
      <c r="S9" t="str">
        <f t="array" ref="S9">INDEX('exerzitien-katalog'!$G:$G,COLUMN(S9)+1)</f>
        <v>2017-04-16</v>
      </c>
      <c r="T9" t="str">
        <f t="array" ref="T9">INDEX('exerzitien-katalog'!$G:$G,COLUMN(T9)+1)</f>
        <v>2017-01-06</v>
      </c>
      <c r="U9" t="str">
        <f t="array" ref="U9">INDEX('exerzitien-katalog'!$G:$G,COLUMN(U9)+1)</f>
        <v>2016-03-27</v>
      </c>
      <c r="V9" s="1" t="str">
        <f t="array" ref="V9">INDEX('exerzitien-katalog'!$G:$G,COLUMN(V9)+1)</f>
        <v>2016-01-06</v>
      </c>
      <c r="W9" s="2" t="str">
        <f t="array" ref="W9">INDEX('exerzitien-katalog'!$G:$G,COLUMN(W9)+1)</f>
        <v>2015-04-05</v>
      </c>
      <c r="X9" t="str">
        <f t="array" ref="X9">INDEX('exerzitien-katalog'!$G:$G,COLUMN(X9)+1)</f>
        <v>2015-01-06</v>
      </c>
      <c r="Y9" t="str">
        <f t="array" ref="Y9">INDEX('exerzitien-katalog'!$G:$G,COLUMN(Y9)+1)</f>
        <v>2013-12-25</v>
      </c>
      <c r="Z9" t="str">
        <f t="array" ref="Z9">INDEX('exerzitien-katalog'!$G:$G,COLUMN(Z9)+1)</f>
        <v>2013-12-25</v>
      </c>
      <c r="AA9" t="str">
        <f t="array" ref="AA9">INDEX('exerzitien-katalog'!$G:$G,COLUMN(AA9)+1)</f>
        <v>2013-03-31</v>
      </c>
      <c r="AB9">
        <f t="array" ref="AB9">INDEX('exerzitien-katalog'!$G:$G,COLUMN(AB9)+1)</f>
        <v>0</v>
      </c>
      <c r="AC9" t="str">
        <f t="array" ref="AC9">INDEX('exerzitien-katalog'!$G:$G,COLUMN(AC9)+1)</f>
        <v>2012-04-08</v>
      </c>
      <c r="AD9">
        <f t="array" ref="AD9">INDEX('exerzitien-katalog'!$G:$G,COLUMN(AD9)+1)</f>
        <v>0</v>
      </c>
      <c r="AE9">
        <f t="array" ref="AE9">INDEX('exerzitien-katalog'!$G:$G,COLUMN(AE9)+1)</f>
        <v>0</v>
      </c>
    </row>
    <row r="10" spans="2:33" x14ac:dyDescent="0.25">
      <c r="B10" s="3" t="s">
        <v>4</v>
      </c>
      <c r="C10" t="s">
        <v>5</v>
      </c>
      <c r="D10" t="s">
        <v>5</v>
      </c>
      <c r="E10" s="1" t="s">
        <v>5</v>
      </c>
      <c r="F10" s="2" t="s">
        <v>5</v>
      </c>
      <c r="G10" s="1" t="s">
        <v>5</v>
      </c>
      <c r="H10" s="1" t="s">
        <v>5</v>
      </c>
      <c r="I10" s="1" t="s">
        <v>5</v>
      </c>
      <c r="J10" s="1" t="s">
        <v>5</v>
      </c>
      <c r="K10" s="1" t="s">
        <v>5</v>
      </c>
      <c r="L10" s="1" t="s">
        <v>5</v>
      </c>
      <c r="M10" s="1" t="s">
        <v>5</v>
      </c>
      <c r="N10" s="1" t="s">
        <v>5</v>
      </c>
      <c r="O10" s="1" t="s">
        <v>5</v>
      </c>
      <c r="P10" s="1" t="s">
        <v>5</v>
      </c>
      <c r="Q10" s="1" t="s">
        <v>5</v>
      </c>
      <c r="R10" s="1" t="s">
        <v>5</v>
      </c>
      <c r="S10" s="1" t="s">
        <v>5</v>
      </c>
      <c r="T10" s="1" t="s">
        <v>5</v>
      </c>
      <c r="U10" s="1" t="s">
        <v>5</v>
      </c>
      <c r="V10" s="1" t="s">
        <v>5</v>
      </c>
      <c r="W10" s="1" t="s">
        <v>5</v>
      </c>
      <c r="X10" s="1" t="s">
        <v>5</v>
      </c>
      <c r="Y10" s="1" t="s">
        <v>5</v>
      </c>
      <c r="Z10" s="1" t="s">
        <v>5</v>
      </c>
      <c r="AA10" s="1" t="s">
        <v>5</v>
      </c>
      <c r="AB10" s="1" t="s">
        <v>5</v>
      </c>
      <c r="AC10" s="1" t="s">
        <v>5</v>
      </c>
      <c r="AD10" s="1" t="s">
        <v>5</v>
      </c>
      <c r="AE10" s="1" t="s">
        <v>5</v>
      </c>
      <c r="AF10" s="1" t="s">
        <v>5</v>
      </c>
      <c r="AG10" s="1" t="s">
        <v>5</v>
      </c>
    </row>
    <row r="11" spans="2:33" x14ac:dyDescent="0.25">
      <c r="B11" s="3" t="s">
        <v>6</v>
      </c>
      <c r="C11" t="s">
        <v>7</v>
      </c>
      <c r="D11" t="s">
        <v>7</v>
      </c>
      <c r="E11" s="1" t="s">
        <v>7</v>
      </c>
      <c r="F11" s="2" t="s">
        <v>7</v>
      </c>
      <c r="G11" s="1" t="s">
        <v>7</v>
      </c>
      <c r="H11" s="1" t="s">
        <v>7</v>
      </c>
      <c r="I11" s="1" t="s">
        <v>7</v>
      </c>
      <c r="J11" s="1" t="s">
        <v>7</v>
      </c>
      <c r="K11" s="1" t="s">
        <v>7</v>
      </c>
      <c r="L11" s="1" t="s">
        <v>7</v>
      </c>
      <c r="M11" s="1" t="s">
        <v>7</v>
      </c>
      <c r="N11" s="1" t="s">
        <v>7</v>
      </c>
      <c r="O11" s="1" t="s">
        <v>7</v>
      </c>
      <c r="P11" s="1" t="s">
        <v>7</v>
      </c>
      <c r="Q11" s="1" t="s">
        <v>7</v>
      </c>
      <c r="R11" s="1" t="s">
        <v>7</v>
      </c>
      <c r="S11" s="1" t="s">
        <v>7</v>
      </c>
      <c r="T11" s="1" t="s">
        <v>7</v>
      </c>
      <c r="U11" s="1" t="s">
        <v>7</v>
      </c>
      <c r="V11" s="1" t="s">
        <v>7</v>
      </c>
      <c r="W11" s="1" t="s">
        <v>7</v>
      </c>
      <c r="X11" s="1" t="s">
        <v>7</v>
      </c>
      <c r="Y11" s="1" t="s">
        <v>7</v>
      </c>
      <c r="Z11" s="1" t="s">
        <v>7</v>
      </c>
      <c r="AA11" s="1" t="s">
        <v>7</v>
      </c>
      <c r="AB11" s="1" t="s">
        <v>7</v>
      </c>
      <c r="AC11" s="1" t="s">
        <v>7</v>
      </c>
      <c r="AD11" s="1" t="s">
        <v>7</v>
      </c>
      <c r="AE11" s="1" t="s">
        <v>7</v>
      </c>
      <c r="AF11" s="1" t="s">
        <v>7</v>
      </c>
      <c r="AG11" s="1" t="s">
        <v>7</v>
      </c>
    </row>
    <row r="12" spans="2:33" x14ac:dyDescent="0.25">
      <c r="B12" s="4" t="s">
        <v>642</v>
      </c>
      <c r="C12" t="s">
        <v>642</v>
      </c>
      <c r="D12" t="s">
        <v>642</v>
      </c>
      <c r="E12" s="1" t="s">
        <v>642</v>
      </c>
      <c r="F12" s="2" t="s">
        <v>642</v>
      </c>
      <c r="G12" s="1" t="s">
        <v>642</v>
      </c>
      <c r="H12" s="1" t="s">
        <v>642</v>
      </c>
      <c r="I12" s="1" t="s">
        <v>642</v>
      </c>
      <c r="J12" s="1" t="s">
        <v>642</v>
      </c>
      <c r="K12" s="1" t="s">
        <v>642</v>
      </c>
      <c r="L12" s="1" t="s">
        <v>642</v>
      </c>
      <c r="M12" s="1" t="s">
        <v>642</v>
      </c>
      <c r="N12" s="1" t="s">
        <v>642</v>
      </c>
      <c r="O12" s="1" t="s">
        <v>642</v>
      </c>
      <c r="P12" s="1" t="s">
        <v>642</v>
      </c>
      <c r="Q12" s="1" t="s">
        <v>642</v>
      </c>
      <c r="R12" s="1" t="s">
        <v>642</v>
      </c>
      <c r="S12" s="1" t="s">
        <v>642</v>
      </c>
      <c r="T12" s="1" t="s">
        <v>642</v>
      </c>
      <c r="U12" s="1" t="s">
        <v>642</v>
      </c>
      <c r="V12" s="1" t="s">
        <v>642</v>
      </c>
      <c r="W12" s="1" t="s">
        <v>642</v>
      </c>
      <c r="X12" s="1" t="s">
        <v>642</v>
      </c>
      <c r="Y12" s="1" t="s">
        <v>642</v>
      </c>
      <c r="Z12" s="1" t="s">
        <v>642</v>
      </c>
      <c r="AA12" s="1" t="s">
        <v>642</v>
      </c>
      <c r="AB12" s="1" t="s">
        <v>642</v>
      </c>
      <c r="AC12" s="1" t="s">
        <v>642</v>
      </c>
      <c r="AD12" s="1" t="s">
        <v>642</v>
      </c>
      <c r="AE12" s="1" t="s">
        <v>642</v>
      </c>
      <c r="AF12" s="1" t="s">
        <v>642</v>
      </c>
      <c r="AG12" s="1" t="s">
        <v>642</v>
      </c>
    </row>
    <row r="13" spans="2:33" x14ac:dyDescent="0.25">
      <c r="B13" s="4" t="s">
        <v>643</v>
      </c>
      <c r="C13" t="s">
        <v>643</v>
      </c>
      <c r="D13" t="s">
        <v>643</v>
      </c>
      <c r="E13" s="1" t="s">
        <v>643</v>
      </c>
      <c r="F13" s="2" t="s">
        <v>643</v>
      </c>
      <c r="G13" s="1" t="s">
        <v>643</v>
      </c>
      <c r="H13" s="1" t="s">
        <v>643</v>
      </c>
      <c r="I13" s="1" t="s">
        <v>643</v>
      </c>
      <c r="J13" s="1" t="s">
        <v>643</v>
      </c>
      <c r="K13" s="1" t="s">
        <v>643</v>
      </c>
      <c r="L13" s="1" t="s">
        <v>643</v>
      </c>
      <c r="M13" s="1" t="s">
        <v>643</v>
      </c>
      <c r="N13" s="1" t="s">
        <v>643</v>
      </c>
      <c r="O13" s="1" t="s">
        <v>643</v>
      </c>
      <c r="P13" s="1" t="s">
        <v>643</v>
      </c>
      <c r="Q13" s="1" t="s">
        <v>643</v>
      </c>
      <c r="R13" s="1" t="s">
        <v>643</v>
      </c>
      <c r="S13" s="1" t="s">
        <v>643</v>
      </c>
      <c r="T13" s="1" t="s">
        <v>643</v>
      </c>
      <c r="U13" s="1" t="s">
        <v>643</v>
      </c>
      <c r="V13" s="1" t="s">
        <v>643</v>
      </c>
      <c r="W13" s="1" t="s">
        <v>643</v>
      </c>
      <c r="X13" s="1" t="s">
        <v>643</v>
      </c>
      <c r="Y13" s="1" t="s">
        <v>643</v>
      </c>
      <c r="Z13" s="1" t="s">
        <v>643</v>
      </c>
      <c r="AA13" s="1" t="s">
        <v>643</v>
      </c>
      <c r="AB13" s="1" t="s">
        <v>643</v>
      </c>
      <c r="AC13" s="1" t="s">
        <v>643</v>
      </c>
      <c r="AD13" s="1" t="s">
        <v>643</v>
      </c>
      <c r="AE13" s="1" t="s">
        <v>643</v>
      </c>
      <c r="AF13" s="1" t="s">
        <v>643</v>
      </c>
      <c r="AG13" s="1" t="s">
        <v>643</v>
      </c>
    </row>
    <row r="14" spans="2:33" x14ac:dyDescent="0.25">
      <c r="B14" s="4" t="s">
        <v>644</v>
      </c>
      <c r="C14" t="s">
        <v>644</v>
      </c>
      <c r="D14" t="s">
        <v>644</v>
      </c>
      <c r="E14" s="1" t="s">
        <v>644</v>
      </c>
      <c r="F14" s="2" t="s">
        <v>644</v>
      </c>
      <c r="G14" s="1" t="s">
        <v>644</v>
      </c>
      <c r="H14" s="1" t="s">
        <v>644</v>
      </c>
      <c r="I14" s="1" t="s">
        <v>644</v>
      </c>
      <c r="J14" s="1" t="s">
        <v>644</v>
      </c>
      <c r="K14" s="1" t="s">
        <v>644</v>
      </c>
      <c r="L14" s="1" t="s">
        <v>644</v>
      </c>
      <c r="M14" s="1" t="s">
        <v>644</v>
      </c>
      <c r="N14" s="1" t="s">
        <v>644</v>
      </c>
      <c r="O14" s="1" t="s">
        <v>644</v>
      </c>
      <c r="P14" s="1" t="s">
        <v>644</v>
      </c>
      <c r="Q14" s="1" t="s">
        <v>644</v>
      </c>
      <c r="R14" s="1" t="s">
        <v>644</v>
      </c>
      <c r="S14" s="1" t="s">
        <v>644</v>
      </c>
      <c r="T14" s="1" t="s">
        <v>644</v>
      </c>
      <c r="U14" s="1" t="s">
        <v>644</v>
      </c>
      <c r="V14" s="1" t="s">
        <v>644</v>
      </c>
      <c r="W14" s="1" t="s">
        <v>644</v>
      </c>
      <c r="X14" s="1" t="s">
        <v>644</v>
      </c>
      <c r="Y14" s="1" t="s">
        <v>644</v>
      </c>
      <c r="Z14" s="1" t="s">
        <v>644</v>
      </c>
      <c r="AA14" s="1" t="s">
        <v>644</v>
      </c>
      <c r="AB14" s="1" t="s">
        <v>644</v>
      </c>
      <c r="AC14" s="1" t="s">
        <v>644</v>
      </c>
      <c r="AD14" s="1" t="s">
        <v>644</v>
      </c>
      <c r="AE14" s="1" t="s">
        <v>644</v>
      </c>
      <c r="AF14" s="1" t="s">
        <v>644</v>
      </c>
      <c r="AG14" s="1" t="s">
        <v>644</v>
      </c>
    </row>
    <row r="15" spans="2:33" x14ac:dyDescent="0.25">
      <c r="B15" s="4" t="s">
        <v>645</v>
      </c>
      <c r="C15" t="str">
        <f t="shared" ref="C15:AE15" si="0">"&lt;title&gt;"&amp;C3&amp;"&lt;/title&gt;"</f>
        <v>&lt;title&gt;Fastenzeit 2025 mit Thérèse von Lisieux und das Östergeheimnis&lt;/title&gt;</v>
      </c>
      <c r="D15" t="str">
        <f t="shared" si="0"/>
        <v>&lt;title&gt;Advent 2024 mit der Hl. Thérèse vom Kind Jesu&lt;/title&gt;</v>
      </c>
      <c r="E15" s="1" t="str">
        <f t="shared" si="0"/>
        <v>&lt;title&gt;Fastenzeit 2024 mit Pater Jacuqes von Jesus (1900-1945)&lt;/title&gt;</v>
      </c>
      <c r="F15" s="2" t="str">
        <f t="shared" si="0"/>
        <v>&lt;title&gt;Advent 2023 mit der heiligen Teresa de Los Andes (1900-1920)&lt;/title&gt;</v>
      </c>
      <c r="G15" s="1" t="str">
        <f t="shared" si="0"/>
        <v>&lt;title&gt;Fastenzeit 2023: Das Gebet&lt;/title&gt;</v>
      </c>
      <c r="H15" s="1" t="str">
        <f t="shared" si="0"/>
        <v>&lt;title&gt;Advent 2022 in der Schule der Heiligen des Karmel&lt;/title&gt;</v>
      </c>
      <c r="I15" s="1" t="str">
        <f t="shared" si="0"/>
        <v>&lt;title&gt;Fastenzeit 2022: Gottes Barmherzigkeit leben mit den Heiligen des Karmel&lt;/title&gt;</v>
      </c>
      <c r="J15" s="1" t="str">
        <f t="shared" si="0"/>
        <v>&lt;title&gt;Advent 2021 mit der hl. Thérèse von Lisieux und Maria Montessori&lt;/title&gt;</v>
      </c>
      <c r="K15" s="1" t="str">
        <f t="shared" si="0"/>
        <v>&lt;title&gt;Fastenzeit 2021 mit der Heilige Teresa von Ávila&lt;/title&gt;</v>
      </c>
      <c r="L15" s="1" t="str">
        <f t="shared" ref="L15:AG15" si="1">"&lt;title&gt;"&amp;L3&amp;"&lt;/title&gt;"</f>
        <v>&lt;title&gt;Advent 2020 mit der "Schönen Acarie" (1566-1618)&lt;/title&gt;</v>
      </c>
      <c r="M15" s="1" t="str">
        <f t="shared" si="1"/>
        <v>&lt;title&gt;Fastenzeit 2020 mit dem Hl. Johannes vom Kreuz&lt;/title&gt;</v>
      </c>
      <c r="N15" s="1" t="str">
        <f t="shared" si="1"/>
        <v>&lt;title&gt;Advent 2019 mit Unserer Lieben Frau vom Berge Karmel&lt;/title&gt;</v>
      </c>
      <c r="O15" s="1" t="str">
        <f t="shared" si="1"/>
        <v>&lt;title&gt;Fastenzeit 2019 mit Edith Stein Hl. Teresa-Benedicta vom Kreuz&lt;/title&gt;</v>
      </c>
      <c r="P15" s="1" t="str">
        <f t="shared" si="1"/>
        <v>&lt;title&gt;Advent 2018 mit Unserer Lieben Frau vom Berge Karmel&lt;/title&gt;</v>
      </c>
      <c r="Q15" s="1" t="str">
        <f t="shared" si="1"/>
        <v>&lt;title&gt;Fastenzeit 2018 mit Br. Lorenz von der Auferstehung&lt;/title&gt;</v>
      </c>
      <c r="R15" s="1" t="str">
        <f t="shared" si="1"/>
        <v>&lt;title&gt;Advent 2017 mit dem hl. Josef&lt;/title&gt;</v>
      </c>
      <c r="S15" s="1" t="str">
        <f t="shared" si="1"/>
        <v>&lt;title&gt;KarmelExerzitien Online in der Fastenzeit 2017&lt;/title&gt;</v>
      </c>
      <c r="T15" s="1" t="str">
        <f t="shared" si="1"/>
        <v>&lt;title&gt;Advent 2016 mit dem Sel. Maria-Eugen vom Kinde Jesus OCD&lt;/title&gt;</v>
      </c>
      <c r="U15" s="1" t="str">
        <f t="shared" si="1"/>
        <v>&lt;title&gt;Fastenzeit 2016 mit dem heiligen Elija&lt;/title&gt;</v>
      </c>
      <c r="V15" s="1" t="str">
        <f t="shared" si="1"/>
        <v>&lt;title&gt;Advent 2015&lt;/title&gt;</v>
      </c>
      <c r="W15" s="1" t="str">
        <f t="shared" si="1"/>
        <v>&lt;title&gt;Fastenzeit 2015 mit Teresa von Avila&lt;/title&gt;</v>
      </c>
      <c r="X15" s="1" t="str">
        <f t="shared" si="1"/>
        <v>&lt;title&gt;Licht in der Finsternis werden mit dem Karmeliten P. Jacques von Jesus OCD (1900-1945)&lt;/title&gt;</v>
      </c>
      <c r="Y15" s="1" t="str">
        <f t="shared" si="1"/>
        <v>&lt;title&gt;Fastenzeit 2014&lt;/title&gt;</v>
      </c>
      <c r="Z15" s="1" t="str">
        <f t="shared" si="1"/>
        <v>&lt;title&gt;Advent 2013: Vorbereitung auf Weihnachten mit Edith Stein&lt;/title&gt;</v>
      </c>
      <c r="AA15" s="1" t="str">
        <f t="shared" si="1"/>
        <v>&lt;title&gt;Fastenzeit 2013 mit der Hl. Edith Stein&lt;/title&gt;</v>
      </c>
      <c r="AB15" s="1" t="str">
        <f t="shared" si="1"/>
        <v>&lt;title&gt;0&lt;/title&gt;</v>
      </c>
      <c r="AC15" s="1" t="str">
        <f t="shared" si="1"/>
        <v>&lt;title&gt;Fastenzeit 2012 mit der Hl. Edith Stein&lt;/title&gt;</v>
      </c>
      <c r="AD15" s="1" t="str">
        <f t="shared" si="1"/>
        <v>&lt;title&gt;0&lt;/title&gt;</v>
      </c>
      <c r="AE15" s="1" t="str">
        <f t="shared" si="1"/>
        <v>&lt;title&gt;0&lt;/title&gt;</v>
      </c>
      <c r="AF15" s="1" t="str">
        <f t="shared" si="1"/>
        <v>&lt;title&gt;&lt;/title&gt;</v>
      </c>
      <c r="AG15" s="1" t="str">
        <f t="shared" si="1"/>
        <v>&lt;title&gt;&lt;/title&gt;</v>
      </c>
    </row>
    <row r="16" spans="2:33" x14ac:dyDescent="0.25">
      <c r="B16" s="5"/>
      <c r="G16" s="1"/>
      <c r="H16" s="1"/>
      <c r="I16" s="1"/>
      <c r="J16" s="1"/>
      <c r="K16" s="1"/>
      <c r="L16" s="1"/>
      <c r="M16" s="1"/>
      <c r="N16" s="1"/>
      <c r="O16" s="1"/>
      <c r="P16" s="1"/>
      <c r="Q16" s="1"/>
      <c r="R16" s="1"/>
      <c r="S16" s="1"/>
      <c r="T16" s="1"/>
      <c r="U16" s="1"/>
      <c r="V16" s="1"/>
      <c r="W16" s="1"/>
      <c r="X16" s="1"/>
      <c r="Y16" s="1"/>
      <c r="Z16" s="1"/>
      <c r="AA16" s="1"/>
      <c r="AB16" s="1"/>
      <c r="AC16" s="1"/>
      <c r="AD16" s="1"/>
      <c r="AE16" s="1"/>
      <c r="AF16" s="1"/>
      <c r="AG16" s="1"/>
    </row>
    <row r="17" spans="2:33" x14ac:dyDescent="0.25">
      <c r="B17" s="4" t="s">
        <v>646</v>
      </c>
      <c r="C17" t="s">
        <v>646</v>
      </c>
      <c r="D17" t="s">
        <v>646</v>
      </c>
      <c r="E17" s="1" t="s">
        <v>646</v>
      </c>
      <c r="F17" s="2" t="s">
        <v>646</v>
      </c>
      <c r="G17" s="1" t="s">
        <v>646</v>
      </c>
      <c r="H17" s="1" t="s">
        <v>646</v>
      </c>
      <c r="I17" s="1" t="s">
        <v>646</v>
      </c>
      <c r="J17" s="1" t="s">
        <v>646</v>
      </c>
      <c r="K17" s="1" t="s">
        <v>646</v>
      </c>
      <c r="L17" s="1" t="s">
        <v>646</v>
      </c>
      <c r="M17" s="1" t="s">
        <v>646</v>
      </c>
      <c r="N17" s="1" t="s">
        <v>646</v>
      </c>
      <c r="O17" s="1" t="s">
        <v>646</v>
      </c>
      <c r="P17" s="1" t="s">
        <v>646</v>
      </c>
      <c r="Q17" s="1" t="s">
        <v>646</v>
      </c>
      <c r="R17" s="1" t="s">
        <v>646</v>
      </c>
      <c r="S17" s="1" t="s">
        <v>646</v>
      </c>
      <c r="T17" s="1" t="s">
        <v>646</v>
      </c>
      <c r="U17" s="1" t="s">
        <v>646</v>
      </c>
      <c r="V17" s="1" t="s">
        <v>646</v>
      </c>
      <c r="W17" s="1" t="s">
        <v>646</v>
      </c>
      <c r="X17" s="1" t="s">
        <v>646</v>
      </c>
      <c r="Y17" s="1" t="s">
        <v>646</v>
      </c>
      <c r="Z17" s="1" t="s">
        <v>646</v>
      </c>
      <c r="AA17" s="1" t="s">
        <v>646</v>
      </c>
      <c r="AB17" s="1" t="s">
        <v>646</v>
      </c>
      <c r="AC17" s="1" t="s">
        <v>646</v>
      </c>
      <c r="AD17" s="1" t="s">
        <v>646</v>
      </c>
      <c r="AE17" s="1" t="s">
        <v>646</v>
      </c>
      <c r="AF17" s="1" t="s">
        <v>646</v>
      </c>
      <c r="AG17" s="1" t="s">
        <v>646</v>
      </c>
    </row>
    <row r="18" spans="2:33" x14ac:dyDescent="0.25">
      <c r="B18" s="4" t="s">
        <v>647</v>
      </c>
      <c r="C18" t="s">
        <v>647</v>
      </c>
      <c r="D18" t="s">
        <v>647</v>
      </c>
      <c r="E18" s="1" t="s">
        <v>647</v>
      </c>
      <c r="F18" s="2" t="s">
        <v>647</v>
      </c>
      <c r="G18" s="1" t="s">
        <v>647</v>
      </c>
      <c r="H18" s="1" t="s">
        <v>647</v>
      </c>
      <c r="I18" s="1" t="s">
        <v>647</v>
      </c>
      <c r="J18" s="1" t="s">
        <v>647</v>
      </c>
      <c r="K18" s="1" t="s">
        <v>647</v>
      </c>
      <c r="L18" s="1" t="s">
        <v>647</v>
      </c>
      <c r="M18" s="1" t="s">
        <v>647</v>
      </c>
      <c r="N18" s="1" t="s">
        <v>647</v>
      </c>
      <c r="O18" s="1" t="s">
        <v>647</v>
      </c>
      <c r="P18" s="1" t="s">
        <v>647</v>
      </c>
      <c r="Q18" s="1" t="s">
        <v>647</v>
      </c>
      <c r="R18" s="1" t="s">
        <v>647</v>
      </c>
      <c r="S18" s="1" t="s">
        <v>647</v>
      </c>
      <c r="T18" s="1" t="s">
        <v>647</v>
      </c>
      <c r="U18" s="1" t="s">
        <v>647</v>
      </c>
      <c r="V18" s="1" t="s">
        <v>647</v>
      </c>
      <c r="W18" s="1" t="s">
        <v>647</v>
      </c>
      <c r="X18" s="1" t="s">
        <v>647</v>
      </c>
      <c r="Y18" s="1" t="s">
        <v>647</v>
      </c>
      <c r="Z18" s="1" t="s">
        <v>647</v>
      </c>
      <c r="AA18" s="1" t="s">
        <v>647</v>
      </c>
      <c r="AB18" s="1" t="s">
        <v>647</v>
      </c>
      <c r="AC18" s="1" t="s">
        <v>647</v>
      </c>
      <c r="AD18" s="1" t="s">
        <v>647</v>
      </c>
      <c r="AE18" s="1" t="s">
        <v>647</v>
      </c>
      <c r="AF18" s="1" t="s">
        <v>647</v>
      </c>
      <c r="AG18" s="1" t="s">
        <v>647</v>
      </c>
    </row>
    <row r="19" spans="2:33" x14ac:dyDescent="0.25">
      <c r="B19" s="4" t="s">
        <v>648</v>
      </c>
      <c r="C19" t="s">
        <v>648</v>
      </c>
      <c r="D19" t="s">
        <v>648</v>
      </c>
      <c r="E19" s="1" t="s">
        <v>648</v>
      </c>
      <c r="F19" s="2" t="s">
        <v>648</v>
      </c>
      <c r="G19" s="1" t="s">
        <v>648</v>
      </c>
      <c r="H19" s="1" t="s">
        <v>648</v>
      </c>
      <c r="I19" s="1" t="s">
        <v>648</v>
      </c>
      <c r="J19" s="1" t="s">
        <v>648</v>
      </c>
      <c r="K19" s="1" t="s">
        <v>648</v>
      </c>
      <c r="L19" s="1" t="s">
        <v>648</v>
      </c>
      <c r="M19" s="1" t="s">
        <v>648</v>
      </c>
      <c r="N19" s="1" t="s">
        <v>648</v>
      </c>
      <c r="O19" s="1" t="s">
        <v>648</v>
      </c>
      <c r="P19" s="1" t="s">
        <v>648</v>
      </c>
      <c r="Q19" s="1" t="s">
        <v>648</v>
      </c>
      <c r="R19" s="1" t="s">
        <v>648</v>
      </c>
      <c r="S19" s="1" t="s">
        <v>648</v>
      </c>
      <c r="T19" s="1" t="s">
        <v>648</v>
      </c>
      <c r="U19" s="1" t="s">
        <v>648</v>
      </c>
      <c r="V19" s="1" t="s">
        <v>648</v>
      </c>
      <c r="W19" s="1" t="s">
        <v>648</v>
      </c>
      <c r="X19" s="1" t="s">
        <v>648</v>
      </c>
      <c r="Y19" s="1" t="s">
        <v>648</v>
      </c>
      <c r="Z19" s="1" t="s">
        <v>648</v>
      </c>
      <c r="AA19" s="1" t="s">
        <v>648</v>
      </c>
      <c r="AB19" s="1" t="s">
        <v>648</v>
      </c>
      <c r="AC19" s="1" t="s">
        <v>648</v>
      </c>
      <c r="AD19" s="1" t="s">
        <v>648</v>
      </c>
      <c r="AE19" s="1" t="s">
        <v>648</v>
      </c>
      <c r="AF19" s="1" t="s">
        <v>648</v>
      </c>
      <c r="AG19" s="1" t="s">
        <v>648</v>
      </c>
    </row>
    <row r="20" spans="2:33" x14ac:dyDescent="0.25">
      <c r="B20" s="4" t="s">
        <v>649</v>
      </c>
      <c r="C20" t="s">
        <v>649</v>
      </c>
      <c r="D20" t="s">
        <v>649</v>
      </c>
      <c r="E20" s="1" t="s">
        <v>649</v>
      </c>
      <c r="F20" s="2" t="s">
        <v>649</v>
      </c>
      <c r="G20" s="1" t="s">
        <v>649</v>
      </c>
      <c r="H20" s="1" t="s">
        <v>649</v>
      </c>
      <c r="I20" s="1" t="s">
        <v>649</v>
      </c>
      <c r="J20" s="1" t="s">
        <v>649</v>
      </c>
      <c r="K20" s="1" t="s">
        <v>649</v>
      </c>
      <c r="L20" s="1" t="s">
        <v>649</v>
      </c>
      <c r="M20" s="1" t="s">
        <v>649</v>
      </c>
      <c r="N20" s="1" t="s">
        <v>649</v>
      </c>
      <c r="O20" s="1" t="s">
        <v>649</v>
      </c>
      <c r="P20" s="1" t="s">
        <v>649</v>
      </c>
      <c r="Q20" s="1" t="s">
        <v>649</v>
      </c>
      <c r="R20" s="1" t="s">
        <v>649</v>
      </c>
      <c r="S20" s="1" t="s">
        <v>649</v>
      </c>
      <c r="T20" s="1" t="s">
        <v>649</v>
      </c>
      <c r="U20" s="1" t="s">
        <v>649</v>
      </c>
      <c r="V20" s="1" t="s">
        <v>649</v>
      </c>
      <c r="W20" s="1" t="s">
        <v>649</v>
      </c>
      <c r="X20" s="1" t="s">
        <v>649</v>
      </c>
      <c r="Y20" s="1" t="s">
        <v>649</v>
      </c>
      <c r="Z20" s="1" t="s">
        <v>649</v>
      </c>
      <c r="AA20" s="1" t="s">
        <v>649</v>
      </c>
      <c r="AB20" s="1" t="s">
        <v>649</v>
      </c>
      <c r="AC20" s="1" t="s">
        <v>649</v>
      </c>
      <c r="AD20" s="1" t="s">
        <v>649</v>
      </c>
      <c r="AE20" s="1" t="s">
        <v>649</v>
      </c>
      <c r="AF20" s="1" t="s">
        <v>649</v>
      </c>
      <c r="AG20" s="1" t="s">
        <v>649</v>
      </c>
    </row>
    <row r="21" spans="2:33" x14ac:dyDescent="0.25">
      <c r="B21" s="4" t="s">
        <v>650</v>
      </c>
      <c r="C21" t="s">
        <v>650</v>
      </c>
      <c r="D21" t="s">
        <v>650</v>
      </c>
      <c r="E21" s="1" t="s">
        <v>650</v>
      </c>
      <c r="F21" s="2" t="s">
        <v>650</v>
      </c>
      <c r="G21" s="1" t="s">
        <v>650</v>
      </c>
      <c r="H21" s="1" t="s">
        <v>650</v>
      </c>
      <c r="I21" s="1" t="s">
        <v>650</v>
      </c>
      <c r="J21" s="1" t="s">
        <v>650</v>
      </c>
      <c r="K21" s="1" t="s">
        <v>837</v>
      </c>
      <c r="L21" s="1" t="s">
        <v>837</v>
      </c>
      <c r="M21" s="1" t="s">
        <v>837</v>
      </c>
      <c r="N21" s="1" t="s">
        <v>837</v>
      </c>
      <c r="O21" s="1" t="s">
        <v>837</v>
      </c>
      <c r="P21" s="1" t="s">
        <v>837</v>
      </c>
      <c r="Q21" s="1" t="s">
        <v>837</v>
      </c>
      <c r="R21" s="1" t="s">
        <v>837</v>
      </c>
      <c r="S21" s="1" t="s">
        <v>837</v>
      </c>
      <c r="T21" s="1" t="s">
        <v>837</v>
      </c>
      <c r="U21" s="1" t="s">
        <v>837</v>
      </c>
      <c r="V21" s="1" t="s">
        <v>837</v>
      </c>
      <c r="W21" s="1" t="s">
        <v>837</v>
      </c>
      <c r="X21" s="1" t="s">
        <v>837</v>
      </c>
      <c r="Y21" s="1" t="s">
        <v>837</v>
      </c>
      <c r="Z21" s="1" t="s">
        <v>837</v>
      </c>
      <c r="AA21" s="1" t="s">
        <v>837</v>
      </c>
      <c r="AB21" s="1" t="s">
        <v>837</v>
      </c>
      <c r="AC21" s="1" t="s">
        <v>837</v>
      </c>
      <c r="AD21" s="1" t="s">
        <v>837</v>
      </c>
      <c r="AE21" s="1" t="s">
        <v>837</v>
      </c>
      <c r="AF21" s="1" t="s">
        <v>837</v>
      </c>
      <c r="AG21" s="1" t="s">
        <v>837</v>
      </c>
    </row>
    <row r="22" spans="2:33" x14ac:dyDescent="0.25">
      <c r="B22" s="4" t="s">
        <v>651</v>
      </c>
      <c r="C22" t="s">
        <v>651</v>
      </c>
      <c r="D22" t="s">
        <v>651</v>
      </c>
      <c r="E22" s="1" t="s">
        <v>651</v>
      </c>
      <c r="F22" s="2" t="s">
        <v>651</v>
      </c>
      <c r="G22" s="1" t="s">
        <v>651</v>
      </c>
      <c r="H22" s="1" t="s">
        <v>651</v>
      </c>
      <c r="I22" s="1" t="s">
        <v>651</v>
      </c>
      <c r="J22" s="1" t="s">
        <v>651</v>
      </c>
      <c r="K22" s="1" t="s">
        <v>838</v>
      </c>
      <c r="L22" s="1" t="s">
        <v>838</v>
      </c>
      <c r="M22" s="1" t="s">
        <v>838</v>
      </c>
      <c r="N22" s="1" t="s">
        <v>838</v>
      </c>
      <c r="O22" s="1" t="s">
        <v>838</v>
      </c>
      <c r="P22" s="1" t="s">
        <v>838</v>
      </c>
      <c r="Q22" s="1" t="s">
        <v>838</v>
      </c>
      <c r="R22" s="1" t="s">
        <v>838</v>
      </c>
      <c r="S22" s="1" t="s">
        <v>838</v>
      </c>
      <c r="T22" s="1" t="s">
        <v>838</v>
      </c>
      <c r="U22" s="1" t="s">
        <v>838</v>
      </c>
      <c r="V22" s="1" t="s">
        <v>838</v>
      </c>
      <c r="W22" s="1" t="s">
        <v>838</v>
      </c>
      <c r="X22" s="1" t="s">
        <v>838</v>
      </c>
      <c r="Y22" s="1" t="s">
        <v>838</v>
      </c>
      <c r="Z22" s="1" t="s">
        <v>838</v>
      </c>
      <c r="AA22" s="1" t="s">
        <v>838</v>
      </c>
      <c r="AB22" s="1" t="s">
        <v>838</v>
      </c>
      <c r="AC22" s="1" t="s">
        <v>838</v>
      </c>
      <c r="AD22" s="1" t="s">
        <v>838</v>
      </c>
      <c r="AE22" s="1" t="s">
        <v>838</v>
      </c>
      <c r="AF22" s="1" t="s">
        <v>838</v>
      </c>
      <c r="AG22" s="1" t="s">
        <v>838</v>
      </c>
    </row>
    <row r="23" spans="2:33" x14ac:dyDescent="0.25">
      <c r="B23" s="4" t="s">
        <v>652</v>
      </c>
      <c r="C23" t="s">
        <v>652</v>
      </c>
      <c r="D23" t="s">
        <v>652</v>
      </c>
      <c r="E23" s="1" t="s">
        <v>652</v>
      </c>
      <c r="F23" s="2" t="s">
        <v>652</v>
      </c>
      <c r="G23" s="1" t="s">
        <v>652</v>
      </c>
      <c r="H23" s="1" t="s">
        <v>652</v>
      </c>
      <c r="I23" s="1" t="s">
        <v>652</v>
      </c>
      <c r="J23" s="1" t="s">
        <v>652</v>
      </c>
      <c r="K23" s="1" t="s">
        <v>652</v>
      </c>
      <c r="L23" s="1" t="s">
        <v>652</v>
      </c>
      <c r="M23" s="1" t="s">
        <v>652</v>
      </c>
      <c r="N23" s="1" t="s">
        <v>652</v>
      </c>
      <c r="O23" s="1" t="s">
        <v>652</v>
      </c>
      <c r="P23" s="1" t="s">
        <v>652</v>
      </c>
      <c r="Q23" s="1" t="s">
        <v>652</v>
      </c>
      <c r="R23" s="1" t="s">
        <v>652</v>
      </c>
      <c r="S23" s="1" t="s">
        <v>652</v>
      </c>
      <c r="T23" s="1" t="s">
        <v>652</v>
      </c>
      <c r="U23" s="1" t="s">
        <v>652</v>
      </c>
      <c r="V23" s="1" t="s">
        <v>652</v>
      </c>
      <c r="W23" s="1" t="s">
        <v>652</v>
      </c>
      <c r="X23" s="1" t="s">
        <v>652</v>
      </c>
      <c r="Y23" s="1" t="s">
        <v>652</v>
      </c>
      <c r="Z23" s="1" t="s">
        <v>652</v>
      </c>
      <c r="AA23" s="1" t="s">
        <v>652</v>
      </c>
      <c r="AB23" s="1" t="s">
        <v>652</v>
      </c>
      <c r="AC23" s="1" t="s">
        <v>652</v>
      </c>
      <c r="AD23" s="1" t="s">
        <v>652</v>
      </c>
      <c r="AE23" s="1" t="s">
        <v>652</v>
      </c>
      <c r="AF23" s="1" t="s">
        <v>652</v>
      </c>
      <c r="AG23" s="1" t="s">
        <v>652</v>
      </c>
    </row>
    <row r="24" spans="2:33" x14ac:dyDescent="0.25">
      <c r="B24" s="4" t="s">
        <v>653</v>
      </c>
      <c r="C24" t="s">
        <v>653</v>
      </c>
      <c r="D24" t="s">
        <v>653</v>
      </c>
      <c r="E24" s="1" t="s">
        <v>653</v>
      </c>
      <c r="F24" s="2" t="s">
        <v>653</v>
      </c>
      <c r="G24" s="1" t="s">
        <v>653</v>
      </c>
      <c r="H24" s="1" t="s">
        <v>653</v>
      </c>
      <c r="I24" s="1" t="s">
        <v>653</v>
      </c>
      <c r="J24" s="1" t="s">
        <v>653</v>
      </c>
      <c r="K24" s="1" t="s">
        <v>653</v>
      </c>
      <c r="L24" s="1" t="s">
        <v>653</v>
      </c>
      <c r="M24" s="1" t="s">
        <v>653</v>
      </c>
      <c r="N24" s="1" t="s">
        <v>653</v>
      </c>
      <c r="O24" s="1" t="s">
        <v>653</v>
      </c>
      <c r="P24" s="1" t="s">
        <v>653</v>
      </c>
      <c r="Q24" s="1" t="s">
        <v>653</v>
      </c>
      <c r="R24" s="1" t="s">
        <v>653</v>
      </c>
      <c r="S24" s="1" t="s">
        <v>653</v>
      </c>
      <c r="T24" s="1" t="s">
        <v>653</v>
      </c>
      <c r="U24" s="1" t="s">
        <v>653</v>
      </c>
      <c r="V24" s="1" t="s">
        <v>653</v>
      </c>
      <c r="W24" s="1" t="s">
        <v>653</v>
      </c>
      <c r="X24" s="1" t="s">
        <v>653</v>
      </c>
      <c r="Y24" s="1" t="s">
        <v>653</v>
      </c>
      <c r="Z24" s="1" t="s">
        <v>653</v>
      </c>
      <c r="AA24" s="1" t="s">
        <v>653</v>
      </c>
      <c r="AB24" s="1" t="s">
        <v>653</v>
      </c>
      <c r="AC24" s="1" t="s">
        <v>653</v>
      </c>
      <c r="AD24" s="1" t="s">
        <v>653</v>
      </c>
      <c r="AE24" s="1" t="s">
        <v>653</v>
      </c>
      <c r="AF24" s="1" t="s">
        <v>653</v>
      </c>
      <c r="AG24" s="1" t="s">
        <v>653</v>
      </c>
    </row>
    <row r="25" spans="2:33" x14ac:dyDescent="0.25">
      <c r="B25" s="4" t="s">
        <v>654</v>
      </c>
      <c r="C25" t="s">
        <v>654</v>
      </c>
      <c r="D25" t="s">
        <v>654</v>
      </c>
      <c r="E25" s="1" t="s">
        <v>654</v>
      </c>
      <c r="F25" s="2" t="s">
        <v>654</v>
      </c>
      <c r="G25" s="1" t="s">
        <v>654</v>
      </c>
      <c r="H25" s="1" t="s">
        <v>654</v>
      </c>
      <c r="I25" s="1" t="s">
        <v>654</v>
      </c>
      <c r="J25" s="1" t="s">
        <v>654</v>
      </c>
      <c r="K25" s="1" t="s">
        <v>654</v>
      </c>
      <c r="L25" s="1" t="s">
        <v>654</v>
      </c>
      <c r="M25" s="1" t="s">
        <v>654</v>
      </c>
      <c r="N25" s="1" t="s">
        <v>654</v>
      </c>
      <c r="O25" s="1" t="s">
        <v>654</v>
      </c>
      <c r="P25" s="1" t="s">
        <v>654</v>
      </c>
      <c r="Q25" s="1" t="s">
        <v>654</v>
      </c>
      <c r="R25" s="1" t="s">
        <v>654</v>
      </c>
      <c r="S25" s="1" t="s">
        <v>654</v>
      </c>
      <c r="T25" s="1" t="s">
        <v>654</v>
      </c>
      <c r="U25" s="1" t="s">
        <v>654</v>
      </c>
      <c r="V25" s="1" t="s">
        <v>654</v>
      </c>
      <c r="W25" s="1" t="s">
        <v>654</v>
      </c>
      <c r="X25" s="1" t="s">
        <v>654</v>
      </c>
      <c r="Y25" s="1" t="s">
        <v>654</v>
      </c>
      <c r="Z25" s="1" t="s">
        <v>654</v>
      </c>
      <c r="AA25" s="1" t="s">
        <v>654</v>
      </c>
      <c r="AB25" s="1" t="s">
        <v>654</v>
      </c>
      <c r="AC25" s="1" t="s">
        <v>654</v>
      </c>
      <c r="AD25" s="1" t="s">
        <v>654</v>
      </c>
      <c r="AE25" s="1" t="s">
        <v>654</v>
      </c>
      <c r="AF25" s="1" t="s">
        <v>654</v>
      </c>
      <c r="AG25" s="1" t="s">
        <v>654</v>
      </c>
    </row>
    <row r="26" spans="2:33" x14ac:dyDescent="0.25">
      <c r="B26" s="4" t="s">
        <v>655</v>
      </c>
      <c r="C26" t="s">
        <v>655</v>
      </c>
      <c r="D26" t="s">
        <v>655</v>
      </c>
      <c r="E26" s="1" t="s">
        <v>655</v>
      </c>
      <c r="F26" s="2" t="s">
        <v>655</v>
      </c>
      <c r="G26" s="1" t="s">
        <v>655</v>
      </c>
      <c r="H26" s="1" t="s">
        <v>655</v>
      </c>
      <c r="I26" s="1" t="s">
        <v>655</v>
      </c>
      <c r="J26" s="1" t="s">
        <v>655</v>
      </c>
      <c r="K26" s="1" t="s">
        <v>655</v>
      </c>
      <c r="L26" s="1" t="s">
        <v>655</v>
      </c>
      <c r="M26" s="1" t="s">
        <v>655</v>
      </c>
      <c r="N26" s="1" t="s">
        <v>655</v>
      </c>
      <c r="O26" s="1" t="s">
        <v>655</v>
      </c>
      <c r="P26" s="1" t="s">
        <v>655</v>
      </c>
      <c r="Q26" s="1" t="s">
        <v>655</v>
      </c>
      <c r="R26" s="1" t="s">
        <v>655</v>
      </c>
      <c r="S26" s="1" t="s">
        <v>655</v>
      </c>
      <c r="T26" s="1" t="s">
        <v>655</v>
      </c>
      <c r="U26" s="1" t="s">
        <v>655</v>
      </c>
      <c r="V26" s="1" t="s">
        <v>655</v>
      </c>
      <c r="W26" s="1" t="s">
        <v>655</v>
      </c>
      <c r="X26" s="1" t="s">
        <v>655</v>
      </c>
      <c r="Y26" s="1" t="s">
        <v>655</v>
      </c>
      <c r="Z26" s="1" t="s">
        <v>655</v>
      </c>
      <c r="AA26" s="1" t="s">
        <v>655</v>
      </c>
      <c r="AB26" s="1" t="s">
        <v>655</v>
      </c>
      <c r="AC26" s="1" t="s">
        <v>655</v>
      </c>
      <c r="AD26" s="1" t="s">
        <v>655</v>
      </c>
      <c r="AE26" s="1" t="s">
        <v>655</v>
      </c>
      <c r="AF26" s="1" t="s">
        <v>655</v>
      </c>
      <c r="AG26" s="1" t="s">
        <v>655</v>
      </c>
    </row>
    <row r="27" spans="2:33" ht="409.5" x14ac:dyDescent="0.25">
      <c r="B27" s="4" t="s">
        <v>656</v>
      </c>
      <c r="C27" t="s">
        <v>656</v>
      </c>
      <c r="D27" t="s">
        <v>656</v>
      </c>
      <c r="E27" s="6" t="str">
        <f>header_block_de!$A1</f>
        <v>&lt;header class="moving-banner" aria-label="Decorative animated banner"&gt;
  &lt;div class="moving-banner__track"&gt;
    &lt;img src="../img/website_banner_wide_e.webp" alt=""&gt;
    &lt;img src="../img/website_banner_wide_e.webp" alt="" aria-hidden="true"&gt;
  &lt;/div&gt;
    &lt;/header&gt;
      &lt;nav class="header-inner"&gt;
        &lt;a href="#" class="brand" aria-label="Startseite"&gt;
          &lt;span class="brand-mark" aria-hidden="true"&gt;&lt;img src="../img/apple-touch-icon.png" style="border-radius: var(--radius-lg)"&gt;&lt;/span&gt;
          &lt;span class="brand-text"&gt;
            &lt;span class="brand-kicker"&gt;Teresianischer Karmel&lt;/span&gt;
            &lt;span class="brand-name"&gt;Online-Exerzitien&lt;/span&gt;
          &lt;/span&gt;
        &lt;/a&gt;
&lt;div class="header-actions"&gt;
            &lt;nav class="main-nav" id="main-navigation" aria-label="Hauptnavigation"&gt;
        &lt;ul&gt;
          &lt;li&gt;&lt;a href="../index.html"&gt;&lt;span class="material-symbols-outlined"&gt;home&lt;/span&gt;&lt;/a&gt;&lt;/li&gt;
          &lt;li&gt;&lt;a href="../index.html#signup-panel"&gt;Anmelden&lt;/a&gt;&lt;/li&gt;
          &lt;li&gt;&lt;a href="../index.html#aktuelleExerzitien"&gt;Aktuelle Exerzitien&lt;/a&gt;&lt;/li&gt;
          &lt;li&gt;&lt;a href="../index.html#saints-cards"&gt;Persönlichkeiten&lt;/a&gt;&lt;/li&gt;
          &lt;li&gt;&lt;a href="../index.html#archiv-cards"&gt;Archiv&lt;/a&gt;&lt;/li&gt;
          &lt;li&gt;&lt;a href="../index.html#faq"&gt;FAQ&lt;/a&gt;&lt;/li&gt;
          &lt;li&gt;&lt;a href="../index.html#weiterempfehlen"&gt;Weiterempfehlen&lt;/a&gt;&lt;/li&gt;
          &lt;li&gt;&lt;a href="../about.html"&gt;Über die Karmeliten&lt;/a&gt;&lt;/li&gt;
        &lt;/ul&gt;
                        &lt;details class="settings_accessibility"&gt;
                          &lt;summary class="settings_accessibility_trigger" aria-label="Accessiblity Settings"&gt;
                            &lt;span class="material-symbols-outlined" aria-label="true"&gt;
                            settings
                            &lt;/span&gt;  
                            &lt;span class="material-symbols-outlined" aria-label="true"&gt;
                            settings_accessibility
                            &lt;/span&gt;                        
                          &lt;/summary&gt;
                &lt;nav class="settings_accessibility_list" aria-label="Sprachauswahl"&gt;
                &lt;button class="font-decrease theme-toggle" type="button" data-font-decrease aria-label="Schriftgröße verkleinern"&gt;
          A-
        &lt;/button&gt;
          &lt;button class="font-reset theme-toggle" type="button" data-font-reset aria-label="Schriftgröße zurücksetzen"&gt;
          A
        &lt;/button&gt; 
        &lt;button class="font-increase theme-toggle" type="button" data-font-increase aria-label="Schriftgröße vergrößern"&gt;
          A+
        &lt;/button&gt;
        &lt;button class="theme-toggle" type="button" data-theme-toggle aria-label="Farbschema wechseln"&gt;
          &lt;span class="theme-toggle__icon" aria-hidden="true"&gt;◐&lt;/span&gt;
        &lt;/button&gt;
                &lt;/nav&gt;
        &lt;/details&gt;
      &lt;/nav&gt;
          &lt;button class="nav-toggle" type="button" aria-expanded="false" aria-controls="main-navigation" aria-label="Menü öffnen"&gt;
          &lt;span&gt;&lt;/span&gt;
          &lt;span&gt;&lt;/span&gt;
          &lt;span&gt;&lt;/span&gt;
        &lt;/button&gt;
  &lt;details class="language-menu"&gt;
    &lt;summary class="language-menu__trigger" aria-label="Sprache auswählen"&gt;
      &lt;span aria-hidden="true"&gt;🌐&lt;/span&gt;
      &lt;span&gt;DE&lt;/span&gt;
      &lt;span class="language-menu__current"&gt;Deutsch&lt;/span&gt;
    &lt;/summary&gt;
    &lt;nav class="language-menu__list" aria-label="Sprachauswahl"&gt;
      &lt;a href="https://retraites.carmes-paris.org/" lang="fr" hreflang="fr"&gt;
        &lt;span class="language-flag" aria-hidden="true"&gt;🇫🇷&lt;/span&gt;
        &lt;span class="language-code"&gt;FR&lt;/span&gt;
        &lt;span&gt;Français&lt;/span&gt;
      &lt;/a&gt;
      &lt;a href="../de/" lang="de" hreflang="de" aria-current="page"&gt;
        &lt;span class="language-flag" aria-hidden="true"&gt;🇦🇹🇩🇪&lt;/span&gt;
        &lt;span class="language-code"&gt;DE&lt;/span&gt;
        &lt;span&gt;Deutsch&lt;/span&gt;
        &lt;span class="language-check" aria-hidden="true"&gt;✓&lt;/span&gt;
      &lt;/a&gt;
      &lt;a href="../es/" lang="es" hreflang="es"&gt;
        &lt;span class="language-flag" aria-hidden="true"&gt;🇪🇸&lt;/span&gt;
        &lt;span class="language-code"&gt;ES&lt;/span&gt;
        &lt;span&gt;Español&lt;/span&gt;
      &lt;/a&gt;
      &lt;a href="../it/" lang="it" hreflang="it"&gt;
        &lt;span class="language-flag" aria-hidden="true"&gt;🇮🇹&lt;/span&gt;
        &lt;span class="language-code"&gt;IT&lt;/span&gt;
        &lt;span&gt;Italiano&lt;/span&gt;
      &lt;/a&gt;
      &lt;a href="../en/" lang="en" hreflang="en"&gt;
        &lt;span class="language-flag" aria-hidden="true"&gt;🇬🇧🇺🇸&lt;/span&gt;
        &lt;span class="language-code"&gt;EN&lt;/span&gt;
        &lt;span&gt;English&lt;/span&gt;
      &lt;/a&gt;
      &lt;a href="../pl/" lang="pl" hreflang="pl"&gt;
        &lt;span class="language-flag" aria-hidden="true"&gt;🇵🇱&lt;/span&gt;
        &lt;span class="language-code"&gt;PL&lt;/span&gt;
        &lt;span&gt;Polski&lt;/span&gt;
      &lt;/a&gt;
      &lt;a href="../ar/" lang="ar" hreflang="ar" dir="rtl"&gt;
        &lt;span class="language-flag" aria-hidden="true"&gt;🇱🇧🇸🇦&lt;/span&gt;
        &lt;span class="language-code"&gt;AR&lt;/span&gt;
        &lt;span&gt;العربية&lt;/span&gt;
      &lt;/a&gt;
      &lt;a href="../pt/" lang="pt" hreflang="pt"&gt;
        &lt;span class="language-flag" aria-hidden="true"&gt;🇵🇹&lt;/span&gt;
        &lt;span class="language-code"&gt;PT&lt;/span&gt;
        &lt;span&gt;Português&lt;/span&gt;
      &lt;/a&gt;
      &lt;a href="../zh/" lang="zh" hreflang="zh"&gt;
        &lt;span class="language-flag" aria-hidden="true"&gt;🇨🇳&lt;/span&gt;
        &lt;span class="language-code"&gt;ZH&lt;/span&gt;
        &lt;span&gt;中文&lt;/span&gt;
      &lt;/a&gt;
      &lt;a href="../cs/" lang="cs" hreflang="cs"&gt;
        &lt;span class="language-flag" aria-hidden="true"&gt;🇨🇿&lt;/span&gt;
        &lt;span class="language-code"&gt;CS&lt;/span&gt;
        &lt;span&gt;Čeština&lt;/span&gt;
      &lt;/a&gt;
      &lt;a href="../hr/" lang="hr" hreflang="hr"&gt;
        &lt;span class="language-flag" aria-hidden="true"&gt;🇭🇷&lt;/span&gt;
        &lt;span class="language-code"&gt;HR&lt;/span&gt;
        &lt;span&gt;Hrvatski&lt;/span&gt;
      &lt;/a&gt;
      &lt;a href="../hu/" lang="hu" hreflang="hu"&gt;
        &lt;span class="language-flag" aria-hidden="true"&gt;🇭🇺&lt;/span&gt;
        &lt;span class="language-code"&gt;HU&lt;/span&gt;
        &lt;span&gt;Magyar&lt;/span&gt;
      &lt;/a&gt;
      &lt;a href="../mt/" lang="mt" hreflang="mt"&gt;
        &lt;span class="language-flag" aria-hidden="true"&gt;🇲🇹&lt;/span&gt;
        &lt;span class="language-code"&gt;MT&lt;/span&gt;
        &lt;span&gt;Malti&lt;/span&gt;
      &lt;/a&gt;
      &lt;a href="../nl/" lang="nl" hreflang="nl"&gt;
        &lt;span class="language-flag" aria-hidden="true"&gt;🇳🇱&lt;/span&gt;
        &lt;span class="language-code"&gt;NL&lt;/span&gt;
        &lt;span&gt;Nederlands&lt;/span&gt;
      &lt;/a&gt;
      &lt;a href="../ro/" lang="ro" hreflang="ro"&gt;
        &lt;span class="language-flag" aria-hidden="true"&gt;🇷🇴&lt;/span&gt;
        &lt;span class="language-code"&gt;RO&lt;/span&gt;
        &lt;span&gt;Română&lt;/span&gt;
      &lt;/a&gt;
      &lt;a href="../vi/" lang="vi" hreflang="vi"&gt;
        &lt;span class="language-flag" aria-hidden="true"&gt;🇻🇳&lt;/span&gt;
        &lt;span class="language-code"&gt;VI&lt;/span&gt;
        &lt;span&gt;Tiếng Việt&lt;/span&gt;
      &lt;/a&gt;
    &lt;/nav&gt;
  &lt;/details&gt;
&lt;/div&gt;
      &lt;/nav&gt;</v>
      </c>
      <c r="F27" s="2" t="str">
        <f>header_block_de!$A1</f>
        <v>&lt;header class="moving-banner" aria-label="Decorative animated banner"&gt;
  &lt;div class="moving-banner__track"&gt;
    &lt;img src="../img/website_banner_wide_e.webp" alt=""&gt;
    &lt;img src="../img/website_banner_wide_e.webp" alt="" aria-hidden="true"&gt;
  &lt;/div&gt;
    &lt;/header&gt;
      &lt;nav class="header-inner"&gt;
        &lt;a href="#" class="brand" aria-label="Startseite"&gt;
          &lt;span class="brand-mark" aria-hidden="true"&gt;&lt;img src="../img/apple-touch-icon.png" style="border-radius: var(--radius-lg)"&gt;&lt;/span&gt;
          &lt;span class="brand-text"&gt;
            &lt;span class="brand-kicker"&gt;Teresianischer Karmel&lt;/span&gt;
            &lt;span class="brand-name"&gt;Online-Exerzitien&lt;/span&gt;
          &lt;/span&gt;
        &lt;/a&gt;
&lt;div class="header-actions"&gt;
            &lt;nav class="main-nav" id="main-navigation" aria-label="Hauptnavigation"&gt;
        &lt;ul&gt;
          &lt;li&gt;&lt;a href="../index.html"&gt;&lt;span class="material-symbols-outlined"&gt;home&lt;/span&gt;&lt;/a&gt;&lt;/li&gt;
          &lt;li&gt;&lt;a href="../index.html#signup-panel"&gt;Anmelden&lt;/a&gt;&lt;/li&gt;
          &lt;li&gt;&lt;a href="../index.html#aktuelleExerzitien"&gt;Aktuelle Exerzitien&lt;/a&gt;&lt;/li&gt;
          &lt;li&gt;&lt;a href="../index.html#saints-cards"&gt;Persönlichkeiten&lt;/a&gt;&lt;/li&gt;
          &lt;li&gt;&lt;a href="../index.html#archiv-cards"&gt;Archiv&lt;/a&gt;&lt;/li&gt;
          &lt;li&gt;&lt;a href="../index.html#faq"&gt;FAQ&lt;/a&gt;&lt;/li&gt;
          &lt;li&gt;&lt;a href="../index.html#weiterempfehlen"&gt;Weiterempfehlen&lt;/a&gt;&lt;/li&gt;
          &lt;li&gt;&lt;a href="../about.html"&gt;Über die Karmeliten&lt;/a&gt;&lt;/li&gt;
        &lt;/ul&gt;
                        &lt;details class="settings_accessibility"&gt;
                          &lt;summary class="settings_accessibility_trigger" aria-label="Accessiblity Settings"&gt;
                            &lt;span class="material-symbols-outlined" aria-label="true"&gt;
                            settings
                            &lt;/span&gt;  
                            &lt;span class="material-symbols-outlined" aria-label="true"&gt;
                            settings_accessibility
                            &lt;/span&gt;                        
                          &lt;/summary&gt;
                &lt;nav class="settings_accessibility_list" aria-label="Sprachauswahl"&gt;
                &lt;button class="font-decrease theme-toggle" type="button" data-font-decrease aria-label="Schriftgröße verkleinern"&gt;
          A-
        &lt;/button&gt;
          &lt;button class="font-reset theme-toggle" type="button" data-font-reset aria-label="Schriftgröße zurücksetzen"&gt;
          A
        &lt;/button&gt; 
        &lt;button class="font-increase theme-toggle" type="button" data-font-increase aria-label="Schriftgröße vergrößern"&gt;
          A+
        &lt;/button&gt;
        &lt;button class="theme-toggle" type="button" data-theme-toggle aria-label="Farbschema wechseln"&gt;
          &lt;span class="theme-toggle__icon" aria-hidden="true"&gt;◐&lt;/span&gt;
        &lt;/button&gt;
                &lt;/nav&gt;
        &lt;/details&gt;
      &lt;/nav&gt;
          &lt;button class="nav-toggle" type="button" aria-expanded="false" aria-controls="main-navigation" aria-label="Menü öffnen"&gt;
          &lt;span&gt;&lt;/span&gt;
          &lt;span&gt;&lt;/span&gt;
          &lt;span&gt;&lt;/span&gt;
        &lt;/button&gt;
  &lt;details class="language-menu"&gt;
    &lt;summary class="language-menu__trigger" aria-label="Sprache auswählen"&gt;
      &lt;span aria-hidden="true"&gt;🌐&lt;/span&gt;
      &lt;span&gt;DE&lt;/span&gt;
      &lt;span class="language-menu__current"&gt;Deutsch&lt;/span&gt;
    &lt;/summary&gt;
    &lt;nav class="language-menu__list" aria-label="Sprachauswahl"&gt;
      &lt;a href="https://retraites.carmes-paris.org/" lang="fr" hreflang="fr"&gt;
        &lt;span class="language-flag" aria-hidden="true"&gt;🇫🇷&lt;/span&gt;
        &lt;span class="language-code"&gt;FR&lt;/span&gt;
        &lt;span&gt;Français&lt;/span&gt;
      &lt;/a&gt;
      &lt;a href="../de/" lang="de" hreflang="de" aria-current="page"&gt;
        &lt;span class="language-flag" aria-hidden="true"&gt;🇦🇹🇩🇪&lt;/span&gt;
        &lt;span class="language-code"&gt;DE&lt;/span&gt;
        &lt;span&gt;Deutsch&lt;/span&gt;
        &lt;span class="language-check" aria-hidden="true"&gt;✓&lt;/span&gt;
      &lt;/a&gt;
      &lt;a href="../es/" lang="es" hreflang="es"&gt;
        &lt;span class="language-flag" aria-hidden="true"&gt;🇪🇸&lt;/span&gt;
        &lt;span class="language-code"&gt;ES&lt;/span&gt;
        &lt;span&gt;Español&lt;/span&gt;
      &lt;/a&gt;
      &lt;a href="../it/" lang="it" hreflang="it"&gt;
        &lt;span class="language-flag" aria-hidden="true"&gt;🇮🇹&lt;/span&gt;
        &lt;span class="language-code"&gt;IT&lt;/span&gt;
        &lt;span&gt;Italiano&lt;/span&gt;
      &lt;/a&gt;
      &lt;a href="../en/" lang="en" hreflang="en"&gt;
        &lt;span class="language-flag" aria-hidden="true"&gt;🇬🇧🇺🇸&lt;/span&gt;
        &lt;span class="language-code"&gt;EN&lt;/span&gt;
        &lt;span&gt;English&lt;/span&gt;
      &lt;/a&gt;
      &lt;a href="../pl/" lang="pl" hreflang="pl"&gt;
        &lt;span class="language-flag" aria-hidden="true"&gt;🇵🇱&lt;/span&gt;
        &lt;span class="language-code"&gt;PL&lt;/span&gt;
        &lt;span&gt;Polski&lt;/span&gt;
      &lt;/a&gt;
      &lt;a href="../ar/" lang="ar" hreflang="ar" dir="rtl"&gt;
        &lt;span class="language-flag" aria-hidden="true"&gt;🇱🇧🇸🇦&lt;/span&gt;
        &lt;span class="language-code"&gt;AR&lt;/span&gt;
        &lt;span&gt;العربية&lt;/span&gt;
      &lt;/a&gt;
      &lt;a href="../pt/" lang="pt" hreflang="pt"&gt;
        &lt;span class="language-flag" aria-hidden="true"&gt;🇵🇹&lt;/span&gt;
        &lt;span class="language-code"&gt;PT&lt;/span&gt;
        &lt;span&gt;Português&lt;/span&gt;
      &lt;/a&gt;
      &lt;a href="../zh/" lang="zh" hreflang="zh"&gt;
        &lt;span class="language-flag" aria-hidden="true"&gt;🇨🇳&lt;/span&gt;
        &lt;span class="language-code"&gt;ZH&lt;/span&gt;
        &lt;span&gt;中文&lt;/span&gt;
      &lt;/a&gt;
      &lt;a href="../cs/" lang="cs" hreflang="cs"&gt;
        &lt;span class="language-flag" aria-hidden="true"&gt;🇨🇿&lt;/span&gt;
        &lt;span class="language-code"&gt;CS&lt;/span&gt;
        &lt;span&gt;Čeština&lt;/span&gt;
      &lt;/a&gt;
      &lt;a href="../hr/" lang="hr" hreflang="hr"&gt;
        &lt;span class="language-flag" aria-hidden="true"&gt;🇭🇷&lt;/span&gt;
        &lt;span class="language-code"&gt;HR&lt;/span&gt;
        &lt;span&gt;Hrvatski&lt;/span&gt;
      &lt;/a&gt;
      &lt;a href="../hu/" lang="hu" hreflang="hu"&gt;
        &lt;span class="language-flag" aria-hidden="true"&gt;🇭🇺&lt;/span&gt;
        &lt;span class="language-code"&gt;HU&lt;/span&gt;
        &lt;span&gt;Magyar&lt;/span&gt;
      &lt;/a&gt;
      &lt;a href="../mt/" lang="mt" hreflang="mt"&gt;
        &lt;span class="language-flag" aria-hidden="true"&gt;🇲🇹&lt;/span&gt;
        &lt;span class="language-code"&gt;MT&lt;/span&gt;
        &lt;span&gt;Malti&lt;/span&gt;
      &lt;/a&gt;
      &lt;a href="../nl/" lang="nl" hreflang="nl"&gt;
        &lt;span class="language-flag" aria-hidden="true"&gt;🇳🇱&lt;/span&gt;
        &lt;span class="language-code"&gt;NL&lt;/span&gt;
        &lt;span&gt;Nederlands&lt;/span&gt;
      &lt;/a&gt;
      &lt;a href="../ro/" lang="ro" hreflang="ro"&gt;
        &lt;span class="language-flag" aria-hidden="true"&gt;🇷🇴&lt;/span&gt;
        &lt;span class="language-code"&gt;RO&lt;/span&gt;
        &lt;span&gt;Română&lt;/span&gt;
      &lt;/a&gt;
      &lt;a href="../vi/" lang="vi" hreflang="vi"&gt;
        &lt;span class="language-flag" aria-hidden="true"&gt;🇻🇳&lt;/span&gt;
        &lt;span class="language-code"&gt;VI&lt;/span&gt;
        &lt;span&gt;Tiếng Việt&lt;/span&gt;
      &lt;/a&gt;
    &lt;/nav&gt;
  &lt;/details&gt;
&lt;/div&gt;
      &lt;/nav&gt;</v>
      </c>
      <c r="G27" s="1" t="str">
        <f>header_block_de!$A1</f>
        <v>&lt;header class="moving-banner" aria-label="Decorative animated banner"&gt;
  &lt;div class="moving-banner__track"&gt;
    &lt;img src="../img/website_banner_wide_e.webp" alt=""&gt;
    &lt;img src="../img/website_banner_wide_e.webp" alt="" aria-hidden="true"&gt;
  &lt;/div&gt;
    &lt;/header&gt;
      &lt;nav class="header-inner"&gt;
        &lt;a href="#" class="brand" aria-label="Startseite"&gt;
          &lt;span class="brand-mark" aria-hidden="true"&gt;&lt;img src="../img/apple-touch-icon.png" style="border-radius: var(--radius-lg)"&gt;&lt;/span&gt;
          &lt;span class="brand-text"&gt;
            &lt;span class="brand-kicker"&gt;Teresianischer Karmel&lt;/span&gt;
            &lt;span class="brand-name"&gt;Online-Exerzitien&lt;/span&gt;
          &lt;/span&gt;
        &lt;/a&gt;
&lt;div class="header-actions"&gt;
            &lt;nav class="main-nav" id="main-navigation" aria-label="Hauptnavigation"&gt;
        &lt;ul&gt;
          &lt;li&gt;&lt;a href="../index.html"&gt;&lt;span class="material-symbols-outlined"&gt;home&lt;/span&gt;&lt;/a&gt;&lt;/li&gt;
          &lt;li&gt;&lt;a href="../index.html#signup-panel"&gt;Anmelden&lt;/a&gt;&lt;/li&gt;
          &lt;li&gt;&lt;a href="../index.html#aktuelleExerzitien"&gt;Aktuelle Exerzitien&lt;/a&gt;&lt;/li&gt;
          &lt;li&gt;&lt;a href="../index.html#saints-cards"&gt;Persönlichkeiten&lt;/a&gt;&lt;/li&gt;
          &lt;li&gt;&lt;a href="../index.html#archiv-cards"&gt;Archiv&lt;/a&gt;&lt;/li&gt;
          &lt;li&gt;&lt;a href="../index.html#faq"&gt;FAQ&lt;/a&gt;&lt;/li&gt;
          &lt;li&gt;&lt;a href="../index.html#weiterempfehlen"&gt;Weiterempfehlen&lt;/a&gt;&lt;/li&gt;
          &lt;li&gt;&lt;a href="../about.html"&gt;Über die Karmeliten&lt;/a&gt;&lt;/li&gt;
        &lt;/ul&gt;
                        &lt;details class="settings_accessibility"&gt;
                          &lt;summary class="settings_accessibility_trigger" aria-label="Accessiblity Settings"&gt;
                            &lt;span class="material-symbols-outlined" aria-label="true"&gt;
                            settings
                            &lt;/span&gt;  
                            &lt;span class="material-symbols-outlined" aria-label="true"&gt;
                            settings_accessibility
                            &lt;/span&gt;                        
                          &lt;/summary&gt;
                &lt;nav class="settings_accessibility_list" aria-label="Sprachauswahl"&gt;
                &lt;button class="font-decrease theme-toggle" type="button" data-font-decrease aria-label="Schriftgröße verkleinern"&gt;
          A-
        &lt;/button&gt;
          &lt;button class="font-reset theme-toggle" type="button" data-font-reset aria-label="Schriftgröße zurücksetzen"&gt;
          A
        &lt;/button&gt; 
        &lt;button class="font-increase theme-toggle" type="button" data-font-increase aria-label="Schriftgröße vergrößern"&gt;
          A+
        &lt;/button&gt;
        &lt;button class="theme-toggle" type="button" data-theme-toggle aria-label="Farbschema wechseln"&gt;
          &lt;span class="theme-toggle__icon" aria-hidden="true"&gt;◐&lt;/span&gt;
        &lt;/button&gt;
                &lt;/nav&gt;
        &lt;/details&gt;
      &lt;/nav&gt;
          &lt;button class="nav-toggle" type="button" aria-expanded="false" aria-controls="main-navigation" aria-label="Menü öffnen"&gt;
          &lt;span&gt;&lt;/span&gt;
          &lt;span&gt;&lt;/span&gt;
          &lt;span&gt;&lt;/span&gt;
        &lt;/button&gt;
  &lt;details class="language-menu"&gt;
    &lt;summary class="language-menu__trigger" aria-label="Sprache auswählen"&gt;
      &lt;span aria-hidden="true"&gt;🌐&lt;/span&gt;
      &lt;span&gt;DE&lt;/span&gt;
      &lt;span class="language-menu__current"&gt;Deutsch&lt;/span&gt;
    &lt;/summary&gt;
    &lt;nav class="language-menu__list" aria-label="Sprachauswahl"&gt;
      &lt;a href="https://retraites.carmes-paris.org/" lang="fr" hreflang="fr"&gt;
        &lt;span class="language-flag" aria-hidden="true"&gt;🇫🇷&lt;/span&gt;
        &lt;span class="language-code"&gt;FR&lt;/span&gt;
        &lt;span&gt;Français&lt;/span&gt;
      &lt;/a&gt;
      &lt;a href="../de/" lang="de" hreflang="de" aria-current="page"&gt;
        &lt;span class="language-flag" aria-hidden="true"&gt;🇦🇹🇩🇪&lt;/span&gt;
        &lt;span class="language-code"&gt;DE&lt;/span&gt;
        &lt;span&gt;Deutsch&lt;/span&gt;
        &lt;span class="language-check" aria-hidden="true"&gt;✓&lt;/span&gt;
      &lt;/a&gt;
      &lt;a href="../es/" lang="es" hreflang="es"&gt;
        &lt;span class="language-flag" aria-hidden="true"&gt;🇪🇸&lt;/span&gt;
        &lt;span class="language-code"&gt;ES&lt;/span&gt;
        &lt;span&gt;Español&lt;/span&gt;
      &lt;/a&gt;
      &lt;a href="../it/" lang="it" hreflang="it"&gt;
        &lt;span class="language-flag" aria-hidden="true"&gt;🇮🇹&lt;/span&gt;
        &lt;span class="language-code"&gt;IT&lt;/span&gt;
        &lt;span&gt;Italiano&lt;/span&gt;
      &lt;/a&gt;
      &lt;a href="../en/" lang="en" hreflang="en"&gt;
        &lt;span class="language-flag" aria-hidden="true"&gt;🇬🇧🇺🇸&lt;/span&gt;
        &lt;span class="language-code"&gt;EN&lt;/span&gt;
        &lt;span&gt;English&lt;/span&gt;
      &lt;/a&gt;
      &lt;a href="../pl/" lang="pl" hreflang="pl"&gt;
        &lt;span class="language-flag" aria-hidden="true"&gt;🇵🇱&lt;/span&gt;
        &lt;span class="language-code"&gt;PL&lt;/span&gt;
        &lt;span&gt;Polski&lt;/span&gt;
      &lt;/a&gt;
      &lt;a href="../ar/" lang="ar" hreflang="ar" dir="rtl"&gt;
        &lt;span class="language-flag" aria-hidden="true"&gt;🇱🇧🇸🇦&lt;/span&gt;
        &lt;span class="language-code"&gt;AR&lt;/span&gt;
        &lt;span&gt;العربية&lt;/span&gt;
      &lt;/a&gt;
      &lt;a href="../pt/" lang="pt" hreflang="pt"&gt;
        &lt;span class="language-flag" aria-hidden="true"&gt;🇵🇹&lt;/span&gt;
        &lt;span class="language-code"&gt;PT&lt;/span&gt;
        &lt;span&gt;Português&lt;/span&gt;
      &lt;/a&gt;
      &lt;a href="../zh/" lang="zh" hreflang="zh"&gt;
        &lt;span class="language-flag" aria-hidden="true"&gt;🇨🇳&lt;/span&gt;
        &lt;span class="language-code"&gt;ZH&lt;/span&gt;
        &lt;span&gt;中文&lt;/span&gt;
      &lt;/a&gt;
      &lt;a href="../cs/" lang="cs" hreflang="cs"&gt;
        &lt;span class="language-flag" aria-hidden="true"&gt;🇨🇿&lt;/span&gt;
        &lt;span class="language-code"&gt;CS&lt;/span&gt;
        &lt;span&gt;Čeština&lt;/span&gt;
      &lt;/a&gt;
      &lt;a href="../hr/" lang="hr" hreflang="hr"&gt;
        &lt;span class="language-flag" aria-hidden="true"&gt;🇭🇷&lt;/span&gt;
        &lt;span class="language-code"&gt;HR&lt;/span&gt;
        &lt;span&gt;Hrvatski&lt;/span&gt;
      &lt;/a&gt;
      &lt;a href="../hu/" lang="hu" hreflang="hu"&gt;
        &lt;span class="language-flag" aria-hidden="true"&gt;🇭🇺&lt;/span&gt;
        &lt;span class="language-code"&gt;HU&lt;/span&gt;
        &lt;span&gt;Magyar&lt;/span&gt;
      &lt;/a&gt;
      &lt;a href="../mt/" lang="mt" hreflang="mt"&gt;
        &lt;span class="language-flag" aria-hidden="true"&gt;🇲🇹&lt;/span&gt;
        &lt;span class="language-code"&gt;MT&lt;/span&gt;
        &lt;span&gt;Malti&lt;/span&gt;
      &lt;/a&gt;
      &lt;a href="../nl/" lang="nl" hreflang="nl"&gt;
        &lt;span class="language-flag" aria-hidden="true"&gt;🇳🇱&lt;/span&gt;
        &lt;span class="language-code"&gt;NL&lt;/span&gt;
        &lt;span&gt;Nederlands&lt;/span&gt;
      &lt;/a&gt;
      &lt;a href="../ro/" lang="ro" hreflang="ro"&gt;
        &lt;span class="language-flag" aria-hidden="true"&gt;🇷🇴&lt;/span&gt;
        &lt;span class="language-code"&gt;RO&lt;/span&gt;
        &lt;span&gt;Română&lt;/span&gt;
      &lt;/a&gt;
      &lt;a href="../vi/" lang="vi" hreflang="vi"&gt;
        &lt;span class="language-flag" aria-hidden="true"&gt;🇻🇳&lt;/span&gt;
        &lt;span class="language-code"&gt;VI&lt;/span&gt;
        &lt;span&gt;Tiếng Việt&lt;/span&gt;
      &lt;/a&gt;
    &lt;/nav&gt;
  &lt;/details&gt;
&lt;/div&gt;
      &lt;/nav&gt;</v>
      </c>
      <c r="H27" s="1" t="str">
        <f>header_block_de!$A1</f>
        <v>&lt;header class="moving-banner" aria-label="Decorative animated banner"&gt;
  &lt;div class="moving-banner__track"&gt;
    &lt;img src="../img/website_banner_wide_e.webp" alt=""&gt;
    &lt;img src="../img/website_banner_wide_e.webp" alt="" aria-hidden="true"&gt;
  &lt;/div&gt;
    &lt;/header&gt;
      &lt;nav class="header-inner"&gt;
        &lt;a href="#" class="brand" aria-label="Startseite"&gt;
          &lt;span class="brand-mark" aria-hidden="true"&gt;&lt;img src="../img/apple-touch-icon.png" style="border-radius: var(--radius-lg)"&gt;&lt;/span&gt;
          &lt;span class="brand-text"&gt;
            &lt;span class="brand-kicker"&gt;Teresianischer Karmel&lt;/span&gt;
            &lt;span class="brand-name"&gt;Online-Exerzitien&lt;/span&gt;
          &lt;/span&gt;
        &lt;/a&gt;
&lt;div class="header-actions"&gt;
            &lt;nav class="main-nav" id="main-navigation" aria-label="Hauptnavigation"&gt;
        &lt;ul&gt;
          &lt;li&gt;&lt;a href="../index.html"&gt;&lt;span class="material-symbols-outlined"&gt;home&lt;/span&gt;&lt;/a&gt;&lt;/li&gt;
          &lt;li&gt;&lt;a href="../index.html#signup-panel"&gt;Anmelden&lt;/a&gt;&lt;/li&gt;
          &lt;li&gt;&lt;a href="../index.html#aktuelleExerzitien"&gt;Aktuelle Exerzitien&lt;/a&gt;&lt;/li&gt;
          &lt;li&gt;&lt;a href="../index.html#saints-cards"&gt;Persönlichkeiten&lt;/a&gt;&lt;/li&gt;
          &lt;li&gt;&lt;a href="../index.html#archiv-cards"&gt;Archiv&lt;/a&gt;&lt;/li&gt;
          &lt;li&gt;&lt;a href="../index.html#faq"&gt;FAQ&lt;/a&gt;&lt;/li&gt;
          &lt;li&gt;&lt;a href="../index.html#weiterempfehlen"&gt;Weiterempfehlen&lt;/a&gt;&lt;/li&gt;
          &lt;li&gt;&lt;a href="../about.html"&gt;Über die Karmeliten&lt;/a&gt;&lt;/li&gt;
        &lt;/ul&gt;
                        &lt;details class="settings_accessibility"&gt;
                          &lt;summary class="settings_accessibility_trigger" aria-label="Accessiblity Settings"&gt;
                            &lt;span class="material-symbols-outlined" aria-label="true"&gt;
                            settings
                            &lt;/span&gt;  
                            &lt;span class="material-symbols-outlined" aria-label="true"&gt;
                            settings_accessibility
                            &lt;/span&gt;                        
                          &lt;/summary&gt;
                &lt;nav class="settings_accessibility_list" aria-label="Sprachauswahl"&gt;
                &lt;button class="font-decrease theme-toggle" type="button" data-font-decrease aria-label="Schriftgröße verkleinern"&gt;
          A-
        &lt;/button&gt;
          &lt;button class="font-reset theme-toggle" type="button" data-font-reset aria-label="Schriftgröße zurücksetzen"&gt;
          A
        &lt;/button&gt; 
        &lt;button class="font-increase theme-toggle" type="button" data-font-increase aria-label="Schriftgröße vergrößern"&gt;
          A+
        &lt;/button&gt;
        &lt;button class="theme-toggle" type="button" data-theme-toggle aria-label="Farbschema wechseln"&gt;
          &lt;span class="theme-toggle__icon" aria-hidden="true"&gt;◐&lt;/span&gt;
        &lt;/button&gt;
                &lt;/nav&gt;
        &lt;/details&gt;
      &lt;/nav&gt;
          &lt;button class="nav-toggle" type="button" aria-expanded="false" aria-controls="main-navigation" aria-label="Menü öffnen"&gt;
          &lt;span&gt;&lt;/span&gt;
          &lt;span&gt;&lt;/span&gt;
          &lt;span&gt;&lt;/span&gt;
        &lt;/button&gt;
  &lt;details class="language-menu"&gt;
    &lt;summary class="language-menu__trigger" aria-label="Sprache auswählen"&gt;
      &lt;span aria-hidden="true"&gt;🌐&lt;/span&gt;
      &lt;span&gt;DE&lt;/span&gt;
      &lt;span class="language-menu__current"&gt;Deutsch&lt;/span&gt;
    &lt;/summary&gt;
    &lt;nav class="language-menu__list" aria-label="Sprachauswahl"&gt;
      &lt;a href="https://retraites.carmes-paris.org/" lang="fr" hreflang="fr"&gt;
        &lt;span class="language-flag" aria-hidden="true"&gt;🇫🇷&lt;/span&gt;
        &lt;span class="language-code"&gt;FR&lt;/span&gt;
        &lt;span&gt;Français&lt;/span&gt;
      &lt;/a&gt;
      &lt;a href="../de/" lang="de" hreflang="de" aria-current="page"&gt;
        &lt;span class="language-flag" aria-hidden="true"&gt;🇦🇹🇩🇪&lt;/span&gt;
        &lt;span class="language-code"&gt;DE&lt;/span&gt;
        &lt;span&gt;Deutsch&lt;/span&gt;
        &lt;span class="language-check" aria-hidden="true"&gt;✓&lt;/span&gt;
      &lt;/a&gt;
      &lt;a href="../es/" lang="es" hreflang="es"&gt;
        &lt;span class="language-flag" aria-hidden="true"&gt;🇪🇸&lt;/span&gt;
        &lt;span class="language-code"&gt;ES&lt;/span&gt;
        &lt;span&gt;Español&lt;/span&gt;
      &lt;/a&gt;
      &lt;a href="../it/" lang="it" hreflang="it"&gt;
        &lt;span class="language-flag" aria-hidden="true"&gt;🇮🇹&lt;/span&gt;
        &lt;span class="language-code"&gt;IT&lt;/span&gt;
        &lt;span&gt;Italiano&lt;/span&gt;
      &lt;/a&gt;
      &lt;a href="../en/" lang="en" hreflang="en"&gt;
        &lt;span class="language-flag" aria-hidden="true"&gt;🇬🇧🇺🇸&lt;/span&gt;
        &lt;span class="language-code"&gt;EN&lt;/span&gt;
        &lt;span&gt;English&lt;/span&gt;
      &lt;/a&gt;
      &lt;a href="../pl/" lang="pl" hreflang="pl"&gt;
        &lt;span class="language-flag" aria-hidden="true"&gt;🇵🇱&lt;/span&gt;
        &lt;span class="language-code"&gt;PL&lt;/span&gt;
        &lt;span&gt;Polski&lt;/span&gt;
      &lt;/a&gt;
      &lt;a href="../ar/" lang="ar" hreflang="ar" dir="rtl"&gt;
        &lt;span class="language-flag" aria-hidden="true"&gt;🇱🇧🇸🇦&lt;/span&gt;
        &lt;span class="language-code"&gt;AR&lt;/span&gt;
        &lt;span&gt;العربية&lt;/span&gt;
      &lt;/a&gt;
      &lt;a href="../pt/" lang="pt" hreflang="pt"&gt;
        &lt;span class="language-flag" aria-hidden="true"&gt;🇵🇹&lt;/span&gt;
        &lt;span class="language-code"&gt;PT&lt;/span&gt;
        &lt;span&gt;Português&lt;/span&gt;
      &lt;/a&gt;
      &lt;a href="../zh/" lang="zh" hreflang="zh"&gt;
        &lt;span class="language-flag" aria-hidden="true"&gt;🇨🇳&lt;/span&gt;
        &lt;span class="language-code"&gt;ZH&lt;/span&gt;
        &lt;span&gt;中文&lt;/span&gt;
      &lt;/a&gt;
      &lt;a href="../cs/" lang="cs" hreflang="cs"&gt;
        &lt;span class="language-flag" aria-hidden="true"&gt;🇨🇿&lt;/span&gt;
        &lt;span class="language-code"&gt;CS&lt;/span&gt;
        &lt;span&gt;Čeština&lt;/span&gt;
      &lt;/a&gt;
      &lt;a href="../hr/" lang="hr" hreflang="hr"&gt;
        &lt;span class="language-flag" aria-hidden="true"&gt;🇭🇷&lt;/span&gt;
        &lt;span class="language-code"&gt;HR&lt;/span&gt;
        &lt;span&gt;Hrvatski&lt;/span&gt;
      &lt;/a&gt;
      &lt;a href="../hu/" lang="hu" hreflang="hu"&gt;
        &lt;span class="language-flag" aria-hidden="true"&gt;🇭🇺&lt;/span&gt;
        &lt;span class="language-code"&gt;HU&lt;/span&gt;
        &lt;span&gt;Magyar&lt;/span&gt;
      &lt;/a&gt;
      &lt;a href="../mt/" lang="mt" hreflang="mt"&gt;
        &lt;span class="language-flag" aria-hidden="true"&gt;🇲🇹&lt;/span&gt;
        &lt;span class="language-code"&gt;MT&lt;/span&gt;
        &lt;span&gt;Malti&lt;/span&gt;
      &lt;/a&gt;
      &lt;a href="../nl/" lang="nl" hreflang="nl"&gt;
        &lt;span class="language-flag" aria-hidden="true"&gt;🇳🇱&lt;/span&gt;
        &lt;span class="language-code"&gt;NL&lt;/span&gt;
        &lt;span&gt;Nederlands&lt;/span&gt;
      &lt;/a&gt;
      &lt;a href="../ro/" lang="ro" hreflang="ro"&gt;
        &lt;span class="language-flag" aria-hidden="true"&gt;🇷🇴&lt;/span&gt;
        &lt;span class="language-code"&gt;RO&lt;/span&gt;
        &lt;span&gt;Română&lt;/span&gt;
      &lt;/a&gt;
      &lt;a href="../vi/" lang="vi" hreflang="vi"&gt;
        &lt;span class="language-flag" aria-hidden="true"&gt;🇻🇳&lt;/span&gt;
        &lt;span class="language-code"&gt;VI&lt;/span&gt;
        &lt;span&gt;Tiếng Việt&lt;/span&gt;
      &lt;/a&gt;
    &lt;/nav&gt;
  &lt;/details&gt;
&lt;/div&gt;
      &lt;/nav&gt;</v>
      </c>
      <c r="I27" s="1" t="str">
        <f>header_block_de!$A1</f>
        <v>&lt;header class="moving-banner" aria-label="Decorative animated banner"&gt;
  &lt;div class="moving-banner__track"&gt;
    &lt;img src="../img/website_banner_wide_e.webp" alt=""&gt;
    &lt;img src="../img/website_banner_wide_e.webp" alt="" aria-hidden="true"&gt;
  &lt;/div&gt;
    &lt;/header&gt;
      &lt;nav class="header-inner"&gt;
        &lt;a href="#" class="brand" aria-label="Startseite"&gt;
          &lt;span class="brand-mark" aria-hidden="true"&gt;&lt;img src="../img/apple-touch-icon.png" style="border-radius: var(--radius-lg)"&gt;&lt;/span&gt;
          &lt;span class="brand-text"&gt;
            &lt;span class="brand-kicker"&gt;Teresianischer Karmel&lt;/span&gt;
            &lt;span class="brand-name"&gt;Online-Exerzitien&lt;/span&gt;
          &lt;/span&gt;
        &lt;/a&gt;
&lt;div class="header-actions"&gt;
            &lt;nav class="main-nav" id="main-navigation" aria-label="Hauptnavigation"&gt;
        &lt;ul&gt;
          &lt;li&gt;&lt;a href="../index.html"&gt;&lt;span class="material-symbols-outlined"&gt;home&lt;/span&gt;&lt;/a&gt;&lt;/li&gt;
          &lt;li&gt;&lt;a href="../index.html#signup-panel"&gt;Anmelden&lt;/a&gt;&lt;/li&gt;
          &lt;li&gt;&lt;a href="../index.html#aktuelleExerzitien"&gt;Aktuelle Exerzitien&lt;/a&gt;&lt;/li&gt;
          &lt;li&gt;&lt;a href="../index.html#saints-cards"&gt;Persönlichkeiten&lt;/a&gt;&lt;/li&gt;
          &lt;li&gt;&lt;a href="../index.html#archiv-cards"&gt;Archiv&lt;/a&gt;&lt;/li&gt;
          &lt;li&gt;&lt;a href="../index.html#faq"&gt;FAQ&lt;/a&gt;&lt;/li&gt;
          &lt;li&gt;&lt;a href="../index.html#weiterempfehlen"&gt;Weiterempfehlen&lt;/a&gt;&lt;/li&gt;
          &lt;li&gt;&lt;a href="../about.html"&gt;Über die Karmeliten&lt;/a&gt;&lt;/li&gt;
        &lt;/ul&gt;
                        &lt;details class="settings_accessibility"&gt;
                          &lt;summary class="settings_accessibility_trigger" aria-label="Accessiblity Settings"&gt;
                            &lt;span class="material-symbols-outlined" aria-label="true"&gt;
                            settings
                            &lt;/span&gt;  
                            &lt;span class="material-symbols-outlined" aria-label="true"&gt;
                            settings_accessibility
                            &lt;/span&gt;                        
                          &lt;/summary&gt;
                &lt;nav class="settings_accessibility_list" aria-label="Sprachauswahl"&gt;
                &lt;button class="font-decrease theme-toggle" type="button" data-font-decrease aria-label="Schriftgröße verkleinern"&gt;
          A-
        &lt;/button&gt;
          &lt;button class="font-reset theme-toggle" type="button" data-font-reset aria-label="Schriftgröße zurücksetzen"&gt;
          A
        &lt;/button&gt; 
        &lt;button class="font-increase theme-toggle" type="button" data-font-increase aria-label="Schriftgröße vergrößern"&gt;
          A+
        &lt;/button&gt;
        &lt;button class="theme-toggle" type="button" data-theme-toggle aria-label="Farbschema wechseln"&gt;
          &lt;span class="theme-toggle__icon" aria-hidden="true"&gt;◐&lt;/span&gt;
        &lt;/button&gt;
                &lt;/nav&gt;
        &lt;/details&gt;
      &lt;/nav&gt;
          &lt;button class="nav-toggle" type="button" aria-expanded="false" aria-controls="main-navigation" aria-label="Menü öffnen"&gt;
          &lt;span&gt;&lt;/span&gt;
          &lt;span&gt;&lt;/span&gt;
          &lt;span&gt;&lt;/span&gt;
        &lt;/button&gt;
  &lt;details class="language-menu"&gt;
    &lt;summary class="language-menu__trigger" aria-label="Sprache auswählen"&gt;
      &lt;span aria-hidden="true"&gt;🌐&lt;/span&gt;
      &lt;span&gt;DE&lt;/span&gt;
      &lt;span class="language-menu__current"&gt;Deutsch&lt;/span&gt;
    &lt;/summary&gt;
    &lt;nav class="language-menu__list" aria-label="Sprachauswahl"&gt;
      &lt;a href="https://retraites.carmes-paris.org/" lang="fr" hreflang="fr"&gt;
        &lt;span class="language-flag" aria-hidden="true"&gt;🇫🇷&lt;/span&gt;
        &lt;span class="language-code"&gt;FR&lt;/span&gt;
        &lt;span&gt;Français&lt;/span&gt;
      &lt;/a&gt;
      &lt;a href="../de/" lang="de" hreflang="de" aria-current="page"&gt;
        &lt;span class="language-flag" aria-hidden="true"&gt;🇦🇹🇩🇪&lt;/span&gt;
        &lt;span class="language-code"&gt;DE&lt;/span&gt;
        &lt;span&gt;Deutsch&lt;/span&gt;
        &lt;span class="language-check" aria-hidden="true"&gt;✓&lt;/span&gt;
      &lt;/a&gt;
      &lt;a href="../es/" lang="es" hreflang="es"&gt;
        &lt;span class="language-flag" aria-hidden="true"&gt;🇪🇸&lt;/span&gt;
        &lt;span class="language-code"&gt;ES&lt;/span&gt;
        &lt;span&gt;Español&lt;/span&gt;
      &lt;/a&gt;
      &lt;a href="../it/" lang="it" hreflang="it"&gt;
        &lt;span class="language-flag" aria-hidden="true"&gt;🇮🇹&lt;/span&gt;
        &lt;span class="language-code"&gt;IT&lt;/span&gt;
        &lt;span&gt;Italiano&lt;/span&gt;
      &lt;/a&gt;
      &lt;a href="../en/" lang="en" hreflang="en"&gt;
        &lt;span class="language-flag" aria-hidden="true"&gt;🇬🇧🇺🇸&lt;/span&gt;
        &lt;span class="language-code"&gt;EN&lt;/span&gt;
        &lt;span&gt;English&lt;/span&gt;
      &lt;/a&gt;
      &lt;a href="../pl/" lang="pl" hreflang="pl"&gt;
        &lt;span class="language-flag" aria-hidden="true"&gt;🇵🇱&lt;/span&gt;
        &lt;span class="language-code"&gt;PL&lt;/span&gt;
        &lt;span&gt;Polski&lt;/span&gt;
      &lt;/a&gt;
      &lt;a href="../ar/" lang="ar" hreflang="ar" dir="rtl"&gt;
        &lt;span class="language-flag" aria-hidden="true"&gt;🇱🇧🇸🇦&lt;/span&gt;
        &lt;span class="language-code"&gt;AR&lt;/span&gt;
        &lt;span&gt;العربية&lt;/span&gt;
      &lt;/a&gt;
      &lt;a href="../pt/" lang="pt" hreflang="pt"&gt;
        &lt;span class="language-flag" aria-hidden="true"&gt;🇵🇹&lt;/span&gt;
        &lt;span class="language-code"&gt;PT&lt;/span&gt;
        &lt;span&gt;Português&lt;/span&gt;
      &lt;/a&gt;
      &lt;a href="../zh/" lang="zh" hreflang="zh"&gt;
        &lt;span class="language-flag" aria-hidden="true"&gt;🇨🇳&lt;/span&gt;
        &lt;span class="language-code"&gt;ZH&lt;/span&gt;
        &lt;span&gt;中文&lt;/span&gt;
      &lt;/a&gt;
      &lt;a href="../cs/" lang="cs" hreflang="cs"&gt;
        &lt;span class="language-flag" aria-hidden="true"&gt;🇨🇿&lt;/span&gt;
        &lt;span class="language-code"&gt;CS&lt;/span&gt;
        &lt;span&gt;Čeština&lt;/span&gt;
      &lt;/a&gt;
      &lt;a href="../hr/" lang="hr" hreflang="hr"&gt;
        &lt;span class="language-flag" aria-hidden="true"&gt;🇭🇷&lt;/span&gt;
        &lt;span class="language-code"&gt;HR&lt;/span&gt;
        &lt;span&gt;Hrvatski&lt;/span&gt;
      &lt;/a&gt;
      &lt;a href="../hu/" lang="hu" hreflang="hu"&gt;
        &lt;span class="language-flag" aria-hidden="true"&gt;🇭🇺&lt;/span&gt;
        &lt;span class="language-code"&gt;HU&lt;/span&gt;
        &lt;span&gt;Magyar&lt;/span&gt;
      &lt;/a&gt;
      &lt;a href="../mt/" lang="mt" hreflang="mt"&gt;
        &lt;span class="language-flag" aria-hidden="true"&gt;🇲🇹&lt;/span&gt;
        &lt;span class="language-code"&gt;MT&lt;/span&gt;
        &lt;span&gt;Malti&lt;/span&gt;
      &lt;/a&gt;
      &lt;a href="../nl/" lang="nl" hreflang="nl"&gt;
        &lt;span class="language-flag" aria-hidden="true"&gt;🇳🇱&lt;/span&gt;
        &lt;span class="language-code"&gt;NL&lt;/span&gt;
        &lt;span&gt;Nederlands&lt;/span&gt;
      &lt;/a&gt;
      &lt;a href="../ro/" lang="ro" hreflang="ro"&gt;
        &lt;span class="language-flag" aria-hidden="true"&gt;🇷🇴&lt;/span&gt;
        &lt;span class="language-code"&gt;RO&lt;/span&gt;
        &lt;span&gt;Română&lt;/span&gt;
      &lt;/a&gt;
      &lt;a href="../vi/" lang="vi" hreflang="vi"&gt;
        &lt;span class="language-flag" aria-hidden="true"&gt;🇻🇳&lt;/span&gt;
        &lt;span class="language-code"&gt;VI&lt;/span&gt;
        &lt;span&gt;Tiếng Việt&lt;/span&gt;
      &lt;/a&gt;
    &lt;/nav&gt;
  &lt;/details&gt;
&lt;/div&gt;
      &lt;/nav&gt;</v>
      </c>
      <c r="J27" s="1" t="str">
        <f>header_block_de!$A1</f>
        <v>&lt;header class="moving-banner" aria-label="Decorative animated banner"&gt;
  &lt;div class="moving-banner__track"&gt;
    &lt;img src="../img/website_banner_wide_e.webp" alt=""&gt;
    &lt;img src="../img/website_banner_wide_e.webp" alt="" aria-hidden="true"&gt;
  &lt;/div&gt;
    &lt;/header&gt;
      &lt;nav class="header-inner"&gt;
        &lt;a href="#" class="brand" aria-label="Startseite"&gt;
          &lt;span class="brand-mark" aria-hidden="true"&gt;&lt;img src="../img/apple-touch-icon.png" style="border-radius: var(--radius-lg)"&gt;&lt;/span&gt;
          &lt;span class="brand-text"&gt;
            &lt;span class="brand-kicker"&gt;Teresianischer Karmel&lt;/span&gt;
            &lt;span class="brand-name"&gt;Online-Exerzitien&lt;/span&gt;
          &lt;/span&gt;
        &lt;/a&gt;
&lt;div class="header-actions"&gt;
            &lt;nav class="main-nav" id="main-navigation" aria-label="Hauptnavigation"&gt;
        &lt;ul&gt;
          &lt;li&gt;&lt;a href="../index.html"&gt;&lt;span class="material-symbols-outlined"&gt;home&lt;/span&gt;&lt;/a&gt;&lt;/li&gt;
          &lt;li&gt;&lt;a href="../index.html#signup-panel"&gt;Anmelden&lt;/a&gt;&lt;/li&gt;
          &lt;li&gt;&lt;a href="../index.html#aktuelleExerzitien"&gt;Aktuelle Exerzitien&lt;/a&gt;&lt;/li&gt;
          &lt;li&gt;&lt;a href="../index.html#saints-cards"&gt;Persönlichkeiten&lt;/a&gt;&lt;/li&gt;
          &lt;li&gt;&lt;a href="../index.html#archiv-cards"&gt;Archiv&lt;/a&gt;&lt;/li&gt;
          &lt;li&gt;&lt;a href="../index.html#faq"&gt;FAQ&lt;/a&gt;&lt;/li&gt;
          &lt;li&gt;&lt;a href="../index.html#weiterempfehlen"&gt;Weiterempfehlen&lt;/a&gt;&lt;/li&gt;
          &lt;li&gt;&lt;a href="../about.html"&gt;Über die Karmeliten&lt;/a&gt;&lt;/li&gt;
        &lt;/ul&gt;
                        &lt;details class="settings_accessibility"&gt;
                          &lt;summary class="settings_accessibility_trigger" aria-label="Accessiblity Settings"&gt;
                            &lt;span class="material-symbols-outlined" aria-label="true"&gt;
                            settings
                            &lt;/span&gt;  
                            &lt;span class="material-symbols-outlined" aria-label="true"&gt;
                            settings_accessibility
                            &lt;/span&gt;                        
                          &lt;/summary&gt;
                &lt;nav class="settings_accessibility_list" aria-label="Sprachauswahl"&gt;
                &lt;button class="font-decrease theme-toggle" type="button" data-font-decrease aria-label="Schriftgröße verkleinern"&gt;
          A-
        &lt;/button&gt;
          &lt;button class="font-reset theme-toggle" type="button" data-font-reset aria-label="Schriftgröße zurücksetzen"&gt;
          A
        &lt;/button&gt; 
        &lt;button class="font-increase theme-toggle" type="button" data-font-increase aria-label="Schriftgröße vergrößern"&gt;
          A+
        &lt;/button&gt;
        &lt;button class="theme-toggle" type="button" data-theme-toggle aria-label="Farbschema wechseln"&gt;
          &lt;span class="theme-toggle__icon" aria-hidden="true"&gt;◐&lt;/span&gt;
        &lt;/button&gt;
                &lt;/nav&gt;
        &lt;/details&gt;
      &lt;/nav&gt;
          &lt;button class="nav-toggle" type="button" aria-expanded="false" aria-controls="main-navigation" aria-label="Menü öffnen"&gt;
          &lt;span&gt;&lt;/span&gt;
          &lt;span&gt;&lt;/span&gt;
          &lt;span&gt;&lt;/span&gt;
        &lt;/button&gt;
  &lt;details class="language-menu"&gt;
    &lt;summary class="language-menu__trigger" aria-label="Sprache auswählen"&gt;
      &lt;span aria-hidden="true"&gt;🌐&lt;/span&gt;
      &lt;span&gt;DE&lt;/span&gt;
      &lt;span class="language-menu__current"&gt;Deutsch&lt;/span&gt;
    &lt;/summary&gt;
    &lt;nav class="language-menu__list" aria-label="Sprachauswahl"&gt;
      &lt;a href="https://retraites.carmes-paris.org/" lang="fr" hreflang="fr"&gt;
        &lt;span class="language-flag" aria-hidden="true"&gt;🇫🇷&lt;/span&gt;
        &lt;span class="language-code"&gt;FR&lt;/span&gt;
        &lt;span&gt;Français&lt;/span&gt;
      &lt;/a&gt;
      &lt;a href="../de/" lang="de" hreflang="de" aria-current="page"&gt;
        &lt;span class="language-flag" aria-hidden="true"&gt;🇦🇹🇩🇪&lt;/span&gt;
        &lt;span class="language-code"&gt;DE&lt;/span&gt;
        &lt;span&gt;Deutsch&lt;/span&gt;
        &lt;span class="language-check" aria-hidden="true"&gt;✓&lt;/span&gt;
      &lt;/a&gt;
      &lt;a href="../es/" lang="es" hreflang="es"&gt;
        &lt;span class="language-flag" aria-hidden="true"&gt;🇪🇸&lt;/span&gt;
        &lt;span class="language-code"&gt;ES&lt;/span&gt;
        &lt;span&gt;Español&lt;/span&gt;
      &lt;/a&gt;
      &lt;a href="../it/" lang="it" hreflang="it"&gt;
        &lt;span class="language-flag" aria-hidden="true"&gt;🇮🇹&lt;/span&gt;
        &lt;span class="language-code"&gt;IT&lt;/span&gt;
        &lt;span&gt;Italiano&lt;/span&gt;
      &lt;/a&gt;
      &lt;a href="../en/" lang="en" hreflang="en"&gt;
        &lt;span class="language-flag" aria-hidden="true"&gt;🇬🇧🇺🇸&lt;/span&gt;
        &lt;span class="language-code"&gt;EN&lt;/span&gt;
        &lt;span&gt;English&lt;/span&gt;
      &lt;/a&gt;
      &lt;a href="../pl/" lang="pl" hreflang="pl"&gt;
        &lt;span class="language-flag" aria-hidden="true"&gt;🇵🇱&lt;/span&gt;
        &lt;span class="language-code"&gt;PL&lt;/span&gt;
        &lt;span&gt;Polski&lt;/span&gt;
      &lt;/a&gt;
      &lt;a href="../ar/" lang="ar" hreflang="ar" dir="rtl"&gt;
        &lt;span class="language-flag" aria-hidden="true"&gt;🇱🇧🇸🇦&lt;/span&gt;
        &lt;span class="language-code"&gt;AR&lt;/span&gt;
        &lt;span&gt;العربية&lt;/span&gt;
      &lt;/a&gt;
      &lt;a href="../pt/" lang="pt" hreflang="pt"&gt;
        &lt;span class="language-flag" aria-hidden="true"&gt;🇵🇹&lt;/span&gt;
        &lt;span class="language-code"&gt;PT&lt;/span&gt;
        &lt;span&gt;Português&lt;/span&gt;
      &lt;/a&gt;
      &lt;a href="../zh/" lang="zh" hreflang="zh"&gt;
        &lt;span class="language-flag" aria-hidden="true"&gt;🇨🇳&lt;/span&gt;
        &lt;span class="language-code"&gt;ZH&lt;/span&gt;
        &lt;span&gt;中文&lt;/span&gt;
      &lt;/a&gt;
      &lt;a href="../cs/" lang="cs" hreflang="cs"&gt;
        &lt;span class="language-flag" aria-hidden="true"&gt;🇨🇿&lt;/span&gt;
        &lt;span class="language-code"&gt;CS&lt;/span&gt;
        &lt;span&gt;Čeština&lt;/span&gt;
      &lt;/a&gt;
      &lt;a href="../hr/" lang="hr" hreflang="hr"&gt;
        &lt;span class="language-flag" aria-hidden="true"&gt;🇭🇷&lt;/span&gt;
        &lt;span class="language-code"&gt;HR&lt;/span&gt;
        &lt;span&gt;Hrvatski&lt;/span&gt;
      &lt;/a&gt;
      &lt;a href="../hu/" lang="hu" hreflang="hu"&gt;
        &lt;span class="language-flag" aria-hidden="true"&gt;🇭🇺&lt;/span&gt;
        &lt;span class="language-code"&gt;HU&lt;/span&gt;
        &lt;span&gt;Magyar&lt;/span&gt;
      &lt;/a&gt;
      &lt;a href="../mt/" lang="mt" hreflang="mt"&gt;
        &lt;span class="language-flag" aria-hidden="true"&gt;🇲🇹&lt;/span&gt;
        &lt;span class="language-code"&gt;MT&lt;/span&gt;
        &lt;span&gt;Malti&lt;/span&gt;
      &lt;/a&gt;
      &lt;a href="../nl/" lang="nl" hreflang="nl"&gt;
        &lt;span class="language-flag" aria-hidden="true"&gt;🇳🇱&lt;/span&gt;
        &lt;span class="language-code"&gt;NL&lt;/span&gt;
        &lt;span&gt;Nederlands&lt;/span&gt;
      &lt;/a&gt;
      &lt;a href="../ro/" lang="ro" hreflang="ro"&gt;
        &lt;span class="language-flag" aria-hidden="true"&gt;🇷🇴&lt;/span&gt;
        &lt;span class="language-code"&gt;RO&lt;/span&gt;
        &lt;span&gt;Română&lt;/span&gt;
      &lt;/a&gt;
      &lt;a href="../vi/" lang="vi" hreflang="vi"&gt;
        &lt;span class="language-flag" aria-hidden="true"&gt;🇻🇳&lt;/span&gt;
        &lt;span class="language-code"&gt;VI&lt;/span&gt;
        &lt;span&gt;Tiếng Việt&lt;/span&gt;
      &lt;/a&gt;
    &lt;/nav&gt;
  &lt;/details&gt;
&lt;/div&gt;
      &lt;/nav&gt;</v>
      </c>
      <c r="K27" s="1" t="str">
        <f>header_block_de!$A1</f>
        <v>&lt;header class="moving-banner" aria-label="Decorative animated banner"&gt;
  &lt;div class="moving-banner__track"&gt;
    &lt;img src="../img/website_banner_wide_e.webp" alt=""&gt;
    &lt;img src="../img/website_banner_wide_e.webp" alt="" aria-hidden="true"&gt;
  &lt;/div&gt;
    &lt;/header&gt;
      &lt;nav class="header-inner"&gt;
        &lt;a href="#" class="brand" aria-label="Startseite"&gt;
          &lt;span class="brand-mark" aria-hidden="true"&gt;&lt;img src="../img/apple-touch-icon.png" style="border-radius: var(--radius-lg)"&gt;&lt;/span&gt;
          &lt;span class="brand-text"&gt;
            &lt;span class="brand-kicker"&gt;Teresianischer Karmel&lt;/span&gt;
            &lt;span class="brand-name"&gt;Online-Exerzitien&lt;/span&gt;
          &lt;/span&gt;
        &lt;/a&gt;
&lt;div class="header-actions"&gt;
            &lt;nav class="main-nav" id="main-navigation" aria-label="Hauptnavigation"&gt;
        &lt;ul&gt;
          &lt;li&gt;&lt;a href="../index.html"&gt;&lt;span class="material-symbols-outlined"&gt;home&lt;/span&gt;&lt;/a&gt;&lt;/li&gt;
          &lt;li&gt;&lt;a href="../index.html#signup-panel"&gt;Anmelden&lt;/a&gt;&lt;/li&gt;
          &lt;li&gt;&lt;a href="../index.html#aktuelleExerzitien"&gt;Aktuelle Exerzitien&lt;/a&gt;&lt;/li&gt;
          &lt;li&gt;&lt;a href="../index.html#saints-cards"&gt;Persönlichkeiten&lt;/a&gt;&lt;/li&gt;
          &lt;li&gt;&lt;a href="../index.html#archiv-cards"&gt;Archiv&lt;/a&gt;&lt;/li&gt;
          &lt;li&gt;&lt;a href="../index.html#faq"&gt;FAQ&lt;/a&gt;&lt;/li&gt;
          &lt;li&gt;&lt;a href="../index.html#weiterempfehlen"&gt;Weiterempfehlen&lt;/a&gt;&lt;/li&gt;
          &lt;li&gt;&lt;a href="../about.html"&gt;Über die Karmeliten&lt;/a&gt;&lt;/li&gt;
        &lt;/ul&gt;
                        &lt;details class="settings_accessibility"&gt;
                          &lt;summary class="settings_accessibility_trigger" aria-label="Accessiblity Settings"&gt;
                            &lt;span class="material-symbols-outlined" aria-label="true"&gt;
                            settings
                            &lt;/span&gt;  
                            &lt;span class="material-symbols-outlined" aria-label="true"&gt;
                            settings_accessibility
                            &lt;/span&gt;                        
                          &lt;/summary&gt;
                &lt;nav class="settings_accessibility_list" aria-label="Sprachauswahl"&gt;
                &lt;button class="font-decrease theme-toggle" type="button" data-font-decrease aria-label="Schriftgröße verkleinern"&gt;
          A-
        &lt;/button&gt;
          &lt;button class="font-reset theme-toggle" type="button" data-font-reset aria-label="Schriftgröße zurücksetzen"&gt;
          A
        &lt;/button&gt; 
        &lt;button class="font-increase theme-toggle" type="button" data-font-increase aria-label="Schriftgröße vergrößern"&gt;
          A+
        &lt;/button&gt;
        &lt;button class="theme-toggle" type="button" data-theme-toggle aria-label="Farbschema wechseln"&gt;
          &lt;span class="theme-toggle__icon" aria-hidden="true"&gt;◐&lt;/span&gt;
        &lt;/button&gt;
                &lt;/nav&gt;
        &lt;/details&gt;
      &lt;/nav&gt;
          &lt;button class="nav-toggle" type="button" aria-expanded="false" aria-controls="main-navigation" aria-label="Menü öffnen"&gt;
          &lt;span&gt;&lt;/span&gt;
          &lt;span&gt;&lt;/span&gt;
          &lt;span&gt;&lt;/span&gt;
        &lt;/button&gt;
  &lt;details class="language-menu"&gt;
    &lt;summary class="language-menu__trigger" aria-label="Sprache auswählen"&gt;
      &lt;span aria-hidden="true"&gt;🌐&lt;/span&gt;
      &lt;span&gt;DE&lt;/span&gt;
      &lt;span class="language-menu__current"&gt;Deutsch&lt;/span&gt;
    &lt;/summary&gt;
    &lt;nav class="language-menu__list" aria-label="Sprachauswahl"&gt;
      &lt;a href="https://retraites.carmes-paris.org/" lang="fr" hreflang="fr"&gt;
        &lt;span class="language-flag" aria-hidden="true"&gt;🇫🇷&lt;/span&gt;
        &lt;span class="language-code"&gt;FR&lt;/span&gt;
        &lt;span&gt;Français&lt;/span&gt;
      &lt;/a&gt;
      &lt;a href="../de/" lang="de" hreflang="de" aria-current="page"&gt;
        &lt;span class="language-flag" aria-hidden="true"&gt;🇦🇹🇩🇪&lt;/span&gt;
        &lt;span class="language-code"&gt;DE&lt;/span&gt;
        &lt;span&gt;Deutsch&lt;/span&gt;
        &lt;span class="language-check" aria-hidden="true"&gt;✓&lt;/span&gt;
      &lt;/a&gt;
      &lt;a href="../es/" lang="es" hreflang="es"&gt;
        &lt;span class="language-flag" aria-hidden="true"&gt;🇪🇸&lt;/span&gt;
        &lt;span class="language-code"&gt;ES&lt;/span&gt;
        &lt;span&gt;Español&lt;/span&gt;
      &lt;/a&gt;
      &lt;a href="../it/" lang="it" hreflang="it"&gt;
        &lt;span class="language-flag" aria-hidden="true"&gt;🇮🇹&lt;/span&gt;
        &lt;span class="language-code"&gt;IT&lt;/span&gt;
        &lt;span&gt;Italiano&lt;/span&gt;
      &lt;/a&gt;
      &lt;a href="../en/" lang="en" hreflang="en"&gt;
        &lt;span class="language-flag" aria-hidden="true"&gt;🇬🇧🇺🇸&lt;/span&gt;
        &lt;span class="language-code"&gt;EN&lt;/span&gt;
        &lt;span&gt;English&lt;/span&gt;
      &lt;/a&gt;
      &lt;a href="../pl/" lang="pl" hreflang="pl"&gt;
        &lt;span class="language-flag" aria-hidden="true"&gt;🇵🇱&lt;/span&gt;
        &lt;span class="language-code"&gt;PL&lt;/span&gt;
        &lt;span&gt;Polski&lt;/span&gt;
      &lt;/a&gt;
      &lt;a href="../ar/" lang="ar" hreflang="ar" dir="rtl"&gt;
        &lt;span class="language-flag" aria-hidden="true"&gt;🇱🇧🇸🇦&lt;/span&gt;
        &lt;span class="language-code"&gt;AR&lt;/span&gt;
        &lt;span&gt;العربية&lt;/span&gt;
      &lt;/a&gt;
      &lt;a href="../pt/" lang="pt" hreflang="pt"&gt;
        &lt;span class="language-flag" aria-hidden="true"&gt;🇵🇹&lt;/span&gt;
        &lt;span class="language-code"&gt;PT&lt;/span&gt;
        &lt;span&gt;Português&lt;/span&gt;
      &lt;/a&gt;
      &lt;a href="../zh/" lang="zh" hreflang="zh"&gt;
        &lt;span class="language-flag" aria-hidden="true"&gt;🇨🇳&lt;/span&gt;
        &lt;span class="language-code"&gt;ZH&lt;/span&gt;
        &lt;span&gt;中文&lt;/span&gt;
      &lt;/a&gt;
      &lt;a href="../cs/" lang="cs" hreflang="cs"&gt;
        &lt;span class="language-flag" aria-hidden="true"&gt;🇨🇿&lt;/span&gt;
        &lt;span class="language-code"&gt;CS&lt;/span&gt;
        &lt;span&gt;Čeština&lt;/span&gt;
      &lt;/a&gt;
      &lt;a href="../hr/" lang="hr" hreflang="hr"&gt;
        &lt;span class="language-flag" aria-hidden="true"&gt;🇭🇷&lt;/span&gt;
        &lt;span class="language-code"&gt;HR&lt;/span&gt;
        &lt;span&gt;Hrvatski&lt;/span&gt;
      &lt;/a&gt;
      &lt;a href="../hu/" lang="hu" hreflang="hu"&gt;
        &lt;span class="language-flag" aria-hidden="true"&gt;🇭🇺&lt;/span&gt;
        &lt;span class="language-code"&gt;HU&lt;/span&gt;
        &lt;span&gt;Magyar&lt;/span&gt;
      &lt;/a&gt;
      &lt;a href="../mt/" lang="mt" hreflang="mt"&gt;
        &lt;span class="language-flag" aria-hidden="true"&gt;🇲🇹&lt;/span&gt;
        &lt;span class="language-code"&gt;MT&lt;/span&gt;
        &lt;span&gt;Malti&lt;/span&gt;
      &lt;/a&gt;
      &lt;a href="../nl/" lang="nl" hreflang="nl"&gt;
        &lt;span class="language-flag" aria-hidden="true"&gt;🇳🇱&lt;/span&gt;
        &lt;span class="language-code"&gt;NL&lt;/span&gt;
        &lt;span&gt;Nederlands&lt;/span&gt;
      &lt;/a&gt;
      &lt;a href="../ro/" lang="ro" hreflang="ro"&gt;
        &lt;span class="language-flag" aria-hidden="true"&gt;🇷🇴&lt;/span&gt;
        &lt;span class="language-code"&gt;RO&lt;/span&gt;
        &lt;span&gt;Română&lt;/span&gt;
      &lt;/a&gt;
      &lt;a href="../vi/" lang="vi" hreflang="vi"&gt;
        &lt;span class="language-flag" aria-hidden="true"&gt;🇻🇳&lt;/span&gt;
        &lt;span class="language-code"&gt;VI&lt;/span&gt;
        &lt;span&gt;Tiếng Việt&lt;/span&gt;
      &lt;/a&gt;
    &lt;/nav&gt;
  &lt;/details&gt;
&lt;/div&gt;
      &lt;/nav&gt;</v>
      </c>
      <c r="L27" s="1" t="str">
        <f>header_block_de!$A1</f>
        <v>&lt;header class="moving-banner" aria-label="Decorative animated banner"&gt;
  &lt;div class="moving-banner__track"&gt;
    &lt;img src="../img/website_banner_wide_e.webp" alt=""&gt;
    &lt;img src="../img/website_banner_wide_e.webp" alt="" aria-hidden="true"&gt;
  &lt;/div&gt;
    &lt;/header&gt;
      &lt;nav class="header-inner"&gt;
        &lt;a href="#" class="brand" aria-label="Startseite"&gt;
          &lt;span class="brand-mark" aria-hidden="true"&gt;&lt;img src="../img/apple-touch-icon.png" style="border-radius: var(--radius-lg)"&gt;&lt;/span&gt;
          &lt;span class="brand-text"&gt;
            &lt;span class="brand-kicker"&gt;Teresianischer Karmel&lt;/span&gt;
            &lt;span class="brand-name"&gt;Online-Exerzitien&lt;/span&gt;
          &lt;/span&gt;
        &lt;/a&gt;
&lt;div class="header-actions"&gt;
            &lt;nav class="main-nav" id="main-navigation" aria-label="Hauptnavigation"&gt;
        &lt;ul&gt;
          &lt;li&gt;&lt;a href="../index.html"&gt;&lt;span class="material-symbols-outlined"&gt;home&lt;/span&gt;&lt;/a&gt;&lt;/li&gt;
          &lt;li&gt;&lt;a href="../index.html#signup-panel"&gt;Anmelden&lt;/a&gt;&lt;/li&gt;
          &lt;li&gt;&lt;a href="../index.html#aktuelleExerzitien"&gt;Aktuelle Exerzitien&lt;/a&gt;&lt;/li&gt;
          &lt;li&gt;&lt;a href="../index.html#saints-cards"&gt;Persönlichkeiten&lt;/a&gt;&lt;/li&gt;
          &lt;li&gt;&lt;a href="../index.html#archiv-cards"&gt;Archiv&lt;/a&gt;&lt;/li&gt;
          &lt;li&gt;&lt;a href="../index.html#faq"&gt;FAQ&lt;/a&gt;&lt;/li&gt;
          &lt;li&gt;&lt;a href="../index.html#weiterempfehlen"&gt;Weiterempfehlen&lt;/a&gt;&lt;/li&gt;
          &lt;li&gt;&lt;a href="../about.html"&gt;Über die Karmeliten&lt;/a&gt;&lt;/li&gt;
        &lt;/ul&gt;
                        &lt;details class="settings_accessibility"&gt;
                          &lt;summary class="settings_accessibility_trigger" aria-label="Accessiblity Settings"&gt;
                            &lt;span class="material-symbols-outlined" aria-label="true"&gt;
                            settings
                            &lt;/span&gt;  
                            &lt;span class="material-symbols-outlined" aria-label="true"&gt;
                            settings_accessibility
                            &lt;/span&gt;                        
                          &lt;/summary&gt;
                &lt;nav class="settings_accessibility_list" aria-label="Sprachauswahl"&gt;
                &lt;button class="font-decrease theme-toggle" type="button" data-font-decrease aria-label="Schriftgröße verkleinern"&gt;
          A-
        &lt;/button&gt;
          &lt;button class="font-reset theme-toggle" type="button" data-font-reset aria-label="Schriftgröße zurücksetzen"&gt;
          A
        &lt;/button&gt; 
        &lt;button class="font-increase theme-toggle" type="button" data-font-increase aria-label="Schriftgröße vergrößern"&gt;
          A+
        &lt;/button&gt;
        &lt;button class="theme-toggle" type="button" data-theme-toggle aria-label="Farbschema wechseln"&gt;
          &lt;span class="theme-toggle__icon" aria-hidden="true"&gt;◐&lt;/span&gt;
        &lt;/button&gt;
                &lt;/nav&gt;
        &lt;/details&gt;
      &lt;/nav&gt;
          &lt;button class="nav-toggle" type="button" aria-expanded="false" aria-controls="main-navigation" aria-label="Menü öffnen"&gt;
          &lt;span&gt;&lt;/span&gt;
          &lt;span&gt;&lt;/span&gt;
          &lt;span&gt;&lt;/span&gt;
        &lt;/button&gt;
  &lt;details class="language-menu"&gt;
    &lt;summary class="language-menu__trigger" aria-label="Sprache auswählen"&gt;
      &lt;span aria-hidden="true"&gt;🌐&lt;/span&gt;
      &lt;span&gt;DE&lt;/span&gt;
      &lt;span class="language-menu__current"&gt;Deutsch&lt;/span&gt;
    &lt;/summary&gt;
    &lt;nav class="language-menu__list" aria-label="Sprachauswahl"&gt;
      &lt;a href="https://retraites.carmes-paris.org/" lang="fr" hreflang="fr"&gt;
        &lt;span class="language-flag" aria-hidden="true"&gt;🇫🇷&lt;/span&gt;
        &lt;span class="language-code"&gt;FR&lt;/span&gt;
        &lt;span&gt;Français&lt;/span&gt;
      &lt;/a&gt;
      &lt;a href="../de/" lang="de" hreflang="de" aria-current="page"&gt;
        &lt;span class="language-flag" aria-hidden="true"&gt;🇦🇹🇩🇪&lt;/span&gt;
        &lt;span class="language-code"&gt;DE&lt;/span&gt;
        &lt;span&gt;Deutsch&lt;/span&gt;
        &lt;span class="language-check" aria-hidden="true"&gt;✓&lt;/span&gt;
      &lt;/a&gt;
      &lt;a href="../es/" lang="es" hreflang="es"&gt;
        &lt;span class="language-flag" aria-hidden="true"&gt;🇪🇸&lt;/span&gt;
        &lt;span class="language-code"&gt;ES&lt;/span&gt;
        &lt;span&gt;Español&lt;/span&gt;
      &lt;/a&gt;
      &lt;a href="../it/" lang="it" hreflang="it"&gt;
        &lt;span class="language-flag" aria-hidden="true"&gt;🇮🇹&lt;/span&gt;
        &lt;span class="language-code"&gt;IT&lt;/span&gt;
        &lt;span&gt;Italiano&lt;/span&gt;
      &lt;/a&gt;
      &lt;a href="../en/" lang="en" hreflang="en"&gt;
        &lt;span class="language-flag" aria-hidden="true"&gt;🇬🇧🇺🇸&lt;/span&gt;
        &lt;span class="language-code"&gt;EN&lt;/span&gt;
        &lt;span&gt;English&lt;/span&gt;
      &lt;/a&gt;
      &lt;a href="../pl/" lang="pl" hreflang="pl"&gt;
        &lt;span class="language-flag" aria-hidden="true"&gt;🇵🇱&lt;/span&gt;
        &lt;span class="language-code"&gt;PL&lt;/span&gt;
        &lt;span&gt;Polski&lt;/span&gt;
      &lt;/a&gt;
      &lt;a href="../ar/" lang="ar" hreflang="ar" dir="rtl"&gt;
        &lt;span class="language-flag" aria-hidden="true"&gt;🇱🇧🇸🇦&lt;/span&gt;
        &lt;span class="language-code"&gt;AR&lt;/span&gt;
        &lt;span&gt;العربية&lt;/span&gt;
      &lt;/a&gt;
      &lt;a href="../pt/" lang="pt" hreflang="pt"&gt;
        &lt;span class="language-flag" aria-hidden="true"&gt;🇵🇹&lt;/span&gt;
        &lt;span class="language-code"&gt;PT&lt;/span&gt;
        &lt;span&gt;Português&lt;/span&gt;
      &lt;/a&gt;
      &lt;a href="../zh/" lang="zh" hreflang="zh"&gt;
        &lt;span class="language-flag" aria-hidden="true"&gt;🇨🇳&lt;/span&gt;
        &lt;span class="language-code"&gt;ZH&lt;/span&gt;
        &lt;span&gt;中文&lt;/span&gt;
      &lt;/a&gt;
      &lt;a href="../cs/" lang="cs" hreflang="cs"&gt;
        &lt;span class="language-flag" aria-hidden="true"&gt;🇨🇿&lt;/span&gt;
        &lt;span class="language-code"&gt;CS&lt;/span&gt;
        &lt;span&gt;Čeština&lt;/span&gt;
      &lt;/a&gt;
      &lt;a href="../hr/" lang="hr" hreflang="hr"&gt;
        &lt;span class="language-flag" aria-hidden="true"&gt;🇭🇷&lt;/span&gt;
        &lt;span class="language-code"&gt;HR&lt;/span&gt;
        &lt;span&gt;Hrvatski&lt;/span&gt;
      &lt;/a&gt;
      &lt;a href="../hu/" lang="hu" hreflang="hu"&gt;
        &lt;span class="language-flag" aria-hidden="true"&gt;🇭🇺&lt;/span&gt;
        &lt;span class="language-code"&gt;HU&lt;/span&gt;
        &lt;span&gt;Magyar&lt;/span&gt;
      &lt;/a&gt;
      &lt;a href="../mt/" lang="mt" hreflang="mt"&gt;
        &lt;span class="language-flag" aria-hidden="true"&gt;🇲🇹&lt;/span&gt;
        &lt;span class="language-code"&gt;MT&lt;/span&gt;
        &lt;span&gt;Malti&lt;/span&gt;
      &lt;/a&gt;
      &lt;a href="../nl/" lang="nl" hreflang="nl"&gt;
        &lt;span class="language-flag" aria-hidden="true"&gt;🇳🇱&lt;/span&gt;
        &lt;span class="language-code"&gt;NL&lt;/span&gt;
        &lt;span&gt;Nederlands&lt;/span&gt;
      &lt;/a&gt;
      &lt;a href="../ro/" lang="ro" hreflang="ro"&gt;
        &lt;span class="language-flag" aria-hidden="true"&gt;🇷🇴&lt;/span&gt;
        &lt;span class="language-code"&gt;RO&lt;/span&gt;
        &lt;span&gt;Română&lt;/span&gt;
      &lt;/a&gt;
      &lt;a href="../vi/" lang="vi" hreflang="vi"&gt;
        &lt;span class="language-flag" aria-hidden="true"&gt;🇻🇳&lt;/span&gt;
        &lt;span class="language-code"&gt;VI&lt;/span&gt;
        &lt;span&gt;Tiếng Việt&lt;/span&gt;
      &lt;/a&gt;
    &lt;/nav&gt;
  &lt;/details&gt;
&lt;/div&gt;
      &lt;/nav&gt;</v>
      </c>
      <c r="M27" s="1" t="str">
        <f>header_block_de!$A1</f>
        <v>&lt;header class="moving-banner" aria-label="Decorative animated banner"&gt;
  &lt;div class="moving-banner__track"&gt;
    &lt;img src="../img/website_banner_wide_e.webp" alt=""&gt;
    &lt;img src="../img/website_banner_wide_e.webp" alt="" aria-hidden="true"&gt;
  &lt;/div&gt;
    &lt;/header&gt;
      &lt;nav class="header-inner"&gt;
        &lt;a href="#" class="brand" aria-label="Startseite"&gt;
          &lt;span class="brand-mark" aria-hidden="true"&gt;&lt;img src="../img/apple-touch-icon.png" style="border-radius: var(--radius-lg)"&gt;&lt;/span&gt;
          &lt;span class="brand-text"&gt;
            &lt;span class="brand-kicker"&gt;Teresianischer Karmel&lt;/span&gt;
            &lt;span class="brand-name"&gt;Online-Exerzitien&lt;/span&gt;
          &lt;/span&gt;
        &lt;/a&gt;
&lt;div class="header-actions"&gt;
            &lt;nav class="main-nav" id="main-navigation" aria-label="Hauptnavigation"&gt;
        &lt;ul&gt;
          &lt;li&gt;&lt;a href="../index.html"&gt;&lt;span class="material-symbols-outlined"&gt;home&lt;/span&gt;&lt;/a&gt;&lt;/li&gt;
          &lt;li&gt;&lt;a href="../index.html#signup-panel"&gt;Anmelden&lt;/a&gt;&lt;/li&gt;
          &lt;li&gt;&lt;a href="../index.html#aktuelleExerzitien"&gt;Aktuelle Exerzitien&lt;/a&gt;&lt;/li&gt;
          &lt;li&gt;&lt;a href="../index.html#saints-cards"&gt;Persönlichkeiten&lt;/a&gt;&lt;/li&gt;
          &lt;li&gt;&lt;a href="../index.html#archiv-cards"&gt;Archiv&lt;/a&gt;&lt;/li&gt;
          &lt;li&gt;&lt;a href="../index.html#faq"&gt;FAQ&lt;/a&gt;&lt;/li&gt;
          &lt;li&gt;&lt;a href="../index.html#weiterempfehlen"&gt;Weiterempfehlen&lt;/a&gt;&lt;/li&gt;
          &lt;li&gt;&lt;a href="../about.html"&gt;Über die Karmeliten&lt;/a&gt;&lt;/li&gt;
        &lt;/ul&gt;
                        &lt;details class="settings_accessibility"&gt;
                          &lt;summary class="settings_accessibility_trigger" aria-label="Accessiblity Settings"&gt;
                            &lt;span class="material-symbols-outlined" aria-label="true"&gt;
                            settings
                            &lt;/span&gt;  
                            &lt;span class="material-symbols-outlined" aria-label="true"&gt;
                            settings_accessibility
                            &lt;/span&gt;                        
                          &lt;/summary&gt;
                &lt;nav class="settings_accessibility_list" aria-label="Sprachauswahl"&gt;
                &lt;button class="font-decrease theme-toggle" type="button" data-font-decrease aria-label="Schriftgröße verkleinern"&gt;
          A-
        &lt;/button&gt;
          &lt;button class="font-reset theme-toggle" type="button" data-font-reset aria-label="Schriftgröße zurücksetzen"&gt;
          A
        &lt;/button&gt; 
        &lt;button class="font-increase theme-toggle" type="button" data-font-increase aria-label="Schriftgröße vergrößern"&gt;
          A+
        &lt;/button&gt;
        &lt;button class="theme-toggle" type="button" data-theme-toggle aria-label="Farbschema wechseln"&gt;
          &lt;span class="theme-toggle__icon" aria-hidden="true"&gt;◐&lt;/span&gt;
        &lt;/button&gt;
                &lt;/nav&gt;
        &lt;/details&gt;
      &lt;/nav&gt;
          &lt;button class="nav-toggle" type="button" aria-expanded="false" aria-controls="main-navigation" aria-label="Menü öffnen"&gt;
          &lt;span&gt;&lt;/span&gt;
          &lt;span&gt;&lt;/span&gt;
          &lt;span&gt;&lt;/span&gt;
        &lt;/button&gt;
  &lt;details class="language-menu"&gt;
    &lt;summary class="language-menu__trigger" aria-label="Sprache auswählen"&gt;
      &lt;span aria-hidden="true"&gt;🌐&lt;/span&gt;
      &lt;span&gt;DE&lt;/span&gt;
      &lt;span class="language-menu__current"&gt;Deutsch&lt;/span&gt;
    &lt;/summary&gt;
    &lt;nav class="language-menu__list" aria-label="Sprachauswahl"&gt;
      &lt;a href="https://retraites.carmes-paris.org/" lang="fr" hreflang="fr"&gt;
        &lt;span class="language-flag" aria-hidden="true"&gt;🇫🇷&lt;/span&gt;
        &lt;span class="language-code"&gt;FR&lt;/span&gt;
        &lt;span&gt;Français&lt;/span&gt;
      &lt;/a&gt;
      &lt;a href="../de/" lang="de" hreflang="de" aria-current="page"&gt;
        &lt;span class="language-flag" aria-hidden="true"&gt;🇦🇹🇩🇪&lt;/span&gt;
        &lt;span class="language-code"&gt;DE&lt;/span&gt;
        &lt;span&gt;Deutsch&lt;/span&gt;
        &lt;span class="language-check" aria-hidden="true"&gt;✓&lt;/span&gt;
      &lt;/a&gt;
      &lt;a href="../es/" lang="es" hreflang="es"&gt;
        &lt;span class="language-flag" aria-hidden="true"&gt;🇪🇸&lt;/span&gt;
        &lt;span class="language-code"&gt;ES&lt;/span&gt;
        &lt;span&gt;Español&lt;/span&gt;
      &lt;/a&gt;
      &lt;a href="../it/" lang="it" hreflang="it"&gt;
        &lt;span class="language-flag" aria-hidden="true"&gt;🇮🇹&lt;/span&gt;
        &lt;span class="language-code"&gt;IT&lt;/span&gt;
        &lt;span&gt;Italiano&lt;/span&gt;
      &lt;/a&gt;
      &lt;a href="../en/" lang="en" hreflang="en"&gt;
        &lt;span class="language-flag" aria-hidden="true"&gt;🇬🇧🇺🇸&lt;/span&gt;
        &lt;span class="language-code"&gt;EN&lt;/span&gt;
        &lt;span&gt;English&lt;/span&gt;
      &lt;/a&gt;
      &lt;a href="../pl/" lang="pl" hreflang="pl"&gt;
        &lt;span class="language-flag" aria-hidden="true"&gt;🇵🇱&lt;/span&gt;
        &lt;span class="language-code"&gt;PL&lt;/span&gt;
        &lt;span&gt;Polski&lt;/span&gt;
      &lt;/a&gt;
      &lt;a href="../ar/" lang="ar" hreflang="ar" dir="rtl"&gt;
        &lt;span class="language-flag" aria-hidden="true"&gt;🇱🇧🇸🇦&lt;/span&gt;
        &lt;span class="language-code"&gt;AR&lt;/span&gt;
        &lt;span&gt;العربية&lt;/span&gt;
      &lt;/a&gt;
      &lt;a href="../pt/" lang="pt" hreflang="pt"&gt;
        &lt;span class="language-flag" aria-hidden="true"&gt;🇵🇹&lt;/span&gt;
        &lt;span class="language-code"&gt;PT&lt;/span&gt;
        &lt;span&gt;Português&lt;/span&gt;
      &lt;/a&gt;
      &lt;a href="../zh/" lang="zh" hreflang="zh"&gt;
        &lt;span class="language-flag" aria-hidden="true"&gt;🇨🇳&lt;/span&gt;
        &lt;span class="language-code"&gt;ZH&lt;/span&gt;
        &lt;span&gt;中文&lt;/span&gt;
      &lt;/a&gt;
      &lt;a href="../cs/" lang="cs" hreflang="cs"&gt;
        &lt;span class="language-flag" aria-hidden="true"&gt;🇨🇿&lt;/span&gt;
        &lt;span class="language-code"&gt;CS&lt;/span&gt;
        &lt;span&gt;Čeština&lt;/span&gt;
      &lt;/a&gt;
      &lt;a href="../hr/" lang="hr" hreflang="hr"&gt;
        &lt;span class="language-flag" aria-hidden="true"&gt;🇭🇷&lt;/span&gt;
        &lt;span class="language-code"&gt;HR&lt;/span&gt;
        &lt;span&gt;Hrvatski&lt;/span&gt;
      &lt;/a&gt;
      &lt;a href="../hu/" lang="hu" hreflang="hu"&gt;
        &lt;span class="language-flag" aria-hidden="true"&gt;🇭🇺&lt;/span&gt;
        &lt;span class="language-code"&gt;HU&lt;/span&gt;
        &lt;span&gt;Magyar&lt;/span&gt;
      &lt;/a&gt;
      &lt;a href="../mt/" lang="mt" hreflang="mt"&gt;
        &lt;span class="language-flag" aria-hidden="true"&gt;🇲🇹&lt;/span&gt;
        &lt;span class="language-code"&gt;MT&lt;/span&gt;
        &lt;span&gt;Malti&lt;/span&gt;
      &lt;/a&gt;
      &lt;a href="../nl/" lang="nl" hreflang="nl"&gt;
        &lt;span class="language-flag" aria-hidden="true"&gt;🇳🇱&lt;/span&gt;
        &lt;span class="language-code"&gt;NL&lt;/span&gt;
        &lt;span&gt;Nederlands&lt;/span&gt;
      &lt;/a&gt;
      &lt;a href="../ro/" lang="ro" hreflang="ro"&gt;
        &lt;span class="language-flag" aria-hidden="true"&gt;🇷🇴&lt;/span&gt;
        &lt;span class="language-code"&gt;RO&lt;/span&gt;
        &lt;span&gt;Română&lt;/span&gt;
      &lt;/a&gt;
      &lt;a href="../vi/" lang="vi" hreflang="vi"&gt;
        &lt;span class="language-flag" aria-hidden="true"&gt;🇻🇳&lt;/span&gt;
        &lt;span class="language-code"&gt;VI&lt;/span&gt;
        &lt;span&gt;Tiếng Việt&lt;/span&gt;
      &lt;/a&gt;
    &lt;/nav&gt;
  &lt;/details&gt;
&lt;/div&gt;
      &lt;/nav&gt;</v>
      </c>
      <c r="N27" s="1" t="str">
        <f>header_block_de!$A1</f>
        <v>&lt;header class="moving-banner" aria-label="Decorative animated banner"&gt;
  &lt;div class="moving-banner__track"&gt;
    &lt;img src="../img/website_banner_wide_e.webp" alt=""&gt;
    &lt;img src="../img/website_banner_wide_e.webp" alt="" aria-hidden="true"&gt;
  &lt;/div&gt;
    &lt;/header&gt;
      &lt;nav class="header-inner"&gt;
        &lt;a href="#" class="brand" aria-label="Startseite"&gt;
          &lt;span class="brand-mark" aria-hidden="true"&gt;&lt;img src="../img/apple-touch-icon.png" style="border-radius: var(--radius-lg)"&gt;&lt;/span&gt;
          &lt;span class="brand-text"&gt;
            &lt;span class="brand-kicker"&gt;Teresianischer Karmel&lt;/span&gt;
            &lt;span class="brand-name"&gt;Online-Exerzitien&lt;/span&gt;
          &lt;/span&gt;
        &lt;/a&gt;
&lt;div class="header-actions"&gt;
            &lt;nav class="main-nav" id="main-navigation" aria-label="Hauptnavigation"&gt;
        &lt;ul&gt;
          &lt;li&gt;&lt;a href="../index.html"&gt;&lt;span class="material-symbols-outlined"&gt;home&lt;/span&gt;&lt;/a&gt;&lt;/li&gt;
          &lt;li&gt;&lt;a href="../index.html#signup-panel"&gt;Anmelden&lt;/a&gt;&lt;/li&gt;
          &lt;li&gt;&lt;a href="../index.html#aktuelleExerzitien"&gt;Aktuelle Exerzitien&lt;/a&gt;&lt;/li&gt;
          &lt;li&gt;&lt;a href="../index.html#saints-cards"&gt;Persönlichkeiten&lt;/a&gt;&lt;/li&gt;
          &lt;li&gt;&lt;a href="../index.html#archiv-cards"&gt;Archiv&lt;/a&gt;&lt;/li&gt;
          &lt;li&gt;&lt;a href="../index.html#faq"&gt;FAQ&lt;/a&gt;&lt;/li&gt;
          &lt;li&gt;&lt;a href="../index.html#weiterempfehlen"&gt;Weiterempfehlen&lt;/a&gt;&lt;/li&gt;
          &lt;li&gt;&lt;a href="../about.html"&gt;Über die Karmeliten&lt;/a&gt;&lt;/li&gt;
        &lt;/ul&gt;
                        &lt;details class="settings_accessibility"&gt;
                          &lt;summary class="settings_accessibility_trigger" aria-label="Accessiblity Settings"&gt;
                            &lt;span class="material-symbols-outlined" aria-label="true"&gt;
                            settings
                            &lt;/span&gt;  
                            &lt;span class="material-symbols-outlined" aria-label="true"&gt;
                            settings_accessibility
                            &lt;/span&gt;                        
                          &lt;/summary&gt;
                &lt;nav class="settings_accessibility_list" aria-label="Sprachauswahl"&gt;
                &lt;button class="font-decrease theme-toggle" type="button" data-font-decrease aria-label="Schriftgröße verkleinern"&gt;
          A-
        &lt;/button&gt;
          &lt;button class="font-reset theme-toggle" type="button" data-font-reset aria-label="Schriftgröße zurücksetzen"&gt;
          A
        &lt;/button&gt; 
        &lt;button class="font-increase theme-toggle" type="button" data-font-increase aria-label="Schriftgröße vergrößern"&gt;
          A+
        &lt;/button&gt;
        &lt;button class="theme-toggle" type="button" data-theme-toggle aria-label="Farbschema wechseln"&gt;
          &lt;span class="theme-toggle__icon" aria-hidden="true"&gt;◐&lt;/span&gt;
        &lt;/button&gt;
                &lt;/nav&gt;
        &lt;/details&gt;
      &lt;/nav&gt;
          &lt;button class="nav-toggle" type="button" aria-expanded="false" aria-controls="main-navigation" aria-label="Menü öffnen"&gt;
          &lt;span&gt;&lt;/span&gt;
          &lt;span&gt;&lt;/span&gt;
          &lt;span&gt;&lt;/span&gt;
        &lt;/button&gt;
  &lt;details class="language-menu"&gt;
    &lt;summary class="language-menu__trigger" aria-label="Sprache auswählen"&gt;
      &lt;span aria-hidden="true"&gt;🌐&lt;/span&gt;
      &lt;span&gt;DE&lt;/span&gt;
      &lt;span class="language-menu__current"&gt;Deutsch&lt;/span&gt;
    &lt;/summary&gt;
    &lt;nav class="language-menu__list" aria-label="Sprachauswahl"&gt;
      &lt;a href="https://retraites.carmes-paris.org/" lang="fr" hreflang="fr"&gt;
        &lt;span class="language-flag" aria-hidden="true"&gt;🇫🇷&lt;/span&gt;
        &lt;span class="language-code"&gt;FR&lt;/span&gt;
        &lt;span&gt;Français&lt;/span&gt;
      &lt;/a&gt;
      &lt;a href="../de/" lang="de" hreflang="de" aria-current="page"&gt;
        &lt;span class="language-flag" aria-hidden="true"&gt;🇦🇹🇩🇪&lt;/span&gt;
        &lt;span class="language-code"&gt;DE&lt;/span&gt;
        &lt;span&gt;Deutsch&lt;/span&gt;
        &lt;span class="language-check" aria-hidden="true"&gt;✓&lt;/span&gt;
      &lt;/a&gt;
      &lt;a href="../es/" lang="es" hreflang="es"&gt;
        &lt;span class="language-flag" aria-hidden="true"&gt;🇪🇸&lt;/span&gt;
        &lt;span class="language-code"&gt;ES&lt;/span&gt;
        &lt;span&gt;Español&lt;/span&gt;
      &lt;/a&gt;
      &lt;a href="../it/" lang="it" hreflang="it"&gt;
        &lt;span class="language-flag" aria-hidden="true"&gt;🇮🇹&lt;/span&gt;
        &lt;span class="language-code"&gt;IT&lt;/span&gt;
        &lt;span&gt;Italiano&lt;/span&gt;
      &lt;/a&gt;
      &lt;a href="../en/" lang="en" hreflang="en"&gt;
        &lt;span class="language-flag" aria-hidden="true"&gt;🇬🇧🇺🇸&lt;/span&gt;
        &lt;span class="language-code"&gt;EN&lt;/span&gt;
        &lt;span&gt;English&lt;/span&gt;
      &lt;/a&gt;
      &lt;a href="../pl/" lang="pl" hreflang="pl"&gt;
        &lt;span class="language-flag" aria-hidden="true"&gt;🇵🇱&lt;/span&gt;
        &lt;span class="language-code"&gt;PL&lt;/span&gt;
        &lt;span&gt;Polski&lt;/span&gt;
      &lt;/a&gt;
      &lt;a href="../ar/" lang="ar" hreflang="ar" dir="rtl"&gt;
        &lt;span class="language-flag" aria-hidden="true"&gt;🇱🇧🇸🇦&lt;/span&gt;
        &lt;span class="language-code"&gt;AR&lt;/span&gt;
        &lt;span&gt;العربية&lt;/span&gt;
      &lt;/a&gt;
      &lt;a href="../pt/" lang="pt" hreflang="pt"&gt;
        &lt;span class="language-flag" aria-hidden="true"&gt;🇵🇹&lt;/span&gt;
        &lt;span class="language-code"&gt;PT&lt;/span&gt;
        &lt;span&gt;Português&lt;/span&gt;
      &lt;/a&gt;
      &lt;a href="../zh/" lang="zh" hreflang="zh"&gt;
        &lt;span class="language-flag" aria-hidden="true"&gt;🇨🇳&lt;/span&gt;
        &lt;span class="language-code"&gt;ZH&lt;/span&gt;
        &lt;span&gt;中文&lt;/span&gt;
      &lt;/a&gt;
      &lt;a href="../cs/" lang="cs" hreflang="cs"&gt;
        &lt;span class="language-flag" aria-hidden="true"&gt;🇨🇿&lt;/span&gt;
        &lt;span class="language-code"&gt;CS&lt;/span&gt;
        &lt;span&gt;Čeština&lt;/span&gt;
      &lt;/a&gt;
      &lt;a href="../hr/" lang="hr" hreflang="hr"&gt;
        &lt;span class="language-flag" aria-hidden="true"&gt;🇭🇷&lt;/span&gt;
        &lt;span class="language-code"&gt;HR&lt;/span&gt;
        &lt;span&gt;Hrvatski&lt;/span&gt;
      &lt;/a&gt;
      &lt;a href="../hu/" lang="hu" hreflang="hu"&gt;
        &lt;span class="language-flag" aria-hidden="true"&gt;🇭🇺&lt;/span&gt;
        &lt;span class="language-code"&gt;HU&lt;/span&gt;
        &lt;span&gt;Magyar&lt;/span&gt;
      &lt;/a&gt;
      &lt;a href="../mt/" lang="mt" hreflang="mt"&gt;
        &lt;span class="language-flag" aria-hidden="true"&gt;🇲🇹&lt;/span&gt;
        &lt;span class="language-code"&gt;MT&lt;/span&gt;
        &lt;span&gt;Malti&lt;/span&gt;
      &lt;/a&gt;
      &lt;a href="../nl/" lang="nl" hreflang="nl"&gt;
        &lt;span class="language-flag" aria-hidden="true"&gt;🇳🇱&lt;/span&gt;
        &lt;span class="language-code"&gt;NL&lt;/span&gt;
        &lt;span&gt;Nederlands&lt;/span&gt;
      &lt;/a&gt;
      &lt;a href="../ro/" lang="ro" hreflang="ro"&gt;
        &lt;span class="language-flag" aria-hidden="true"&gt;🇷🇴&lt;/span&gt;
        &lt;span class="language-code"&gt;RO&lt;/span&gt;
        &lt;span&gt;Română&lt;/span&gt;
      &lt;/a&gt;
      &lt;a href="../vi/" lang="vi" hreflang="vi"&gt;
        &lt;span class="language-flag" aria-hidden="true"&gt;🇻🇳&lt;/span&gt;
        &lt;span class="language-code"&gt;VI&lt;/span&gt;
        &lt;span&gt;Tiếng Việt&lt;/span&gt;
      &lt;/a&gt;
    &lt;/nav&gt;
  &lt;/details&gt;
&lt;/div&gt;
      &lt;/nav&gt;</v>
      </c>
      <c r="O27" s="1" t="str">
        <f>header_block_de!$A1</f>
        <v>&lt;header class="moving-banner" aria-label="Decorative animated banner"&gt;
  &lt;div class="moving-banner__track"&gt;
    &lt;img src="../img/website_banner_wide_e.webp" alt=""&gt;
    &lt;img src="../img/website_banner_wide_e.webp" alt="" aria-hidden="true"&gt;
  &lt;/div&gt;
    &lt;/header&gt;
      &lt;nav class="header-inner"&gt;
        &lt;a href="#" class="brand" aria-label="Startseite"&gt;
          &lt;span class="brand-mark" aria-hidden="true"&gt;&lt;img src="../img/apple-touch-icon.png" style="border-radius: var(--radius-lg)"&gt;&lt;/span&gt;
          &lt;span class="brand-text"&gt;
            &lt;span class="brand-kicker"&gt;Teresianischer Karmel&lt;/span&gt;
            &lt;span class="brand-name"&gt;Online-Exerzitien&lt;/span&gt;
          &lt;/span&gt;
        &lt;/a&gt;
&lt;div class="header-actions"&gt;
            &lt;nav class="main-nav" id="main-navigation" aria-label="Hauptnavigation"&gt;
        &lt;ul&gt;
          &lt;li&gt;&lt;a href="../index.html"&gt;&lt;span class="material-symbols-outlined"&gt;home&lt;/span&gt;&lt;/a&gt;&lt;/li&gt;
          &lt;li&gt;&lt;a href="../index.html#signup-panel"&gt;Anmelden&lt;/a&gt;&lt;/li&gt;
          &lt;li&gt;&lt;a href="../index.html#aktuelleExerzitien"&gt;Aktuelle Exerzitien&lt;/a&gt;&lt;/li&gt;
          &lt;li&gt;&lt;a href="../index.html#saints-cards"&gt;Persönlichkeiten&lt;/a&gt;&lt;/li&gt;
          &lt;li&gt;&lt;a href="../index.html#archiv-cards"&gt;Archiv&lt;/a&gt;&lt;/li&gt;
          &lt;li&gt;&lt;a href="../index.html#faq"&gt;FAQ&lt;/a&gt;&lt;/li&gt;
          &lt;li&gt;&lt;a href="../index.html#weiterempfehlen"&gt;Weiterempfehlen&lt;/a&gt;&lt;/li&gt;
          &lt;li&gt;&lt;a href="../about.html"&gt;Über die Karmeliten&lt;/a&gt;&lt;/li&gt;
        &lt;/ul&gt;
                        &lt;details class="settings_accessibility"&gt;
                          &lt;summary class="settings_accessibility_trigger" aria-label="Accessiblity Settings"&gt;
                            &lt;span class="material-symbols-outlined" aria-label="true"&gt;
                            settings
                            &lt;/span&gt;  
                            &lt;span class="material-symbols-outlined" aria-label="true"&gt;
                            settings_accessibility
                            &lt;/span&gt;                        
                          &lt;/summary&gt;
                &lt;nav class="settings_accessibility_list" aria-label="Sprachauswahl"&gt;
                &lt;button class="font-decrease theme-toggle" type="button" data-font-decrease aria-label="Schriftgröße verkleinern"&gt;
          A-
        &lt;/button&gt;
          &lt;button class="font-reset theme-toggle" type="button" data-font-reset aria-label="Schriftgröße zurücksetzen"&gt;
          A
        &lt;/button&gt; 
        &lt;button class="font-increase theme-toggle" type="button" data-font-increase aria-label="Schriftgröße vergrößern"&gt;
          A+
        &lt;/button&gt;
        &lt;button class="theme-toggle" type="button" data-theme-toggle aria-label="Farbschema wechseln"&gt;
          &lt;span class="theme-toggle__icon" aria-hidden="true"&gt;◐&lt;/span&gt;
        &lt;/button&gt;
                &lt;/nav&gt;
        &lt;/details&gt;
      &lt;/nav&gt;
          &lt;button class="nav-toggle" type="button" aria-expanded="false" aria-controls="main-navigation" aria-label="Menü öffnen"&gt;
          &lt;span&gt;&lt;/span&gt;
          &lt;span&gt;&lt;/span&gt;
          &lt;span&gt;&lt;/span&gt;
        &lt;/button&gt;
  &lt;details class="language-menu"&gt;
    &lt;summary class="language-menu__trigger" aria-label="Sprache auswählen"&gt;
      &lt;span aria-hidden="true"&gt;🌐&lt;/span&gt;
      &lt;span&gt;DE&lt;/span&gt;
      &lt;span class="language-menu__current"&gt;Deutsch&lt;/span&gt;
    &lt;/summary&gt;
    &lt;nav class="language-menu__list" aria-label="Sprachauswahl"&gt;
      &lt;a href="https://retraites.carmes-paris.org/" lang="fr" hreflang="fr"&gt;
        &lt;span class="language-flag" aria-hidden="true"&gt;🇫🇷&lt;/span&gt;
        &lt;span class="language-code"&gt;FR&lt;/span&gt;
        &lt;span&gt;Français&lt;/span&gt;
      &lt;/a&gt;
      &lt;a href="../de/" lang="de" hreflang="de" aria-current="page"&gt;
        &lt;span class="language-flag" aria-hidden="true"&gt;🇦🇹🇩🇪&lt;/span&gt;
        &lt;span class="language-code"&gt;DE&lt;/span&gt;
        &lt;span&gt;Deutsch&lt;/span&gt;
        &lt;span class="language-check" aria-hidden="true"&gt;✓&lt;/span&gt;
      &lt;/a&gt;
      &lt;a href="../es/" lang="es" hreflang="es"&gt;
        &lt;span class="language-flag" aria-hidden="true"&gt;🇪🇸&lt;/span&gt;
        &lt;span class="language-code"&gt;ES&lt;/span&gt;
        &lt;span&gt;Español&lt;/span&gt;
      &lt;/a&gt;
      &lt;a href="../it/" lang="it" hreflang="it"&gt;
        &lt;span class="language-flag" aria-hidden="true"&gt;🇮🇹&lt;/span&gt;
        &lt;span class="language-code"&gt;IT&lt;/span&gt;
        &lt;span&gt;Italiano&lt;/span&gt;
      &lt;/a&gt;
      &lt;a href="../en/" lang="en" hreflang="en"&gt;
        &lt;span class="language-flag" aria-hidden="true"&gt;🇬🇧🇺🇸&lt;/span&gt;
        &lt;span class="language-code"&gt;EN&lt;/span&gt;
        &lt;span&gt;English&lt;/span&gt;
      &lt;/a&gt;
      &lt;a href="../pl/" lang="pl" hreflang="pl"&gt;
        &lt;span class="language-flag" aria-hidden="true"&gt;🇵🇱&lt;/span&gt;
        &lt;span class="language-code"&gt;PL&lt;/span&gt;
        &lt;span&gt;Polski&lt;/span&gt;
      &lt;/a&gt;
      &lt;a href="../ar/" lang="ar" hreflang="ar" dir="rtl"&gt;
        &lt;span class="language-flag" aria-hidden="true"&gt;🇱🇧🇸🇦&lt;/span&gt;
        &lt;span class="language-code"&gt;AR&lt;/span&gt;
        &lt;span&gt;العربية&lt;/span&gt;
      &lt;/a&gt;
      &lt;a href="../pt/" lang="pt" hreflang="pt"&gt;
        &lt;span class="language-flag" aria-hidden="true"&gt;🇵🇹&lt;/span&gt;
        &lt;span class="language-code"&gt;PT&lt;/span&gt;
        &lt;span&gt;Português&lt;/span&gt;
      &lt;/a&gt;
      &lt;a href="../zh/" lang="zh" hreflang="zh"&gt;
        &lt;span class="language-flag" aria-hidden="true"&gt;🇨🇳&lt;/span&gt;
        &lt;span class="language-code"&gt;ZH&lt;/span&gt;
        &lt;span&gt;中文&lt;/span&gt;
      &lt;/a&gt;
      &lt;a href="../cs/" lang="cs" hreflang="cs"&gt;
        &lt;span class="language-flag" aria-hidden="true"&gt;🇨🇿&lt;/span&gt;
        &lt;span class="language-code"&gt;CS&lt;/span&gt;
        &lt;span&gt;Čeština&lt;/span&gt;
      &lt;/a&gt;
      &lt;a href="../hr/" lang="hr" hreflang="hr"&gt;
        &lt;span class="language-flag" aria-hidden="true"&gt;🇭🇷&lt;/span&gt;
        &lt;span class="language-code"&gt;HR&lt;/span&gt;
        &lt;span&gt;Hrvatski&lt;/span&gt;
      &lt;/a&gt;
      &lt;a href="../hu/" lang="hu" hreflang="hu"&gt;
        &lt;span class="language-flag" aria-hidden="true"&gt;🇭🇺&lt;/span&gt;
        &lt;span class="language-code"&gt;HU&lt;/span&gt;
        &lt;span&gt;Magyar&lt;/span&gt;
      &lt;/a&gt;
      &lt;a href="../mt/" lang="mt" hreflang="mt"&gt;
        &lt;span class="language-flag" aria-hidden="true"&gt;🇲🇹&lt;/span&gt;
        &lt;span class="language-code"&gt;MT&lt;/span&gt;
        &lt;span&gt;Malti&lt;/span&gt;
      &lt;/a&gt;
      &lt;a href="../nl/" lang="nl" hreflang="nl"&gt;
        &lt;span class="language-flag" aria-hidden="true"&gt;🇳🇱&lt;/span&gt;
        &lt;span class="language-code"&gt;NL&lt;/span&gt;
        &lt;span&gt;Nederlands&lt;/span&gt;
      &lt;/a&gt;
      &lt;a href="../ro/" lang="ro" hreflang="ro"&gt;
        &lt;span class="language-flag" aria-hidden="true"&gt;🇷🇴&lt;/span&gt;
        &lt;span class="language-code"&gt;RO&lt;/span&gt;
        &lt;span&gt;Română&lt;/span&gt;
      &lt;/a&gt;
      &lt;a href="../vi/" lang="vi" hreflang="vi"&gt;
        &lt;span class="language-flag" aria-hidden="true"&gt;🇻🇳&lt;/span&gt;
        &lt;span class="language-code"&gt;VI&lt;/span&gt;
        &lt;span&gt;Tiếng Việt&lt;/span&gt;
      &lt;/a&gt;
    &lt;/nav&gt;
  &lt;/details&gt;
&lt;/div&gt;
      &lt;/nav&gt;</v>
      </c>
      <c r="P27" s="1" t="str">
        <f>header_block_de!$A1</f>
        <v>&lt;header class="moving-banner" aria-label="Decorative animated banner"&gt;
  &lt;div class="moving-banner__track"&gt;
    &lt;img src="../img/website_banner_wide_e.webp" alt=""&gt;
    &lt;img src="../img/website_banner_wide_e.webp" alt="" aria-hidden="true"&gt;
  &lt;/div&gt;
    &lt;/header&gt;
      &lt;nav class="header-inner"&gt;
        &lt;a href="#" class="brand" aria-label="Startseite"&gt;
          &lt;span class="brand-mark" aria-hidden="true"&gt;&lt;img src="../img/apple-touch-icon.png" style="border-radius: var(--radius-lg)"&gt;&lt;/span&gt;
          &lt;span class="brand-text"&gt;
            &lt;span class="brand-kicker"&gt;Teresianischer Karmel&lt;/span&gt;
            &lt;span class="brand-name"&gt;Online-Exerzitien&lt;/span&gt;
          &lt;/span&gt;
        &lt;/a&gt;
&lt;div class="header-actions"&gt;
            &lt;nav class="main-nav" id="main-navigation" aria-label="Hauptnavigation"&gt;
        &lt;ul&gt;
          &lt;li&gt;&lt;a href="../index.html"&gt;&lt;span class="material-symbols-outlined"&gt;home&lt;/span&gt;&lt;/a&gt;&lt;/li&gt;
          &lt;li&gt;&lt;a href="../index.html#signup-panel"&gt;Anmelden&lt;/a&gt;&lt;/li&gt;
          &lt;li&gt;&lt;a href="../index.html#aktuelleExerzitien"&gt;Aktuelle Exerzitien&lt;/a&gt;&lt;/li&gt;
          &lt;li&gt;&lt;a href="../index.html#saints-cards"&gt;Persönlichkeiten&lt;/a&gt;&lt;/li&gt;
          &lt;li&gt;&lt;a href="../index.html#archiv-cards"&gt;Archiv&lt;/a&gt;&lt;/li&gt;
          &lt;li&gt;&lt;a href="../index.html#faq"&gt;FAQ&lt;/a&gt;&lt;/li&gt;
          &lt;li&gt;&lt;a href="../index.html#weiterempfehlen"&gt;Weiterempfehlen&lt;/a&gt;&lt;/li&gt;
          &lt;li&gt;&lt;a href="../about.html"&gt;Über die Karmeliten&lt;/a&gt;&lt;/li&gt;
        &lt;/ul&gt;
                        &lt;details class="settings_accessibility"&gt;
                          &lt;summary class="settings_accessibility_trigger" aria-label="Accessiblity Settings"&gt;
                            &lt;span class="material-symbols-outlined" aria-label="true"&gt;
                            settings
                            &lt;/span&gt;  
                            &lt;span class="material-symbols-outlined" aria-label="true"&gt;
                            settings_accessibility
                            &lt;/span&gt;                        
                          &lt;/summary&gt;
                &lt;nav class="settings_accessibility_list" aria-label="Sprachauswahl"&gt;
                &lt;button class="font-decrease theme-toggle" type="button" data-font-decrease aria-label="Schriftgröße verkleinern"&gt;
          A-
        &lt;/button&gt;
          &lt;button class="font-reset theme-toggle" type="button" data-font-reset aria-label="Schriftgröße zurücksetzen"&gt;
          A
        &lt;/button&gt; 
        &lt;button class="font-increase theme-toggle" type="button" data-font-increase aria-label="Schriftgröße vergrößern"&gt;
          A+
        &lt;/button&gt;
        &lt;button class="theme-toggle" type="button" data-theme-toggle aria-label="Farbschema wechseln"&gt;
          &lt;span class="theme-toggle__icon" aria-hidden="true"&gt;◐&lt;/span&gt;
        &lt;/button&gt;
                &lt;/nav&gt;
        &lt;/details&gt;
      &lt;/nav&gt;
          &lt;button class="nav-toggle" type="button" aria-expanded="false" aria-controls="main-navigation" aria-label="Menü öffnen"&gt;
          &lt;span&gt;&lt;/span&gt;
          &lt;span&gt;&lt;/span&gt;
          &lt;span&gt;&lt;/span&gt;
        &lt;/button&gt;
  &lt;details class="language-menu"&gt;
    &lt;summary class="language-menu__trigger" aria-label="Sprache auswählen"&gt;
      &lt;span aria-hidden="true"&gt;🌐&lt;/span&gt;
      &lt;span&gt;DE&lt;/span&gt;
      &lt;span class="language-menu__current"&gt;Deutsch&lt;/span&gt;
    &lt;/summary&gt;
    &lt;nav class="language-menu__list" aria-label="Sprachauswahl"&gt;
      &lt;a href="https://retraites.carmes-paris.org/" lang="fr" hreflang="fr"&gt;
        &lt;span class="language-flag" aria-hidden="true"&gt;🇫🇷&lt;/span&gt;
        &lt;span class="language-code"&gt;FR&lt;/span&gt;
        &lt;span&gt;Français&lt;/span&gt;
      &lt;/a&gt;
      &lt;a href="../de/" lang="de" hreflang="de" aria-current="page"&gt;
        &lt;span class="language-flag" aria-hidden="true"&gt;🇦🇹🇩🇪&lt;/span&gt;
        &lt;span class="language-code"&gt;DE&lt;/span&gt;
        &lt;span&gt;Deutsch&lt;/span&gt;
        &lt;span class="language-check" aria-hidden="true"&gt;✓&lt;/span&gt;
      &lt;/a&gt;
      &lt;a href="../es/" lang="es" hreflang="es"&gt;
        &lt;span class="language-flag" aria-hidden="true"&gt;🇪🇸&lt;/span&gt;
        &lt;span class="language-code"&gt;ES&lt;/span&gt;
        &lt;span&gt;Español&lt;/span&gt;
      &lt;/a&gt;
      &lt;a href="../it/" lang="it" hreflang="it"&gt;
        &lt;span class="language-flag" aria-hidden="true"&gt;🇮🇹&lt;/span&gt;
        &lt;span class="language-code"&gt;IT&lt;/span&gt;
        &lt;span&gt;Italiano&lt;/span&gt;
      &lt;/a&gt;
      &lt;a href="../en/" lang="en" hreflang="en"&gt;
        &lt;span class="language-flag" aria-hidden="true"&gt;🇬🇧🇺🇸&lt;/span&gt;
        &lt;span class="language-code"&gt;EN&lt;/span&gt;
        &lt;span&gt;English&lt;/span&gt;
      &lt;/a&gt;
      &lt;a href="../pl/" lang="pl" hreflang="pl"&gt;
        &lt;span class="language-flag" aria-hidden="true"&gt;🇵🇱&lt;/span&gt;
        &lt;span class="language-code"&gt;PL&lt;/span&gt;
        &lt;span&gt;Polski&lt;/span&gt;
      &lt;/a&gt;
      &lt;a href="../ar/" lang="ar" hreflang="ar" dir="rtl"&gt;
        &lt;span class="language-flag" aria-hidden="true"&gt;🇱🇧🇸🇦&lt;/span&gt;
        &lt;span class="language-code"&gt;AR&lt;/span&gt;
        &lt;span&gt;العربية&lt;/span&gt;
      &lt;/a&gt;
      &lt;a href="../pt/" lang="pt" hreflang="pt"&gt;
        &lt;span class="language-flag" aria-hidden="true"&gt;🇵🇹&lt;/span&gt;
        &lt;span class="language-code"&gt;PT&lt;/span&gt;
        &lt;span&gt;Português&lt;/span&gt;
      &lt;/a&gt;
      &lt;a href="../zh/" lang="zh" hreflang="zh"&gt;
        &lt;span class="language-flag" aria-hidden="true"&gt;🇨🇳&lt;/span&gt;
        &lt;span class="language-code"&gt;ZH&lt;/span&gt;
        &lt;span&gt;中文&lt;/span&gt;
      &lt;/a&gt;
      &lt;a href="../cs/" lang="cs" hreflang="cs"&gt;
        &lt;span class="language-flag" aria-hidden="true"&gt;🇨🇿&lt;/span&gt;
        &lt;span class="language-code"&gt;CS&lt;/span&gt;
        &lt;span&gt;Čeština&lt;/span&gt;
      &lt;/a&gt;
      &lt;a href="../hr/" lang="hr" hreflang="hr"&gt;
        &lt;span class="language-flag" aria-hidden="true"&gt;🇭🇷&lt;/span&gt;
        &lt;span class="language-code"&gt;HR&lt;/span&gt;
        &lt;span&gt;Hrvatski&lt;/span&gt;
      &lt;/a&gt;
      &lt;a href="../hu/" lang="hu" hreflang="hu"&gt;
        &lt;span class="language-flag" aria-hidden="true"&gt;🇭🇺&lt;/span&gt;
        &lt;span class="language-code"&gt;HU&lt;/span&gt;
        &lt;span&gt;Magyar&lt;/span&gt;
      &lt;/a&gt;
      &lt;a href="../mt/" lang="mt" hreflang="mt"&gt;
        &lt;span class="language-flag" aria-hidden="true"&gt;🇲🇹&lt;/span&gt;
        &lt;span class="language-code"&gt;MT&lt;/span&gt;
        &lt;span&gt;Malti&lt;/span&gt;
      &lt;/a&gt;
      &lt;a href="../nl/" lang="nl" hreflang="nl"&gt;
        &lt;span class="language-flag" aria-hidden="true"&gt;🇳🇱&lt;/span&gt;
        &lt;span class="language-code"&gt;NL&lt;/span&gt;
        &lt;span&gt;Nederlands&lt;/span&gt;
      &lt;/a&gt;
      &lt;a href="../ro/" lang="ro" hreflang="ro"&gt;
        &lt;span class="language-flag" aria-hidden="true"&gt;🇷🇴&lt;/span&gt;
        &lt;span class="language-code"&gt;RO&lt;/span&gt;
        &lt;span&gt;Română&lt;/span&gt;
      &lt;/a&gt;
      &lt;a href="../vi/" lang="vi" hreflang="vi"&gt;
        &lt;span class="language-flag" aria-hidden="true"&gt;🇻🇳&lt;/span&gt;
        &lt;span class="language-code"&gt;VI&lt;/span&gt;
        &lt;span&gt;Tiếng Việt&lt;/span&gt;
      &lt;/a&gt;
    &lt;/nav&gt;
  &lt;/details&gt;
&lt;/div&gt;
      &lt;/nav&gt;</v>
      </c>
      <c r="Q27" s="1" t="str">
        <f>header_block_de!$A1</f>
        <v>&lt;header class="moving-banner" aria-label="Decorative animated banner"&gt;
  &lt;div class="moving-banner__track"&gt;
    &lt;img src="../img/website_banner_wide_e.webp" alt=""&gt;
    &lt;img src="../img/website_banner_wide_e.webp" alt="" aria-hidden="true"&gt;
  &lt;/div&gt;
    &lt;/header&gt;
      &lt;nav class="header-inner"&gt;
        &lt;a href="#" class="brand" aria-label="Startseite"&gt;
          &lt;span class="brand-mark" aria-hidden="true"&gt;&lt;img src="../img/apple-touch-icon.png" style="border-radius: var(--radius-lg)"&gt;&lt;/span&gt;
          &lt;span class="brand-text"&gt;
            &lt;span class="brand-kicker"&gt;Teresianischer Karmel&lt;/span&gt;
            &lt;span class="brand-name"&gt;Online-Exerzitien&lt;/span&gt;
          &lt;/span&gt;
        &lt;/a&gt;
&lt;div class="header-actions"&gt;
            &lt;nav class="main-nav" id="main-navigation" aria-label="Hauptnavigation"&gt;
        &lt;ul&gt;
          &lt;li&gt;&lt;a href="../index.html"&gt;&lt;span class="material-symbols-outlined"&gt;home&lt;/span&gt;&lt;/a&gt;&lt;/li&gt;
          &lt;li&gt;&lt;a href="../index.html#signup-panel"&gt;Anmelden&lt;/a&gt;&lt;/li&gt;
          &lt;li&gt;&lt;a href="../index.html#aktuelleExerzitien"&gt;Aktuelle Exerzitien&lt;/a&gt;&lt;/li&gt;
          &lt;li&gt;&lt;a href="../index.html#saints-cards"&gt;Persönlichkeiten&lt;/a&gt;&lt;/li&gt;
          &lt;li&gt;&lt;a href="../index.html#archiv-cards"&gt;Archiv&lt;/a&gt;&lt;/li&gt;
          &lt;li&gt;&lt;a href="../index.html#faq"&gt;FAQ&lt;/a&gt;&lt;/li&gt;
          &lt;li&gt;&lt;a href="../index.html#weiterempfehlen"&gt;Weiterempfehlen&lt;/a&gt;&lt;/li&gt;
          &lt;li&gt;&lt;a href="../about.html"&gt;Über die Karmeliten&lt;/a&gt;&lt;/li&gt;
        &lt;/ul&gt;
                        &lt;details class="settings_accessibility"&gt;
                          &lt;summary class="settings_accessibility_trigger" aria-label="Accessiblity Settings"&gt;
                            &lt;span class="material-symbols-outlined" aria-label="true"&gt;
                            settings
                            &lt;/span&gt;  
                            &lt;span class="material-symbols-outlined" aria-label="true"&gt;
                            settings_accessibility
                            &lt;/span&gt;                        
                          &lt;/summary&gt;
                &lt;nav class="settings_accessibility_list" aria-label="Sprachauswahl"&gt;
                &lt;button class="font-decrease theme-toggle" type="button" data-font-decrease aria-label="Schriftgröße verkleinern"&gt;
          A-
        &lt;/button&gt;
          &lt;button class="font-reset theme-toggle" type="button" data-font-reset aria-label="Schriftgröße zurücksetzen"&gt;
          A
        &lt;/button&gt; 
        &lt;button class="font-increase theme-toggle" type="button" data-font-increase aria-label="Schriftgröße vergrößern"&gt;
          A+
        &lt;/button&gt;
        &lt;button class="theme-toggle" type="button" data-theme-toggle aria-label="Farbschema wechseln"&gt;
          &lt;span class="theme-toggle__icon" aria-hidden="true"&gt;◐&lt;/span&gt;
        &lt;/button&gt;
                &lt;/nav&gt;
        &lt;/details&gt;
      &lt;/nav&gt;
          &lt;button class="nav-toggle" type="button" aria-expanded="false" aria-controls="main-navigation" aria-label="Menü öffnen"&gt;
          &lt;span&gt;&lt;/span&gt;
          &lt;span&gt;&lt;/span&gt;
          &lt;span&gt;&lt;/span&gt;
        &lt;/button&gt;
  &lt;details class="language-menu"&gt;
    &lt;summary class="language-menu__trigger" aria-label="Sprache auswählen"&gt;
      &lt;span aria-hidden="true"&gt;🌐&lt;/span&gt;
      &lt;span&gt;DE&lt;/span&gt;
      &lt;span class="language-menu__current"&gt;Deutsch&lt;/span&gt;
    &lt;/summary&gt;
    &lt;nav class="language-menu__list" aria-label="Sprachauswahl"&gt;
      &lt;a href="https://retraites.carmes-paris.org/" lang="fr" hreflang="fr"&gt;
        &lt;span class="language-flag" aria-hidden="true"&gt;🇫🇷&lt;/span&gt;
        &lt;span class="language-code"&gt;FR&lt;/span&gt;
        &lt;span&gt;Français&lt;/span&gt;
      &lt;/a&gt;
      &lt;a href="../de/" lang="de" hreflang="de" aria-current="page"&gt;
        &lt;span class="language-flag" aria-hidden="true"&gt;🇦🇹🇩🇪&lt;/span&gt;
        &lt;span class="language-code"&gt;DE&lt;/span&gt;
        &lt;span&gt;Deutsch&lt;/span&gt;
        &lt;span class="language-check" aria-hidden="true"&gt;✓&lt;/span&gt;
      &lt;/a&gt;
      &lt;a href="../es/" lang="es" hreflang="es"&gt;
        &lt;span class="language-flag" aria-hidden="true"&gt;🇪🇸&lt;/span&gt;
        &lt;span class="language-code"&gt;ES&lt;/span&gt;
        &lt;span&gt;Español&lt;/span&gt;
      &lt;/a&gt;
      &lt;a href="../it/" lang="it" hreflang="it"&gt;
        &lt;span class="language-flag" aria-hidden="true"&gt;🇮🇹&lt;/span&gt;
        &lt;span class="language-code"&gt;IT&lt;/span&gt;
        &lt;span&gt;Italiano&lt;/span&gt;
      &lt;/a&gt;
      &lt;a href="../en/" lang="en" hreflang="en"&gt;
        &lt;span class="language-flag" aria-hidden="true"&gt;🇬🇧🇺🇸&lt;/span&gt;
        &lt;span class="language-code"&gt;EN&lt;/span&gt;
        &lt;span&gt;English&lt;/span&gt;
      &lt;/a&gt;
      &lt;a href="../pl/" lang="pl" hreflang="pl"&gt;
        &lt;span class="language-flag" aria-hidden="true"&gt;🇵🇱&lt;/span&gt;
        &lt;span class="language-code"&gt;PL&lt;/span&gt;
        &lt;span&gt;Polski&lt;/span&gt;
      &lt;/a&gt;
      &lt;a href="../ar/" lang="ar" hreflang="ar" dir="rtl"&gt;
        &lt;span class="language-flag" aria-hidden="true"&gt;🇱🇧🇸🇦&lt;/span&gt;
        &lt;span class="language-code"&gt;AR&lt;/span&gt;
        &lt;span&gt;العربية&lt;/span&gt;
      &lt;/a&gt;
      &lt;a href="../pt/" lang="pt" hreflang="pt"&gt;
        &lt;span class="language-flag" aria-hidden="true"&gt;🇵🇹&lt;/span&gt;
        &lt;span class="language-code"&gt;PT&lt;/span&gt;
        &lt;span&gt;Português&lt;/span&gt;
      &lt;/a&gt;
      &lt;a href="../zh/" lang="zh" hreflang="zh"&gt;
        &lt;span class="language-flag" aria-hidden="true"&gt;🇨🇳&lt;/span&gt;
        &lt;span class="language-code"&gt;ZH&lt;/span&gt;
        &lt;span&gt;中文&lt;/span&gt;
      &lt;/a&gt;
      &lt;a href="../cs/" lang="cs" hreflang="cs"&gt;
        &lt;span class="language-flag" aria-hidden="true"&gt;🇨🇿&lt;/span&gt;
        &lt;span class="language-code"&gt;CS&lt;/span&gt;
        &lt;span&gt;Čeština&lt;/span&gt;
      &lt;/a&gt;
      &lt;a href="../hr/" lang="hr" hreflang="hr"&gt;
        &lt;span class="language-flag" aria-hidden="true"&gt;🇭🇷&lt;/span&gt;
        &lt;span class="language-code"&gt;HR&lt;/span&gt;
        &lt;span&gt;Hrvatski&lt;/span&gt;
      &lt;/a&gt;
      &lt;a href="../hu/" lang="hu" hreflang="hu"&gt;
        &lt;span class="language-flag" aria-hidden="true"&gt;🇭🇺&lt;/span&gt;
        &lt;span class="language-code"&gt;HU&lt;/span&gt;
        &lt;span&gt;Magyar&lt;/span&gt;
      &lt;/a&gt;
      &lt;a href="../mt/" lang="mt" hreflang="mt"&gt;
        &lt;span class="language-flag" aria-hidden="true"&gt;🇲🇹&lt;/span&gt;
        &lt;span class="language-code"&gt;MT&lt;/span&gt;
        &lt;span&gt;Malti&lt;/span&gt;
      &lt;/a&gt;
      &lt;a href="../nl/" lang="nl" hreflang="nl"&gt;
        &lt;span class="language-flag" aria-hidden="true"&gt;🇳🇱&lt;/span&gt;
        &lt;span class="language-code"&gt;NL&lt;/span&gt;
        &lt;span&gt;Nederlands&lt;/span&gt;
      &lt;/a&gt;
      &lt;a href="../ro/" lang="ro" hreflang="ro"&gt;
        &lt;span class="language-flag" aria-hidden="true"&gt;🇷🇴&lt;/span&gt;
        &lt;span class="language-code"&gt;RO&lt;/span&gt;
        &lt;span&gt;Română&lt;/span&gt;
      &lt;/a&gt;
      &lt;a href="../vi/" lang="vi" hreflang="vi"&gt;
        &lt;span class="language-flag" aria-hidden="true"&gt;🇻🇳&lt;/span&gt;
        &lt;span class="language-code"&gt;VI&lt;/span&gt;
        &lt;span&gt;Tiếng Việt&lt;/span&gt;
      &lt;/a&gt;
    &lt;/nav&gt;
  &lt;/details&gt;
&lt;/div&gt;
      &lt;/nav&gt;</v>
      </c>
      <c r="R27" s="1" t="str">
        <f>header_block_de!$A1</f>
        <v>&lt;header class="moving-banner" aria-label="Decorative animated banner"&gt;
  &lt;div class="moving-banner__track"&gt;
    &lt;img src="../img/website_banner_wide_e.webp" alt=""&gt;
    &lt;img src="../img/website_banner_wide_e.webp" alt="" aria-hidden="true"&gt;
  &lt;/div&gt;
    &lt;/header&gt;
      &lt;nav class="header-inner"&gt;
        &lt;a href="#" class="brand" aria-label="Startseite"&gt;
          &lt;span class="brand-mark" aria-hidden="true"&gt;&lt;img src="../img/apple-touch-icon.png" style="border-radius: var(--radius-lg)"&gt;&lt;/span&gt;
          &lt;span class="brand-text"&gt;
            &lt;span class="brand-kicker"&gt;Teresianischer Karmel&lt;/span&gt;
            &lt;span class="brand-name"&gt;Online-Exerzitien&lt;/span&gt;
          &lt;/span&gt;
        &lt;/a&gt;
&lt;div class="header-actions"&gt;
            &lt;nav class="main-nav" id="main-navigation" aria-label="Hauptnavigation"&gt;
        &lt;ul&gt;
          &lt;li&gt;&lt;a href="../index.html"&gt;&lt;span class="material-symbols-outlined"&gt;home&lt;/span&gt;&lt;/a&gt;&lt;/li&gt;
          &lt;li&gt;&lt;a href="../index.html#signup-panel"&gt;Anmelden&lt;/a&gt;&lt;/li&gt;
          &lt;li&gt;&lt;a href="../index.html#aktuelleExerzitien"&gt;Aktuelle Exerzitien&lt;/a&gt;&lt;/li&gt;
          &lt;li&gt;&lt;a href="../index.html#saints-cards"&gt;Persönlichkeiten&lt;/a&gt;&lt;/li&gt;
          &lt;li&gt;&lt;a href="../index.html#archiv-cards"&gt;Archiv&lt;/a&gt;&lt;/li&gt;
          &lt;li&gt;&lt;a href="../index.html#faq"&gt;FAQ&lt;/a&gt;&lt;/li&gt;
          &lt;li&gt;&lt;a href="../index.html#weiterempfehlen"&gt;Weiterempfehlen&lt;/a&gt;&lt;/li&gt;
          &lt;li&gt;&lt;a href="../about.html"&gt;Über die Karmeliten&lt;/a&gt;&lt;/li&gt;
        &lt;/ul&gt;
                        &lt;details class="settings_accessibility"&gt;
                          &lt;summary class="settings_accessibility_trigger" aria-label="Accessiblity Settings"&gt;
                            &lt;span class="material-symbols-outlined" aria-label="true"&gt;
                            settings
                            &lt;/span&gt;  
                            &lt;span class="material-symbols-outlined" aria-label="true"&gt;
                            settings_accessibility
                            &lt;/span&gt;                        
                          &lt;/summary&gt;
                &lt;nav class="settings_accessibility_list" aria-label="Sprachauswahl"&gt;
                &lt;button class="font-decrease theme-toggle" type="button" data-font-decrease aria-label="Schriftgröße verkleinern"&gt;
          A-
        &lt;/button&gt;
          &lt;button class="font-reset theme-toggle" type="button" data-font-reset aria-label="Schriftgröße zurücksetzen"&gt;
          A
        &lt;/button&gt; 
        &lt;button class="font-increase theme-toggle" type="button" data-font-increase aria-label="Schriftgröße vergrößern"&gt;
          A+
        &lt;/button&gt;
        &lt;button class="theme-toggle" type="button" data-theme-toggle aria-label="Farbschema wechseln"&gt;
          &lt;span class="theme-toggle__icon" aria-hidden="true"&gt;◐&lt;/span&gt;
        &lt;/button&gt;
                &lt;/nav&gt;
        &lt;/details&gt;
      &lt;/nav&gt;
          &lt;button class="nav-toggle" type="button" aria-expanded="false" aria-controls="main-navigation" aria-label="Menü öffnen"&gt;
          &lt;span&gt;&lt;/span&gt;
          &lt;span&gt;&lt;/span&gt;
          &lt;span&gt;&lt;/span&gt;
        &lt;/button&gt;
  &lt;details class="language-menu"&gt;
    &lt;summary class="language-menu__trigger" aria-label="Sprache auswählen"&gt;
      &lt;span aria-hidden="true"&gt;🌐&lt;/span&gt;
      &lt;span&gt;DE&lt;/span&gt;
      &lt;span class="language-menu__current"&gt;Deutsch&lt;/span&gt;
    &lt;/summary&gt;
    &lt;nav class="language-menu__list" aria-label="Sprachauswahl"&gt;
      &lt;a href="https://retraites.carmes-paris.org/" lang="fr" hreflang="fr"&gt;
        &lt;span class="language-flag" aria-hidden="true"&gt;🇫🇷&lt;/span&gt;
        &lt;span class="language-code"&gt;FR&lt;/span&gt;
        &lt;span&gt;Français&lt;/span&gt;
      &lt;/a&gt;
      &lt;a href="../de/" lang="de" hreflang="de" aria-current="page"&gt;
        &lt;span class="language-flag" aria-hidden="true"&gt;🇦🇹🇩🇪&lt;/span&gt;
        &lt;span class="language-code"&gt;DE&lt;/span&gt;
        &lt;span&gt;Deutsch&lt;/span&gt;
        &lt;span class="language-check" aria-hidden="true"&gt;✓&lt;/span&gt;
      &lt;/a&gt;
      &lt;a href="../es/" lang="es" hreflang="es"&gt;
        &lt;span class="language-flag" aria-hidden="true"&gt;🇪🇸&lt;/span&gt;
        &lt;span class="language-code"&gt;ES&lt;/span&gt;
        &lt;span&gt;Español&lt;/span&gt;
      &lt;/a&gt;
      &lt;a href="../it/" lang="it" hreflang="it"&gt;
        &lt;span class="language-flag" aria-hidden="true"&gt;🇮🇹&lt;/span&gt;
        &lt;span class="language-code"&gt;IT&lt;/span&gt;
        &lt;span&gt;Italiano&lt;/span&gt;
      &lt;/a&gt;
      &lt;a href="../en/" lang="en" hreflang="en"&gt;
        &lt;span class="language-flag" aria-hidden="true"&gt;🇬🇧🇺🇸&lt;/span&gt;
        &lt;span class="language-code"&gt;EN&lt;/span&gt;
        &lt;span&gt;English&lt;/span&gt;
      &lt;/a&gt;
      &lt;a href="../pl/" lang="pl" hreflang="pl"&gt;
        &lt;span class="language-flag" aria-hidden="true"&gt;🇵🇱&lt;/span&gt;
        &lt;span class="language-code"&gt;PL&lt;/span&gt;
        &lt;span&gt;Polski&lt;/span&gt;
      &lt;/a&gt;
      &lt;a href="../ar/" lang="ar" hreflang="ar" dir="rtl"&gt;
        &lt;span class="language-flag" aria-hidden="true"&gt;🇱🇧🇸🇦&lt;/span&gt;
        &lt;span class="language-code"&gt;AR&lt;/span&gt;
        &lt;span&gt;العربية&lt;/span&gt;
      &lt;/a&gt;
      &lt;a href="../pt/" lang="pt" hreflang="pt"&gt;
        &lt;span class="language-flag" aria-hidden="true"&gt;🇵🇹&lt;/span&gt;
        &lt;span class="language-code"&gt;PT&lt;/span&gt;
        &lt;span&gt;Português&lt;/span&gt;
      &lt;/a&gt;
      &lt;a href="../zh/" lang="zh" hreflang="zh"&gt;
        &lt;span class="language-flag" aria-hidden="true"&gt;🇨🇳&lt;/span&gt;
        &lt;span class="language-code"&gt;ZH&lt;/span&gt;
        &lt;span&gt;中文&lt;/span&gt;
      &lt;/a&gt;
      &lt;a href="../cs/" lang="cs" hreflang="cs"&gt;
        &lt;span class="language-flag" aria-hidden="true"&gt;🇨🇿&lt;/span&gt;
        &lt;span class="language-code"&gt;CS&lt;/span&gt;
        &lt;span&gt;Čeština&lt;/span&gt;
      &lt;/a&gt;
      &lt;a href="../hr/" lang="hr" hreflang="hr"&gt;
        &lt;span class="language-flag" aria-hidden="true"&gt;🇭🇷&lt;/span&gt;
        &lt;span class="language-code"&gt;HR&lt;/span&gt;
        &lt;span&gt;Hrvatski&lt;/span&gt;
      &lt;/a&gt;
      &lt;a href="../hu/" lang="hu" hreflang="hu"&gt;
        &lt;span class="language-flag" aria-hidden="true"&gt;🇭🇺&lt;/span&gt;
        &lt;span class="language-code"&gt;HU&lt;/span&gt;
        &lt;span&gt;Magyar&lt;/span&gt;
      &lt;/a&gt;
      &lt;a href="../mt/" lang="mt" hreflang="mt"&gt;
        &lt;span class="language-flag" aria-hidden="true"&gt;🇲🇹&lt;/span&gt;
        &lt;span class="language-code"&gt;MT&lt;/span&gt;
        &lt;span&gt;Malti&lt;/span&gt;
      &lt;/a&gt;
      &lt;a href="../nl/" lang="nl" hreflang="nl"&gt;
        &lt;span class="language-flag" aria-hidden="true"&gt;🇳🇱&lt;/span&gt;
        &lt;span class="language-code"&gt;NL&lt;/span&gt;
        &lt;span&gt;Nederlands&lt;/span&gt;
      &lt;/a&gt;
      &lt;a href="../ro/" lang="ro" hreflang="ro"&gt;
        &lt;span class="language-flag" aria-hidden="true"&gt;🇷🇴&lt;/span&gt;
        &lt;span class="language-code"&gt;RO&lt;/span&gt;
        &lt;span&gt;Română&lt;/span&gt;
      &lt;/a&gt;
      &lt;a href="../vi/" lang="vi" hreflang="vi"&gt;
        &lt;span class="language-flag" aria-hidden="true"&gt;🇻🇳&lt;/span&gt;
        &lt;span class="language-code"&gt;VI&lt;/span&gt;
        &lt;span&gt;Tiếng Việt&lt;/span&gt;
      &lt;/a&gt;
    &lt;/nav&gt;
  &lt;/details&gt;
&lt;/div&gt;
      &lt;/nav&gt;</v>
      </c>
      <c r="S27" s="1" t="str">
        <f>header_block_de!$A1</f>
        <v>&lt;header class="moving-banner" aria-label="Decorative animated banner"&gt;
  &lt;div class="moving-banner__track"&gt;
    &lt;img src="../img/website_banner_wide_e.webp" alt=""&gt;
    &lt;img src="../img/website_banner_wide_e.webp" alt="" aria-hidden="true"&gt;
  &lt;/div&gt;
    &lt;/header&gt;
      &lt;nav class="header-inner"&gt;
        &lt;a href="#" class="brand" aria-label="Startseite"&gt;
          &lt;span class="brand-mark" aria-hidden="true"&gt;&lt;img src="../img/apple-touch-icon.png" style="border-radius: var(--radius-lg)"&gt;&lt;/span&gt;
          &lt;span class="brand-text"&gt;
            &lt;span class="brand-kicker"&gt;Teresianischer Karmel&lt;/span&gt;
            &lt;span class="brand-name"&gt;Online-Exerzitien&lt;/span&gt;
          &lt;/span&gt;
        &lt;/a&gt;
&lt;div class="header-actions"&gt;
            &lt;nav class="main-nav" id="main-navigation" aria-label="Hauptnavigation"&gt;
        &lt;ul&gt;
          &lt;li&gt;&lt;a href="../index.html"&gt;&lt;span class="material-symbols-outlined"&gt;home&lt;/span&gt;&lt;/a&gt;&lt;/li&gt;
          &lt;li&gt;&lt;a href="../index.html#signup-panel"&gt;Anmelden&lt;/a&gt;&lt;/li&gt;
          &lt;li&gt;&lt;a href="../index.html#aktuelleExerzitien"&gt;Aktuelle Exerzitien&lt;/a&gt;&lt;/li&gt;
          &lt;li&gt;&lt;a href="../index.html#saints-cards"&gt;Persönlichkeiten&lt;/a&gt;&lt;/li&gt;
          &lt;li&gt;&lt;a href="../index.html#archiv-cards"&gt;Archiv&lt;/a&gt;&lt;/li&gt;
          &lt;li&gt;&lt;a href="../index.html#faq"&gt;FAQ&lt;/a&gt;&lt;/li&gt;
          &lt;li&gt;&lt;a href="../index.html#weiterempfehlen"&gt;Weiterempfehlen&lt;/a&gt;&lt;/li&gt;
          &lt;li&gt;&lt;a href="../about.html"&gt;Über die Karmeliten&lt;/a&gt;&lt;/li&gt;
        &lt;/ul&gt;
                        &lt;details class="settings_accessibility"&gt;
                          &lt;summary class="settings_accessibility_trigger" aria-label="Accessiblity Settings"&gt;
                            &lt;span class="material-symbols-outlined" aria-label="true"&gt;
                            settings
                            &lt;/span&gt;  
                            &lt;span class="material-symbols-outlined" aria-label="true"&gt;
                            settings_accessibility
                            &lt;/span&gt;                        
                          &lt;/summary&gt;
                &lt;nav class="settings_accessibility_list" aria-label="Sprachauswahl"&gt;
                &lt;button class="font-decrease theme-toggle" type="button" data-font-decrease aria-label="Schriftgröße verkleinern"&gt;
          A-
        &lt;/button&gt;
          &lt;button class="font-reset theme-toggle" type="button" data-font-reset aria-label="Schriftgröße zurücksetzen"&gt;
          A
        &lt;/button&gt; 
        &lt;button class="font-increase theme-toggle" type="button" data-font-increase aria-label="Schriftgröße vergrößern"&gt;
          A+
        &lt;/button&gt;
        &lt;button class="theme-toggle" type="button" data-theme-toggle aria-label="Farbschema wechseln"&gt;
          &lt;span class="theme-toggle__icon" aria-hidden="true"&gt;◐&lt;/span&gt;
        &lt;/button&gt;
                &lt;/nav&gt;
        &lt;/details&gt;
      &lt;/nav&gt;
          &lt;button class="nav-toggle" type="button" aria-expanded="false" aria-controls="main-navigation" aria-label="Menü öffnen"&gt;
          &lt;span&gt;&lt;/span&gt;
          &lt;span&gt;&lt;/span&gt;
          &lt;span&gt;&lt;/span&gt;
        &lt;/button&gt;
  &lt;details class="language-menu"&gt;
    &lt;summary class="language-menu__trigger" aria-label="Sprache auswählen"&gt;
      &lt;span aria-hidden="true"&gt;🌐&lt;/span&gt;
      &lt;span&gt;DE&lt;/span&gt;
      &lt;span class="language-menu__current"&gt;Deutsch&lt;/span&gt;
    &lt;/summary&gt;
    &lt;nav class="language-menu__list" aria-label="Sprachauswahl"&gt;
      &lt;a href="https://retraites.carmes-paris.org/" lang="fr" hreflang="fr"&gt;
        &lt;span class="language-flag" aria-hidden="true"&gt;🇫🇷&lt;/span&gt;
        &lt;span class="language-code"&gt;FR&lt;/span&gt;
        &lt;span&gt;Français&lt;/span&gt;
      &lt;/a&gt;
      &lt;a href="../de/" lang="de" hreflang="de" aria-current="page"&gt;
        &lt;span class="language-flag" aria-hidden="true"&gt;🇦🇹🇩🇪&lt;/span&gt;
        &lt;span class="language-code"&gt;DE&lt;/span&gt;
        &lt;span&gt;Deutsch&lt;/span&gt;
        &lt;span class="language-check" aria-hidden="true"&gt;✓&lt;/span&gt;
      &lt;/a&gt;
      &lt;a href="../es/" lang="es" hreflang="es"&gt;
        &lt;span class="language-flag" aria-hidden="true"&gt;🇪🇸&lt;/span&gt;
        &lt;span class="language-code"&gt;ES&lt;/span&gt;
        &lt;span&gt;Español&lt;/span&gt;
      &lt;/a&gt;
      &lt;a href="../it/" lang="it" hreflang="it"&gt;
        &lt;span class="language-flag" aria-hidden="true"&gt;🇮🇹&lt;/span&gt;
        &lt;span class="language-code"&gt;IT&lt;/span&gt;
        &lt;span&gt;Italiano&lt;/span&gt;
      &lt;/a&gt;
      &lt;a href="../en/" lang="en" hreflang="en"&gt;
        &lt;span class="language-flag" aria-hidden="true"&gt;🇬🇧🇺🇸&lt;/span&gt;
        &lt;span class="language-code"&gt;EN&lt;/span&gt;
        &lt;span&gt;English&lt;/span&gt;
      &lt;/a&gt;
      &lt;a href="../pl/" lang="pl" hreflang="pl"&gt;
        &lt;span class="language-flag" aria-hidden="true"&gt;🇵🇱&lt;/span&gt;
        &lt;span class="language-code"&gt;PL&lt;/span&gt;
        &lt;span&gt;Polski&lt;/span&gt;
      &lt;/a&gt;
      &lt;a href="../ar/" lang="ar" hreflang="ar" dir="rtl"&gt;
        &lt;span class="language-flag" aria-hidden="true"&gt;🇱🇧🇸🇦&lt;/span&gt;
        &lt;span class="language-code"&gt;AR&lt;/span&gt;
        &lt;span&gt;العربية&lt;/span&gt;
      &lt;/a&gt;
      &lt;a href="../pt/" lang="pt" hreflang="pt"&gt;
        &lt;span class="language-flag" aria-hidden="true"&gt;🇵🇹&lt;/span&gt;
        &lt;span class="language-code"&gt;PT&lt;/span&gt;
        &lt;span&gt;Português&lt;/span&gt;
      &lt;/a&gt;
      &lt;a href="../zh/" lang="zh" hreflang="zh"&gt;
        &lt;span class="language-flag" aria-hidden="true"&gt;🇨🇳&lt;/span&gt;
        &lt;span class="language-code"&gt;ZH&lt;/span&gt;
        &lt;span&gt;中文&lt;/span&gt;
      &lt;/a&gt;
      &lt;a href="../cs/" lang="cs" hreflang="cs"&gt;
        &lt;span class="language-flag" aria-hidden="true"&gt;🇨🇿&lt;/span&gt;
        &lt;span class="language-code"&gt;CS&lt;/span&gt;
        &lt;span&gt;Čeština&lt;/span&gt;
      &lt;/a&gt;
      &lt;a href="../hr/" lang="hr" hreflang="hr"&gt;
        &lt;span class="language-flag" aria-hidden="true"&gt;🇭🇷&lt;/span&gt;
        &lt;span class="language-code"&gt;HR&lt;/span&gt;
        &lt;span&gt;Hrvatski&lt;/span&gt;
      &lt;/a&gt;
      &lt;a href="../hu/" lang="hu" hreflang="hu"&gt;
        &lt;span class="language-flag" aria-hidden="true"&gt;🇭🇺&lt;/span&gt;
        &lt;span class="language-code"&gt;HU&lt;/span&gt;
        &lt;span&gt;Magyar&lt;/span&gt;
      &lt;/a&gt;
      &lt;a href="../mt/" lang="mt" hreflang="mt"&gt;
        &lt;span class="language-flag" aria-hidden="true"&gt;🇲🇹&lt;/span&gt;
        &lt;span class="language-code"&gt;MT&lt;/span&gt;
        &lt;span&gt;Malti&lt;/span&gt;
      &lt;/a&gt;
      &lt;a href="../nl/" lang="nl" hreflang="nl"&gt;
        &lt;span class="language-flag" aria-hidden="true"&gt;🇳🇱&lt;/span&gt;
        &lt;span class="language-code"&gt;NL&lt;/span&gt;
        &lt;span&gt;Nederlands&lt;/span&gt;
      &lt;/a&gt;
      &lt;a href="../ro/" lang="ro" hreflang="ro"&gt;
        &lt;span class="language-flag" aria-hidden="true"&gt;🇷🇴&lt;/span&gt;
        &lt;span class="language-code"&gt;RO&lt;/span&gt;
        &lt;span&gt;Română&lt;/span&gt;
      &lt;/a&gt;
      &lt;a href="../vi/" lang="vi" hreflang="vi"&gt;
        &lt;span class="language-flag" aria-hidden="true"&gt;🇻🇳&lt;/span&gt;
        &lt;span class="language-code"&gt;VI&lt;/span&gt;
        &lt;span&gt;Tiếng Việt&lt;/span&gt;
      &lt;/a&gt;
    &lt;/nav&gt;
  &lt;/details&gt;
&lt;/div&gt;
      &lt;/nav&gt;</v>
      </c>
      <c r="T27" s="1" t="str">
        <f>header_block_de!$A1</f>
        <v>&lt;header class="moving-banner" aria-label="Decorative animated banner"&gt;
  &lt;div class="moving-banner__track"&gt;
    &lt;img src="../img/website_banner_wide_e.webp" alt=""&gt;
    &lt;img src="../img/website_banner_wide_e.webp" alt="" aria-hidden="true"&gt;
  &lt;/div&gt;
    &lt;/header&gt;
      &lt;nav class="header-inner"&gt;
        &lt;a href="#" class="brand" aria-label="Startseite"&gt;
          &lt;span class="brand-mark" aria-hidden="true"&gt;&lt;img src="../img/apple-touch-icon.png" style="border-radius: var(--radius-lg)"&gt;&lt;/span&gt;
          &lt;span class="brand-text"&gt;
            &lt;span class="brand-kicker"&gt;Teresianischer Karmel&lt;/span&gt;
            &lt;span class="brand-name"&gt;Online-Exerzitien&lt;/span&gt;
          &lt;/span&gt;
        &lt;/a&gt;
&lt;div class="header-actions"&gt;
            &lt;nav class="main-nav" id="main-navigation" aria-label="Hauptnavigation"&gt;
        &lt;ul&gt;
          &lt;li&gt;&lt;a href="../index.html"&gt;&lt;span class="material-symbols-outlined"&gt;home&lt;/span&gt;&lt;/a&gt;&lt;/li&gt;
          &lt;li&gt;&lt;a href="../index.html#signup-panel"&gt;Anmelden&lt;/a&gt;&lt;/li&gt;
          &lt;li&gt;&lt;a href="../index.html#aktuelleExerzitien"&gt;Aktuelle Exerzitien&lt;/a&gt;&lt;/li&gt;
          &lt;li&gt;&lt;a href="../index.html#saints-cards"&gt;Persönlichkeiten&lt;/a&gt;&lt;/li&gt;
          &lt;li&gt;&lt;a href="../index.html#archiv-cards"&gt;Archiv&lt;/a&gt;&lt;/li&gt;
          &lt;li&gt;&lt;a href="../index.html#faq"&gt;FAQ&lt;/a&gt;&lt;/li&gt;
          &lt;li&gt;&lt;a href="../index.html#weiterempfehlen"&gt;Weiterempfehlen&lt;/a&gt;&lt;/li&gt;
          &lt;li&gt;&lt;a href="../about.html"&gt;Über die Karmeliten&lt;/a&gt;&lt;/li&gt;
        &lt;/ul&gt;
                        &lt;details class="settings_accessibility"&gt;
                          &lt;summary class="settings_accessibility_trigger" aria-label="Accessiblity Settings"&gt;
                            &lt;span class="material-symbols-outlined" aria-label="true"&gt;
                            settings
                            &lt;/span&gt;  
                            &lt;span class="material-symbols-outlined" aria-label="true"&gt;
                            settings_accessibility
                            &lt;/span&gt;                        
                          &lt;/summary&gt;
                &lt;nav class="settings_accessibility_list" aria-label="Sprachauswahl"&gt;
                &lt;button class="font-decrease theme-toggle" type="button" data-font-decrease aria-label="Schriftgröße verkleinern"&gt;
          A-
        &lt;/button&gt;
          &lt;button class="font-reset theme-toggle" type="button" data-font-reset aria-label="Schriftgröße zurücksetzen"&gt;
          A
        &lt;/button&gt; 
        &lt;button class="font-increase theme-toggle" type="button" data-font-increase aria-label="Schriftgröße vergrößern"&gt;
          A+
        &lt;/button&gt;
        &lt;button class="theme-toggle" type="button" data-theme-toggle aria-label="Farbschema wechseln"&gt;
          &lt;span class="theme-toggle__icon" aria-hidden="true"&gt;◐&lt;/span&gt;
        &lt;/button&gt;
                &lt;/nav&gt;
        &lt;/details&gt;
      &lt;/nav&gt;
          &lt;button class="nav-toggle" type="button" aria-expanded="false" aria-controls="main-navigation" aria-label="Menü öffnen"&gt;
          &lt;span&gt;&lt;/span&gt;
          &lt;span&gt;&lt;/span&gt;
          &lt;span&gt;&lt;/span&gt;
        &lt;/button&gt;
  &lt;details class="language-menu"&gt;
    &lt;summary class="language-menu__trigger" aria-label="Sprache auswählen"&gt;
      &lt;span aria-hidden="true"&gt;🌐&lt;/span&gt;
      &lt;span&gt;DE&lt;/span&gt;
      &lt;span class="language-menu__current"&gt;Deutsch&lt;/span&gt;
    &lt;/summary&gt;
    &lt;nav class="language-menu__list" aria-label="Sprachauswahl"&gt;
      &lt;a href="https://retraites.carmes-paris.org/" lang="fr" hreflang="fr"&gt;
        &lt;span class="language-flag" aria-hidden="true"&gt;🇫🇷&lt;/span&gt;
        &lt;span class="language-code"&gt;FR&lt;/span&gt;
        &lt;span&gt;Français&lt;/span&gt;
      &lt;/a&gt;
      &lt;a href="../de/" lang="de" hreflang="de" aria-current="page"&gt;
        &lt;span class="language-flag" aria-hidden="true"&gt;🇦🇹🇩🇪&lt;/span&gt;
        &lt;span class="language-code"&gt;DE&lt;/span&gt;
        &lt;span&gt;Deutsch&lt;/span&gt;
        &lt;span class="language-check" aria-hidden="true"&gt;✓&lt;/span&gt;
      &lt;/a&gt;
      &lt;a href="../es/" lang="es" hreflang="es"&gt;
        &lt;span class="language-flag" aria-hidden="true"&gt;🇪🇸&lt;/span&gt;
        &lt;span class="language-code"&gt;ES&lt;/span&gt;
        &lt;span&gt;Español&lt;/span&gt;
      &lt;/a&gt;
      &lt;a href="../it/" lang="it" hreflang="it"&gt;
        &lt;span class="language-flag" aria-hidden="true"&gt;🇮🇹&lt;/span&gt;
        &lt;span class="language-code"&gt;IT&lt;/span&gt;
        &lt;span&gt;Italiano&lt;/span&gt;
      &lt;/a&gt;
      &lt;a href="../en/" lang="en" hreflang="en"&gt;
        &lt;span class="language-flag" aria-hidden="true"&gt;🇬🇧🇺🇸&lt;/span&gt;
        &lt;span class="language-code"&gt;EN&lt;/span&gt;
        &lt;span&gt;English&lt;/span&gt;
      &lt;/a&gt;
      &lt;a href="../pl/" lang="pl" hreflang="pl"&gt;
        &lt;span class="language-flag" aria-hidden="true"&gt;🇵🇱&lt;/span&gt;
        &lt;span class="language-code"&gt;PL&lt;/span&gt;
        &lt;span&gt;Polski&lt;/span&gt;
      &lt;/a&gt;
      &lt;a href="../ar/" lang="ar" hreflang="ar" dir="rtl"&gt;
        &lt;span class="language-flag" aria-hidden="true"&gt;🇱🇧🇸🇦&lt;/span&gt;
        &lt;span class="language-code"&gt;AR&lt;/span&gt;
        &lt;span&gt;العربية&lt;/span&gt;
      &lt;/a&gt;
      &lt;a href="../pt/" lang="pt" hreflang="pt"&gt;
        &lt;span class="language-flag" aria-hidden="true"&gt;🇵🇹&lt;/span&gt;
        &lt;span class="language-code"&gt;PT&lt;/span&gt;
        &lt;span&gt;Português&lt;/span&gt;
      &lt;/a&gt;
      &lt;a href="../zh/" lang="zh" hreflang="zh"&gt;
        &lt;span class="language-flag" aria-hidden="true"&gt;🇨🇳&lt;/span&gt;
        &lt;span class="language-code"&gt;ZH&lt;/span&gt;
        &lt;span&gt;中文&lt;/span&gt;
      &lt;/a&gt;
      &lt;a href="../cs/" lang="cs" hreflang="cs"&gt;
        &lt;span class="language-flag" aria-hidden="true"&gt;🇨🇿&lt;/span&gt;
        &lt;span class="language-code"&gt;CS&lt;/span&gt;
        &lt;span&gt;Čeština&lt;/span&gt;
      &lt;/a&gt;
      &lt;a href="../hr/" lang="hr" hreflang="hr"&gt;
        &lt;span class="language-flag" aria-hidden="true"&gt;🇭🇷&lt;/span&gt;
        &lt;span class="language-code"&gt;HR&lt;/span&gt;
        &lt;span&gt;Hrvatski&lt;/span&gt;
      &lt;/a&gt;
      &lt;a href="../hu/" lang="hu" hreflang="hu"&gt;
        &lt;span class="language-flag" aria-hidden="true"&gt;🇭🇺&lt;/span&gt;
        &lt;span class="language-code"&gt;HU&lt;/span&gt;
        &lt;span&gt;Magyar&lt;/span&gt;
      &lt;/a&gt;
      &lt;a href="../mt/" lang="mt" hreflang="mt"&gt;
        &lt;span class="language-flag" aria-hidden="true"&gt;🇲🇹&lt;/span&gt;
        &lt;span class="language-code"&gt;MT&lt;/span&gt;
        &lt;span&gt;Malti&lt;/span&gt;
      &lt;/a&gt;
      &lt;a href="../nl/" lang="nl" hreflang="nl"&gt;
        &lt;span class="language-flag" aria-hidden="true"&gt;🇳🇱&lt;/span&gt;
        &lt;span class="language-code"&gt;NL&lt;/span&gt;
        &lt;span&gt;Nederlands&lt;/span&gt;
      &lt;/a&gt;
      &lt;a href="../ro/" lang="ro" hreflang="ro"&gt;
        &lt;span class="language-flag" aria-hidden="true"&gt;🇷🇴&lt;/span&gt;
        &lt;span class="language-code"&gt;RO&lt;/span&gt;
        &lt;span&gt;Română&lt;/span&gt;
      &lt;/a&gt;
      &lt;a href="../vi/" lang="vi" hreflang="vi"&gt;
        &lt;span class="language-flag" aria-hidden="true"&gt;🇻🇳&lt;/span&gt;
        &lt;span class="language-code"&gt;VI&lt;/span&gt;
        &lt;span&gt;Tiếng Việt&lt;/span&gt;
      &lt;/a&gt;
    &lt;/nav&gt;
  &lt;/details&gt;
&lt;/div&gt;
      &lt;/nav&gt;</v>
      </c>
      <c r="U27" s="1" t="str">
        <f>header_block_de!$A1</f>
        <v>&lt;header class="moving-banner" aria-label="Decorative animated banner"&gt;
  &lt;div class="moving-banner__track"&gt;
    &lt;img src="../img/website_banner_wide_e.webp" alt=""&gt;
    &lt;img src="../img/website_banner_wide_e.webp" alt="" aria-hidden="true"&gt;
  &lt;/div&gt;
    &lt;/header&gt;
      &lt;nav class="header-inner"&gt;
        &lt;a href="#" class="brand" aria-label="Startseite"&gt;
          &lt;span class="brand-mark" aria-hidden="true"&gt;&lt;img src="../img/apple-touch-icon.png" style="border-radius: var(--radius-lg)"&gt;&lt;/span&gt;
          &lt;span class="brand-text"&gt;
            &lt;span class="brand-kicker"&gt;Teresianischer Karmel&lt;/span&gt;
            &lt;span class="brand-name"&gt;Online-Exerzitien&lt;/span&gt;
          &lt;/span&gt;
        &lt;/a&gt;
&lt;div class="header-actions"&gt;
            &lt;nav class="main-nav" id="main-navigation" aria-label="Hauptnavigation"&gt;
        &lt;ul&gt;
          &lt;li&gt;&lt;a href="../index.html"&gt;&lt;span class="material-symbols-outlined"&gt;home&lt;/span&gt;&lt;/a&gt;&lt;/li&gt;
          &lt;li&gt;&lt;a href="../index.html#signup-panel"&gt;Anmelden&lt;/a&gt;&lt;/li&gt;
          &lt;li&gt;&lt;a href="../index.html#aktuelleExerzitien"&gt;Aktuelle Exerzitien&lt;/a&gt;&lt;/li&gt;
          &lt;li&gt;&lt;a href="../index.html#saints-cards"&gt;Persönlichkeiten&lt;/a&gt;&lt;/li&gt;
          &lt;li&gt;&lt;a href="../index.html#archiv-cards"&gt;Archiv&lt;/a&gt;&lt;/li&gt;
          &lt;li&gt;&lt;a href="../index.html#faq"&gt;FAQ&lt;/a&gt;&lt;/li&gt;
          &lt;li&gt;&lt;a href="../index.html#weiterempfehlen"&gt;Weiterempfehlen&lt;/a&gt;&lt;/li&gt;
          &lt;li&gt;&lt;a href="../about.html"&gt;Über die Karmeliten&lt;/a&gt;&lt;/li&gt;
        &lt;/ul&gt;
                        &lt;details class="settings_accessibility"&gt;
                          &lt;summary class="settings_accessibility_trigger" aria-label="Accessiblity Settings"&gt;
                            &lt;span class="material-symbols-outlined" aria-label="true"&gt;
                            settings
                            &lt;/span&gt;  
                            &lt;span class="material-symbols-outlined" aria-label="true"&gt;
                            settings_accessibility
                            &lt;/span&gt;                        
                          &lt;/summary&gt;
                &lt;nav class="settings_accessibility_list" aria-label="Sprachauswahl"&gt;
                &lt;button class="font-decrease theme-toggle" type="button" data-font-decrease aria-label="Schriftgröße verkleinern"&gt;
          A-
        &lt;/button&gt;
          &lt;button class="font-reset theme-toggle" type="button" data-font-reset aria-label="Schriftgröße zurücksetzen"&gt;
          A
        &lt;/button&gt; 
        &lt;button class="font-increase theme-toggle" type="button" data-font-increase aria-label="Schriftgröße vergrößern"&gt;
          A+
        &lt;/button&gt;
        &lt;button class="theme-toggle" type="button" data-theme-toggle aria-label="Farbschema wechseln"&gt;
          &lt;span class="theme-toggle__icon" aria-hidden="true"&gt;◐&lt;/span&gt;
        &lt;/button&gt;
                &lt;/nav&gt;
        &lt;/details&gt;
      &lt;/nav&gt;
          &lt;button class="nav-toggle" type="button" aria-expanded="false" aria-controls="main-navigation" aria-label="Menü öffnen"&gt;
          &lt;span&gt;&lt;/span&gt;
          &lt;span&gt;&lt;/span&gt;
          &lt;span&gt;&lt;/span&gt;
        &lt;/button&gt;
  &lt;details class="language-menu"&gt;
    &lt;summary class="language-menu__trigger" aria-label="Sprache auswählen"&gt;
      &lt;span aria-hidden="true"&gt;🌐&lt;/span&gt;
      &lt;span&gt;DE&lt;/span&gt;
      &lt;span class="language-menu__current"&gt;Deutsch&lt;/span&gt;
    &lt;/summary&gt;
    &lt;nav class="language-menu__list" aria-label="Sprachauswahl"&gt;
      &lt;a href="https://retraites.carmes-paris.org/" lang="fr" hreflang="fr"&gt;
        &lt;span class="language-flag" aria-hidden="true"&gt;🇫🇷&lt;/span&gt;
        &lt;span class="language-code"&gt;FR&lt;/span&gt;
        &lt;span&gt;Français&lt;/span&gt;
      &lt;/a&gt;
      &lt;a href="../de/" lang="de" hreflang="de" aria-current="page"&gt;
        &lt;span class="language-flag" aria-hidden="true"&gt;🇦🇹🇩🇪&lt;/span&gt;
        &lt;span class="language-code"&gt;DE&lt;/span&gt;
        &lt;span&gt;Deutsch&lt;/span&gt;
        &lt;span class="language-check" aria-hidden="true"&gt;✓&lt;/span&gt;
      &lt;/a&gt;
      &lt;a href="../es/" lang="es" hreflang="es"&gt;
        &lt;span class="language-flag" aria-hidden="true"&gt;🇪🇸&lt;/span&gt;
        &lt;span class="language-code"&gt;ES&lt;/span&gt;
        &lt;span&gt;Español&lt;/span&gt;
      &lt;/a&gt;
      &lt;a href="../it/" lang="it" hreflang="it"&gt;
        &lt;span class="language-flag" aria-hidden="true"&gt;🇮🇹&lt;/span&gt;
        &lt;span class="language-code"&gt;IT&lt;/span&gt;
        &lt;span&gt;Italiano&lt;/span&gt;
      &lt;/a&gt;
      &lt;a href="../en/" lang="en" hreflang="en"&gt;
        &lt;span class="language-flag" aria-hidden="true"&gt;🇬🇧🇺🇸&lt;/span&gt;
        &lt;span class="language-code"&gt;EN&lt;/span&gt;
        &lt;span&gt;English&lt;/span&gt;
      &lt;/a&gt;
      &lt;a href="../pl/" lang="pl" hreflang="pl"&gt;
        &lt;span class="language-flag" aria-hidden="true"&gt;🇵🇱&lt;/span&gt;
        &lt;span class="language-code"&gt;PL&lt;/span&gt;
        &lt;span&gt;Polski&lt;/span&gt;
      &lt;/a&gt;
      &lt;a href="../ar/" lang="ar" hreflang="ar" dir="rtl"&gt;
        &lt;span class="language-flag" aria-hidden="true"&gt;🇱🇧🇸🇦&lt;/span&gt;
        &lt;span class="language-code"&gt;AR&lt;/span&gt;
        &lt;span&gt;العربية&lt;/span&gt;
      &lt;/a&gt;
      &lt;a href="../pt/" lang="pt" hreflang="pt"&gt;
        &lt;span class="language-flag" aria-hidden="true"&gt;🇵🇹&lt;/span&gt;
        &lt;span class="language-code"&gt;PT&lt;/span&gt;
        &lt;span&gt;Português&lt;/span&gt;
      &lt;/a&gt;
      &lt;a href="../zh/" lang="zh" hreflang="zh"&gt;
        &lt;span class="language-flag" aria-hidden="true"&gt;🇨🇳&lt;/span&gt;
        &lt;span class="language-code"&gt;ZH&lt;/span&gt;
        &lt;span&gt;中文&lt;/span&gt;
      &lt;/a&gt;
      &lt;a href="../cs/" lang="cs" hreflang="cs"&gt;
        &lt;span class="language-flag" aria-hidden="true"&gt;🇨🇿&lt;/span&gt;
        &lt;span class="language-code"&gt;CS&lt;/span&gt;
        &lt;span&gt;Čeština&lt;/span&gt;
      &lt;/a&gt;
      &lt;a href="../hr/" lang="hr" hreflang="hr"&gt;
        &lt;span class="language-flag" aria-hidden="true"&gt;🇭🇷&lt;/span&gt;
        &lt;span class="language-code"&gt;HR&lt;/span&gt;
        &lt;span&gt;Hrvatski&lt;/span&gt;
      &lt;/a&gt;
      &lt;a href="../hu/" lang="hu" hreflang="hu"&gt;
        &lt;span class="language-flag" aria-hidden="true"&gt;🇭🇺&lt;/span&gt;
        &lt;span class="language-code"&gt;HU&lt;/span&gt;
        &lt;span&gt;Magyar&lt;/span&gt;
      &lt;/a&gt;
      &lt;a href="../mt/" lang="mt" hreflang="mt"&gt;
        &lt;span class="language-flag" aria-hidden="true"&gt;🇲🇹&lt;/span&gt;
        &lt;span class="language-code"&gt;MT&lt;/span&gt;
        &lt;span&gt;Malti&lt;/span&gt;
      &lt;/a&gt;
      &lt;a href="../nl/" lang="nl" hreflang="nl"&gt;
        &lt;span class="language-flag" aria-hidden="true"&gt;🇳🇱&lt;/span&gt;
        &lt;span class="language-code"&gt;NL&lt;/span&gt;
        &lt;span&gt;Nederlands&lt;/span&gt;
      &lt;/a&gt;
      &lt;a href="../ro/" lang="ro" hreflang="ro"&gt;
        &lt;span class="language-flag" aria-hidden="true"&gt;🇷🇴&lt;/span&gt;
        &lt;span class="language-code"&gt;RO&lt;/span&gt;
        &lt;span&gt;Română&lt;/span&gt;
      &lt;/a&gt;
      &lt;a href="../vi/" lang="vi" hreflang="vi"&gt;
        &lt;span class="language-flag" aria-hidden="true"&gt;🇻🇳&lt;/span&gt;
        &lt;span class="language-code"&gt;VI&lt;/span&gt;
        &lt;span&gt;Tiếng Việt&lt;/span&gt;
      &lt;/a&gt;
    &lt;/nav&gt;
  &lt;/details&gt;
&lt;/div&gt;
      &lt;/nav&gt;</v>
      </c>
      <c r="V27" s="1" t="str">
        <f>header_block_de!$A1</f>
        <v>&lt;header class="moving-banner" aria-label="Decorative animated banner"&gt;
  &lt;div class="moving-banner__track"&gt;
    &lt;img src="../img/website_banner_wide_e.webp" alt=""&gt;
    &lt;img src="../img/website_banner_wide_e.webp" alt="" aria-hidden="true"&gt;
  &lt;/div&gt;
    &lt;/header&gt;
      &lt;nav class="header-inner"&gt;
        &lt;a href="#" class="brand" aria-label="Startseite"&gt;
          &lt;span class="brand-mark" aria-hidden="true"&gt;&lt;img src="../img/apple-touch-icon.png" style="border-radius: var(--radius-lg)"&gt;&lt;/span&gt;
          &lt;span class="brand-text"&gt;
            &lt;span class="brand-kicker"&gt;Teresianischer Karmel&lt;/span&gt;
            &lt;span class="brand-name"&gt;Online-Exerzitien&lt;/span&gt;
          &lt;/span&gt;
        &lt;/a&gt;
&lt;div class="header-actions"&gt;
            &lt;nav class="main-nav" id="main-navigation" aria-label="Hauptnavigation"&gt;
        &lt;ul&gt;
          &lt;li&gt;&lt;a href="../index.html"&gt;&lt;span class="material-symbols-outlined"&gt;home&lt;/span&gt;&lt;/a&gt;&lt;/li&gt;
          &lt;li&gt;&lt;a href="../index.html#signup-panel"&gt;Anmelden&lt;/a&gt;&lt;/li&gt;
          &lt;li&gt;&lt;a href="../index.html#aktuelleExerzitien"&gt;Aktuelle Exerzitien&lt;/a&gt;&lt;/li&gt;
          &lt;li&gt;&lt;a href="../index.html#saints-cards"&gt;Persönlichkeiten&lt;/a&gt;&lt;/li&gt;
          &lt;li&gt;&lt;a href="../index.html#archiv-cards"&gt;Archiv&lt;/a&gt;&lt;/li&gt;
          &lt;li&gt;&lt;a href="../index.html#faq"&gt;FAQ&lt;/a&gt;&lt;/li&gt;
          &lt;li&gt;&lt;a href="../index.html#weiterempfehlen"&gt;Weiterempfehlen&lt;/a&gt;&lt;/li&gt;
          &lt;li&gt;&lt;a href="../about.html"&gt;Über die Karmeliten&lt;/a&gt;&lt;/li&gt;
        &lt;/ul&gt;
                        &lt;details class="settings_accessibility"&gt;
                          &lt;summary class="settings_accessibility_trigger" aria-label="Accessiblity Settings"&gt;
                            &lt;span class="material-symbols-outlined" aria-label="true"&gt;
                            settings
                            &lt;/span&gt;  
                            &lt;span class="material-symbols-outlined" aria-label="true"&gt;
                            settings_accessibility
                            &lt;/span&gt;                        
                          &lt;/summary&gt;
                &lt;nav class="settings_accessibility_list" aria-label="Sprachauswahl"&gt;
                &lt;button class="font-decrease theme-toggle" type="button" data-font-decrease aria-label="Schriftgröße verkleinern"&gt;
          A-
        &lt;/button&gt;
          &lt;button class="font-reset theme-toggle" type="button" data-font-reset aria-label="Schriftgröße zurücksetzen"&gt;
          A
        &lt;/button&gt; 
        &lt;button class="font-increase theme-toggle" type="button" data-font-increase aria-label="Schriftgröße vergrößern"&gt;
          A+
        &lt;/button&gt;
        &lt;button class="theme-toggle" type="button" data-theme-toggle aria-label="Farbschema wechseln"&gt;
          &lt;span class="theme-toggle__icon" aria-hidden="true"&gt;◐&lt;/span&gt;
        &lt;/button&gt;
                &lt;/nav&gt;
        &lt;/details&gt;
      &lt;/nav&gt;
          &lt;button class="nav-toggle" type="button" aria-expanded="false" aria-controls="main-navigation" aria-label="Menü öffnen"&gt;
          &lt;span&gt;&lt;/span&gt;
          &lt;span&gt;&lt;/span&gt;
          &lt;span&gt;&lt;/span&gt;
        &lt;/button&gt;
  &lt;details class="language-menu"&gt;
    &lt;summary class="language-menu__trigger" aria-label="Sprache auswählen"&gt;
      &lt;span aria-hidden="true"&gt;🌐&lt;/span&gt;
      &lt;span&gt;DE&lt;/span&gt;
      &lt;span class="language-menu__current"&gt;Deutsch&lt;/span&gt;
    &lt;/summary&gt;
    &lt;nav class="language-menu__list" aria-label="Sprachauswahl"&gt;
      &lt;a href="https://retraites.carmes-paris.org/" lang="fr" hreflang="fr"&gt;
        &lt;span class="language-flag" aria-hidden="true"&gt;🇫🇷&lt;/span&gt;
        &lt;span class="language-code"&gt;FR&lt;/span&gt;
        &lt;span&gt;Français&lt;/span&gt;
      &lt;/a&gt;
      &lt;a href="../de/" lang="de" hreflang="de" aria-current="page"&gt;
        &lt;span class="language-flag" aria-hidden="true"&gt;🇦🇹🇩🇪&lt;/span&gt;
        &lt;span class="language-code"&gt;DE&lt;/span&gt;
        &lt;span&gt;Deutsch&lt;/span&gt;
        &lt;span class="language-check" aria-hidden="true"&gt;✓&lt;/span&gt;
      &lt;/a&gt;
      &lt;a href="../es/" lang="es" hreflang="es"&gt;
        &lt;span class="language-flag" aria-hidden="true"&gt;🇪🇸&lt;/span&gt;
        &lt;span class="language-code"&gt;ES&lt;/span&gt;
        &lt;span&gt;Español&lt;/span&gt;
      &lt;/a&gt;
      &lt;a href="../it/" lang="it" hreflang="it"&gt;
        &lt;span class="language-flag" aria-hidden="true"&gt;🇮🇹&lt;/span&gt;
        &lt;span class="language-code"&gt;IT&lt;/span&gt;
        &lt;span&gt;Italiano&lt;/span&gt;
      &lt;/a&gt;
      &lt;a href="../en/" lang="en" hreflang="en"&gt;
        &lt;span class="language-flag" aria-hidden="true"&gt;🇬🇧🇺🇸&lt;/span&gt;
        &lt;span class="language-code"&gt;EN&lt;/span&gt;
        &lt;span&gt;English&lt;/span&gt;
      &lt;/a&gt;
      &lt;a href="../pl/" lang="pl" hreflang="pl"&gt;
        &lt;span class="language-flag" aria-hidden="true"&gt;🇵🇱&lt;/span&gt;
        &lt;span class="language-code"&gt;PL&lt;/span&gt;
        &lt;span&gt;Polski&lt;/span&gt;
      &lt;/a&gt;
      &lt;a href="../ar/" lang="ar" hreflang="ar" dir="rtl"&gt;
        &lt;span class="language-flag" aria-hidden="true"&gt;🇱🇧🇸🇦&lt;/span&gt;
        &lt;span class="language-code"&gt;AR&lt;/span&gt;
        &lt;span&gt;العربية&lt;/span&gt;
      &lt;/a&gt;
      &lt;a href="../pt/" lang="pt" hreflang="pt"&gt;
        &lt;span class="language-flag" aria-hidden="true"&gt;🇵🇹&lt;/span&gt;
        &lt;span class="language-code"&gt;PT&lt;/span&gt;
        &lt;span&gt;Português&lt;/span&gt;
      &lt;/a&gt;
      &lt;a href="../zh/" lang="zh" hreflang="zh"&gt;
        &lt;span class="language-flag" aria-hidden="true"&gt;🇨🇳&lt;/span&gt;
        &lt;span class="language-code"&gt;ZH&lt;/span&gt;
        &lt;span&gt;中文&lt;/span&gt;
      &lt;/a&gt;
      &lt;a href="../cs/" lang="cs" hreflang="cs"&gt;
        &lt;span class="language-flag" aria-hidden="true"&gt;🇨🇿&lt;/span&gt;
        &lt;span class="language-code"&gt;CS&lt;/span&gt;
        &lt;span&gt;Čeština&lt;/span&gt;
      &lt;/a&gt;
      &lt;a href="../hr/" lang="hr" hreflang="hr"&gt;
        &lt;span class="language-flag" aria-hidden="true"&gt;🇭🇷&lt;/span&gt;
        &lt;span class="language-code"&gt;HR&lt;/span&gt;
        &lt;span&gt;Hrvatski&lt;/span&gt;
      &lt;/a&gt;
      &lt;a href="../hu/" lang="hu" hreflang="hu"&gt;
        &lt;span class="language-flag" aria-hidden="true"&gt;🇭🇺&lt;/span&gt;
        &lt;span class="language-code"&gt;HU&lt;/span&gt;
        &lt;span&gt;Magyar&lt;/span&gt;
      &lt;/a&gt;
      &lt;a href="../mt/" lang="mt" hreflang="mt"&gt;
        &lt;span class="language-flag" aria-hidden="true"&gt;🇲🇹&lt;/span&gt;
        &lt;span class="language-code"&gt;MT&lt;/span&gt;
        &lt;span&gt;Malti&lt;/span&gt;
      &lt;/a&gt;
      &lt;a href="../nl/" lang="nl" hreflang="nl"&gt;
        &lt;span class="language-flag" aria-hidden="true"&gt;🇳🇱&lt;/span&gt;
        &lt;span class="language-code"&gt;NL&lt;/span&gt;
        &lt;span&gt;Nederlands&lt;/span&gt;
      &lt;/a&gt;
      &lt;a href="../ro/" lang="ro" hreflang="ro"&gt;
        &lt;span class="language-flag" aria-hidden="true"&gt;🇷🇴&lt;/span&gt;
        &lt;span class="language-code"&gt;RO&lt;/span&gt;
        &lt;span&gt;Română&lt;/span&gt;
      &lt;/a&gt;
      &lt;a href="../vi/" lang="vi" hreflang="vi"&gt;
        &lt;span class="language-flag" aria-hidden="true"&gt;🇻🇳&lt;/span&gt;
        &lt;span class="language-code"&gt;VI&lt;/span&gt;
        &lt;span&gt;Tiếng Việt&lt;/span&gt;
      &lt;/a&gt;
    &lt;/nav&gt;
  &lt;/details&gt;
&lt;/div&gt;
      &lt;/nav&gt;</v>
      </c>
      <c r="W27" s="1" t="str">
        <f>header_block_de!$A1</f>
        <v>&lt;header class="moving-banner" aria-label="Decorative animated banner"&gt;
  &lt;div class="moving-banner__track"&gt;
    &lt;img src="../img/website_banner_wide_e.webp" alt=""&gt;
    &lt;img src="../img/website_banner_wide_e.webp" alt="" aria-hidden="true"&gt;
  &lt;/div&gt;
    &lt;/header&gt;
      &lt;nav class="header-inner"&gt;
        &lt;a href="#" class="brand" aria-label="Startseite"&gt;
          &lt;span class="brand-mark" aria-hidden="true"&gt;&lt;img src="../img/apple-touch-icon.png" style="border-radius: var(--radius-lg)"&gt;&lt;/span&gt;
          &lt;span class="brand-text"&gt;
            &lt;span class="brand-kicker"&gt;Teresianischer Karmel&lt;/span&gt;
            &lt;span class="brand-name"&gt;Online-Exerzitien&lt;/span&gt;
          &lt;/span&gt;
        &lt;/a&gt;
&lt;div class="header-actions"&gt;
            &lt;nav class="main-nav" id="main-navigation" aria-label="Hauptnavigation"&gt;
        &lt;ul&gt;
          &lt;li&gt;&lt;a href="../index.html"&gt;&lt;span class="material-symbols-outlined"&gt;home&lt;/span&gt;&lt;/a&gt;&lt;/li&gt;
          &lt;li&gt;&lt;a href="../index.html#signup-panel"&gt;Anmelden&lt;/a&gt;&lt;/li&gt;
          &lt;li&gt;&lt;a href="../index.html#aktuelleExerzitien"&gt;Aktuelle Exerzitien&lt;/a&gt;&lt;/li&gt;
          &lt;li&gt;&lt;a href="../index.html#saints-cards"&gt;Persönlichkeiten&lt;/a&gt;&lt;/li&gt;
          &lt;li&gt;&lt;a href="../index.html#archiv-cards"&gt;Archiv&lt;/a&gt;&lt;/li&gt;
          &lt;li&gt;&lt;a href="../index.html#faq"&gt;FAQ&lt;/a&gt;&lt;/li&gt;
          &lt;li&gt;&lt;a href="../index.html#weiterempfehlen"&gt;Weiterempfehlen&lt;/a&gt;&lt;/li&gt;
          &lt;li&gt;&lt;a href="../about.html"&gt;Über die Karmeliten&lt;/a&gt;&lt;/li&gt;
        &lt;/ul&gt;
                        &lt;details class="settings_accessibility"&gt;
                          &lt;summary class="settings_accessibility_trigger" aria-label="Accessiblity Settings"&gt;
                            &lt;span class="material-symbols-outlined" aria-label="true"&gt;
                            settings
                            &lt;/span&gt;  
                            &lt;span class="material-symbols-outlined" aria-label="true"&gt;
                            settings_accessibility
                            &lt;/span&gt;                        
                          &lt;/summary&gt;
                &lt;nav class="settings_accessibility_list" aria-label="Sprachauswahl"&gt;
                &lt;button class="font-decrease theme-toggle" type="button" data-font-decrease aria-label="Schriftgröße verkleinern"&gt;
          A-
        &lt;/button&gt;
          &lt;button class="font-reset theme-toggle" type="button" data-font-reset aria-label="Schriftgröße zurücksetzen"&gt;
          A
        &lt;/button&gt; 
        &lt;button class="font-increase theme-toggle" type="button" data-font-increase aria-label="Schriftgröße vergrößern"&gt;
          A+
        &lt;/button&gt;
        &lt;button class="theme-toggle" type="button" data-theme-toggle aria-label="Farbschema wechseln"&gt;
          &lt;span class="theme-toggle__icon" aria-hidden="true"&gt;◐&lt;/span&gt;
        &lt;/button&gt;
                &lt;/nav&gt;
        &lt;/details&gt;
      &lt;/nav&gt;
          &lt;button class="nav-toggle" type="button" aria-expanded="false" aria-controls="main-navigation" aria-label="Menü öffnen"&gt;
          &lt;span&gt;&lt;/span&gt;
          &lt;span&gt;&lt;/span&gt;
          &lt;span&gt;&lt;/span&gt;
        &lt;/button&gt;
  &lt;details class="language-menu"&gt;
    &lt;summary class="language-menu__trigger" aria-label="Sprache auswählen"&gt;
      &lt;span aria-hidden="true"&gt;🌐&lt;/span&gt;
      &lt;span&gt;DE&lt;/span&gt;
      &lt;span class="language-menu__current"&gt;Deutsch&lt;/span&gt;
    &lt;/summary&gt;
    &lt;nav class="language-menu__list" aria-label="Sprachauswahl"&gt;
      &lt;a href="https://retraites.carmes-paris.org/" lang="fr" hreflang="fr"&gt;
        &lt;span class="language-flag" aria-hidden="true"&gt;🇫🇷&lt;/span&gt;
        &lt;span class="language-code"&gt;FR&lt;/span&gt;
        &lt;span&gt;Français&lt;/span&gt;
      &lt;/a&gt;
      &lt;a href="../de/" lang="de" hreflang="de" aria-current="page"&gt;
        &lt;span class="language-flag" aria-hidden="true"&gt;🇦🇹🇩🇪&lt;/span&gt;
        &lt;span class="language-code"&gt;DE&lt;/span&gt;
        &lt;span&gt;Deutsch&lt;/span&gt;
        &lt;span class="language-check" aria-hidden="true"&gt;✓&lt;/span&gt;
      &lt;/a&gt;
      &lt;a href="../es/" lang="es" hreflang="es"&gt;
        &lt;span class="language-flag" aria-hidden="true"&gt;🇪🇸&lt;/span&gt;
        &lt;span class="language-code"&gt;ES&lt;/span&gt;
        &lt;span&gt;Español&lt;/span&gt;
      &lt;/a&gt;
      &lt;a href="../it/" lang="it" hreflang="it"&gt;
        &lt;span class="language-flag" aria-hidden="true"&gt;🇮🇹&lt;/span&gt;
        &lt;span class="language-code"&gt;IT&lt;/span&gt;
        &lt;span&gt;Italiano&lt;/span&gt;
      &lt;/a&gt;
      &lt;a href="../en/" lang="en" hreflang="en"&gt;
        &lt;span class="language-flag" aria-hidden="true"&gt;🇬🇧🇺🇸&lt;/span&gt;
        &lt;span class="language-code"&gt;EN&lt;/span&gt;
        &lt;span&gt;English&lt;/span&gt;
      &lt;/a&gt;
      &lt;a href="../pl/" lang="pl" hreflang="pl"&gt;
        &lt;span class="language-flag" aria-hidden="true"&gt;🇵🇱&lt;/span&gt;
        &lt;span class="language-code"&gt;PL&lt;/span&gt;
        &lt;span&gt;Polski&lt;/span&gt;
      &lt;/a&gt;
      &lt;a href="../ar/" lang="ar" hreflang="ar" dir="rtl"&gt;
        &lt;span class="language-flag" aria-hidden="true"&gt;🇱🇧🇸🇦&lt;/span&gt;
        &lt;span class="language-code"&gt;AR&lt;/span&gt;
        &lt;span&gt;العربية&lt;/span&gt;
      &lt;/a&gt;
      &lt;a href="../pt/" lang="pt" hreflang="pt"&gt;
        &lt;span class="language-flag" aria-hidden="true"&gt;🇵🇹&lt;/span&gt;
        &lt;span class="language-code"&gt;PT&lt;/span&gt;
        &lt;span&gt;Português&lt;/span&gt;
      &lt;/a&gt;
      &lt;a href="../zh/" lang="zh" hreflang="zh"&gt;
        &lt;span class="language-flag" aria-hidden="true"&gt;🇨🇳&lt;/span&gt;
        &lt;span class="language-code"&gt;ZH&lt;/span&gt;
        &lt;span&gt;中文&lt;/span&gt;
      &lt;/a&gt;
      &lt;a href="../cs/" lang="cs" hreflang="cs"&gt;
        &lt;span class="language-flag" aria-hidden="true"&gt;🇨🇿&lt;/span&gt;
        &lt;span class="language-code"&gt;CS&lt;/span&gt;
        &lt;span&gt;Čeština&lt;/span&gt;
      &lt;/a&gt;
      &lt;a href="../hr/" lang="hr" hreflang="hr"&gt;
        &lt;span class="language-flag" aria-hidden="true"&gt;🇭🇷&lt;/span&gt;
        &lt;span class="language-code"&gt;HR&lt;/span&gt;
        &lt;span&gt;Hrvatski&lt;/span&gt;
      &lt;/a&gt;
      &lt;a href="../hu/" lang="hu" hreflang="hu"&gt;
        &lt;span class="language-flag" aria-hidden="true"&gt;🇭🇺&lt;/span&gt;
        &lt;span class="language-code"&gt;HU&lt;/span&gt;
        &lt;span&gt;Magyar&lt;/span&gt;
      &lt;/a&gt;
      &lt;a href="../mt/" lang="mt" hreflang="mt"&gt;
        &lt;span class="language-flag" aria-hidden="true"&gt;🇲🇹&lt;/span&gt;
        &lt;span class="language-code"&gt;MT&lt;/span&gt;
        &lt;span&gt;Malti&lt;/span&gt;
      &lt;/a&gt;
      &lt;a href="../nl/" lang="nl" hreflang="nl"&gt;
        &lt;span class="language-flag" aria-hidden="true"&gt;🇳🇱&lt;/span&gt;
        &lt;span class="language-code"&gt;NL&lt;/span&gt;
        &lt;span&gt;Nederlands&lt;/span&gt;
      &lt;/a&gt;
      &lt;a href="../ro/" lang="ro" hreflang="ro"&gt;
        &lt;span class="language-flag" aria-hidden="true"&gt;🇷🇴&lt;/span&gt;
        &lt;span class="language-code"&gt;RO&lt;/span&gt;
        &lt;span&gt;Română&lt;/span&gt;
      &lt;/a&gt;
      &lt;a href="../vi/" lang="vi" hreflang="vi"&gt;
        &lt;span class="language-flag" aria-hidden="true"&gt;🇻🇳&lt;/span&gt;
        &lt;span class="language-code"&gt;VI&lt;/span&gt;
        &lt;span&gt;Tiếng Việt&lt;/span&gt;
      &lt;/a&gt;
    &lt;/nav&gt;
  &lt;/details&gt;
&lt;/div&gt;
      &lt;/nav&gt;</v>
      </c>
      <c r="X27" s="1" t="str">
        <f>header_block_de!$A1</f>
        <v>&lt;header class="moving-banner" aria-label="Decorative animated banner"&gt;
  &lt;div class="moving-banner__track"&gt;
    &lt;img src="../img/website_banner_wide_e.webp" alt=""&gt;
    &lt;img src="../img/website_banner_wide_e.webp" alt="" aria-hidden="true"&gt;
  &lt;/div&gt;
    &lt;/header&gt;
      &lt;nav class="header-inner"&gt;
        &lt;a href="#" class="brand" aria-label="Startseite"&gt;
          &lt;span class="brand-mark" aria-hidden="true"&gt;&lt;img src="../img/apple-touch-icon.png" style="border-radius: var(--radius-lg)"&gt;&lt;/span&gt;
          &lt;span class="brand-text"&gt;
            &lt;span class="brand-kicker"&gt;Teresianischer Karmel&lt;/span&gt;
            &lt;span class="brand-name"&gt;Online-Exerzitien&lt;/span&gt;
          &lt;/span&gt;
        &lt;/a&gt;
&lt;div class="header-actions"&gt;
            &lt;nav class="main-nav" id="main-navigation" aria-label="Hauptnavigation"&gt;
        &lt;ul&gt;
          &lt;li&gt;&lt;a href="../index.html"&gt;&lt;span class="material-symbols-outlined"&gt;home&lt;/span&gt;&lt;/a&gt;&lt;/li&gt;
          &lt;li&gt;&lt;a href="../index.html#signup-panel"&gt;Anmelden&lt;/a&gt;&lt;/li&gt;
          &lt;li&gt;&lt;a href="../index.html#aktuelleExerzitien"&gt;Aktuelle Exerzitien&lt;/a&gt;&lt;/li&gt;
          &lt;li&gt;&lt;a href="../index.html#saints-cards"&gt;Persönlichkeiten&lt;/a&gt;&lt;/li&gt;
          &lt;li&gt;&lt;a href="../index.html#archiv-cards"&gt;Archiv&lt;/a&gt;&lt;/li&gt;
          &lt;li&gt;&lt;a href="../index.html#faq"&gt;FAQ&lt;/a&gt;&lt;/li&gt;
          &lt;li&gt;&lt;a href="../index.html#weiterempfehlen"&gt;Weiterempfehlen&lt;/a&gt;&lt;/li&gt;
          &lt;li&gt;&lt;a href="../about.html"&gt;Über die Karmeliten&lt;/a&gt;&lt;/li&gt;
        &lt;/ul&gt;
                        &lt;details class="settings_accessibility"&gt;
                          &lt;summary class="settings_accessibility_trigger" aria-label="Accessiblity Settings"&gt;
                            &lt;span class="material-symbols-outlined" aria-label="true"&gt;
                            settings
                            &lt;/span&gt;  
                            &lt;span class="material-symbols-outlined" aria-label="true"&gt;
                            settings_accessibility
                            &lt;/span&gt;                        
                          &lt;/summary&gt;
                &lt;nav class="settings_accessibility_list" aria-label="Sprachauswahl"&gt;
                &lt;button class="font-decrease theme-toggle" type="button" data-font-decrease aria-label="Schriftgröße verkleinern"&gt;
          A-
        &lt;/button&gt;
          &lt;button class="font-reset theme-toggle" type="button" data-font-reset aria-label="Schriftgröße zurücksetzen"&gt;
          A
        &lt;/button&gt; 
        &lt;button class="font-increase theme-toggle" type="button" data-font-increase aria-label="Schriftgröße vergrößern"&gt;
          A+
        &lt;/button&gt;
        &lt;button class="theme-toggle" type="button" data-theme-toggle aria-label="Farbschema wechseln"&gt;
          &lt;span class="theme-toggle__icon" aria-hidden="true"&gt;◐&lt;/span&gt;
        &lt;/button&gt;
                &lt;/nav&gt;
        &lt;/details&gt;
      &lt;/nav&gt;
          &lt;button class="nav-toggle" type="button" aria-expanded="false" aria-controls="main-navigation" aria-label="Menü öffnen"&gt;
          &lt;span&gt;&lt;/span&gt;
          &lt;span&gt;&lt;/span&gt;
          &lt;span&gt;&lt;/span&gt;
        &lt;/button&gt;
  &lt;details class="language-menu"&gt;
    &lt;summary class="language-menu__trigger" aria-label="Sprache auswählen"&gt;
      &lt;span aria-hidden="true"&gt;🌐&lt;/span&gt;
      &lt;span&gt;DE&lt;/span&gt;
      &lt;span class="language-menu__current"&gt;Deutsch&lt;/span&gt;
    &lt;/summary&gt;
    &lt;nav class="language-menu__list" aria-label="Sprachauswahl"&gt;
      &lt;a href="https://retraites.carmes-paris.org/" lang="fr" hreflang="fr"&gt;
        &lt;span class="language-flag" aria-hidden="true"&gt;🇫🇷&lt;/span&gt;
        &lt;span class="language-code"&gt;FR&lt;/span&gt;
        &lt;span&gt;Français&lt;/span&gt;
      &lt;/a&gt;
      &lt;a href="../de/" lang="de" hreflang="de" aria-current="page"&gt;
        &lt;span class="language-flag" aria-hidden="true"&gt;🇦🇹🇩🇪&lt;/span&gt;
        &lt;span class="language-code"&gt;DE&lt;/span&gt;
        &lt;span&gt;Deutsch&lt;/span&gt;
        &lt;span class="language-check" aria-hidden="true"&gt;✓&lt;/span&gt;
      &lt;/a&gt;
      &lt;a href="../es/" lang="es" hreflang="es"&gt;
        &lt;span class="language-flag" aria-hidden="true"&gt;🇪🇸&lt;/span&gt;
        &lt;span class="language-code"&gt;ES&lt;/span&gt;
        &lt;span&gt;Español&lt;/span&gt;
      &lt;/a&gt;
      &lt;a href="../it/" lang="it" hreflang="it"&gt;
        &lt;span class="language-flag" aria-hidden="true"&gt;🇮🇹&lt;/span&gt;
        &lt;span class="language-code"&gt;IT&lt;/span&gt;
        &lt;span&gt;Italiano&lt;/span&gt;
      &lt;/a&gt;
      &lt;a href="../en/" lang="en" hreflang="en"&gt;
        &lt;span class="language-flag" aria-hidden="true"&gt;🇬🇧🇺🇸&lt;/span&gt;
        &lt;span class="language-code"&gt;EN&lt;/span&gt;
        &lt;span&gt;English&lt;/span&gt;
      &lt;/a&gt;
      &lt;a href="../pl/" lang="pl" hreflang="pl"&gt;
        &lt;span class="language-flag" aria-hidden="true"&gt;🇵🇱&lt;/span&gt;
        &lt;span class="language-code"&gt;PL&lt;/span&gt;
        &lt;span&gt;Polski&lt;/span&gt;
      &lt;/a&gt;
      &lt;a href="../ar/" lang="ar" hreflang="ar" dir="rtl"&gt;
        &lt;span class="language-flag" aria-hidden="true"&gt;🇱🇧🇸🇦&lt;/span&gt;
        &lt;span class="language-code"&gt;AR&lt;/span&gt;
        &lt;span&gt;العربية&lt;/span&gt;
      &lt;/a&gt;
      &lt;a href="../pt/" lang="pt" hreflang="pt"&gt;
        &lt;span class="language-flag" aria-hidden="true"&gt;🇵🇹&lt;/span&gt;
        &lt;span class="language-code"&gt;PT&lt;/span&gt;
        &lt;span&gt;Português&lt;/span&gt;
      &lt;/a&gt;
      &lt;a href="../zh/" lang="zh" hreflang="zh"&gt;
        &lt;span class="language-flag" aria-hidden="true"&gt;🇨🇳&lt;/span&gt;
        &lt;span class="language-code"&gt;ZH&lt;/span&gt;
        &lt;span&gt;中文&lt;/span&gt;
      &lt;/a&gt;
      &lt;a href="../cs/" lang="cs" hreflang="cs"&gt;
        &lt;span class="language-flag" aria-hidden="true"&gt;🇨🇿&lt;/span&gt;
        &lt;span class="language-code"&gt;CS&lt;/span&gt;
        &lt;span&gt;Čeština&lt;/span&gt;
      &lt;/a&gt;
      &lt;a href="../hr/" lang="hr" hreflang="hr"&gt;
        &lt;span class="language-flag" aria-hidden="true"&gt;🇭🇷&lt;/span&gt;
        &lt;span class="language-code"&gt;HR&lt;/span&gt;
        &lt;span&gt;Hrvatski&lt;/span&gt;
      &lt;/a&gt;
      &lt;a href="../hu/" lang="hu" hreflang="hu"&gt;
        &lt;span class="language-flag" aria-hidden="true"&gt;🇭🇺&lt;/span&gt;
        &lt;span class="language-code"&gt;HU&lt;/span&gt;
        &lt;span&gt;Magyar&lt;/span&gt;
      &lt;/a&gt;
      &lt;a href="../mt/" lang="mt" hreflang="mt"&gt;
        &lt;span class="language-flag" aria-hidden="true"&gt;🇲🇹&lt;/span&gt;
        &lt;span class="language-code"&gt;MT&lt;/span&gt;
        &lt;span&gt;Malti&lt;/span&gt;
      &lt;/a&gt;
      &lt;a href="../nl/" lang="nl" hreflang="nl"&gt;
        &lt;span class="language-flag" aria-hidden="true"&gt;🇳🇱&lt;/span&gt;
        &lt;span class="language-code"&gt;NL&lt;/span&gt;
        &lt;span&gt;Nederlands&lt;/span&gt;
      &lt;/a&gt;
      &lt;a href="../ro/" lang="ro" hreflang="ro"&gt;
        &lt;span class="language-flag" aria-hidden="true"&gt;🇷🇴&lt;/span&gt;
        &lt;span class="language-code"&gt;RO&lt;/span&gt;
        &lt;span&gt;Română&lt;/span&gt;
      &lt;/a&gt;
      &lt;a href="../vi/" lang="vi" hreflang="vi"&gt;
        &lt;span class="language-flag" aria-hidden="true"&gt;🇻🇳&lt;/span&gt;
        &lt;span class="language-code"&gt;VI&lt;/span&gt;
        &lt;span&gt;Tiếng Việt&lt;/span&gt;
      &lt;/a&gt;
    &lt;/nav&gt;
  &lt;/details&gt;
&lt;/div&gt;
      &lt;/nav&gt;</v>
      </c>
      <c r="Y27" s="1" t="str">
        <f>header_block_de!$A1</f>
        <v>&lt;header class="moving-banner" aria-label="Decorative animated banner"&gt;
  &lt;div class="moving-banner__track"&gt;
    &lt;img src="../img/website_banner_wide_e.webp" alt=""&gt;
    &lt;img src="../img/website_banner_wide_e.webp" alt="" aria-hidden="true"&gt;
  &lt;/div&gt;
    &lt;/header&gt;
      &lt;nav class="header-inner"&gt;
        &lt;a href="#" class="brand" aria-label="Startseite"&gt;
          &lt;span class="brand-mark" aria-hidden="true"&gt;&lt;img src="../img/apple-touch-icon.png" style="border-radius: var(--radius-lg)"&gt;&lt;/span&gt;
          &lt;span class="brand-text"&gt;
            &lt;span class="brand-kicker"&gt;Teresianischer Karmel&lt;/span&gt;
            &lt;span class="brand-name"&gt;Online-Exerzitien&lt;/span&gt;
          &lt;/span&gt;
        &lt;/a&gt;
&lt;div class="header-actions"&gt;
            &lt;nav class="main-nav" id="main-navigation" aria-label="Hauptnavigation"&gt;
        &lt;ul&gt;
          &lt;li&gt;&lt;a href="../index.html"&gt;&lt;span class="material-symbols-outlined"&gt;home&lt;/span&gt;&lt;/a&gt;&lt;/li&gt;
          &lt;li&gt;&lt;a href="../index.html#signup-panel"&gt;Anmelden&lt;/a&gt;&lt;/li&gt;
          &lt;li&gt;&lt;a href="../index.html#aktuelleExerzitien"&gt;Aktuelle Exerzitien&lt;/a&gt;&lt;/li&gt;
          &lt;li&gt;&lt;a href="../index.html#saints-cards"&gt;Persönlichkeiten&lt;/a&gt;&lt;/li&gt;
          &lt;li&gt;&lt;a href="../index.html#archiv-cards"&gt;Archiv&lt;/a&gt;&lt;/li&gt;
          &lt;li&gt;&lt;a href="../index.html#faq"&gt;FAQ&lt;/a&gt;&lt;/li&gt;
          &lt;li&gt;&lt;a href="../index.html#weiterempfehlen"&gt;Weiterempfehlen&lt;/a&gt;&lt;/li&gt;
          &lt;li&gt;&lt;a href="../about.html"&gt;Über die Karmeliten&lt;/a&gt;&lt;/li&gt;
        &lt;/ul&gt;
                        &lt;details class="settings_accessibility"&gt;
                          &lt;summary class="settings_accessibility_trigger" aria-label="Accessiblity Settings"&gt;
                            &lt;span class="material-symbols-outlined" aria-label="true"&gt;
                            settings
                            &lt;/span&gt;  
                            &lt;span class="material-symbols-outlined" aria-label="true"&gt;
                            settings_accessibility
                            &lt;/span&gt;                        
                          &lt;/summary&gt;
                &lt;nav class="settings_accessibility_list" aria-label="Sprachauswahl"&gt;
                &lt;button class="font-decrease theme-toggle" type="button" data-font-decrease aria-label="Schriftgröße verkleinern"&gt;
          A-
        &lt;/button&gt;
          &lt;button class="font-reset theme-toggle" type="button" data-font-reset aria-label="Schriftgröße zurücksetzen"&gt;
          A
        &lt;/button&gt; 
        &lt;button class="font-increase theme-toggle" type="button" data-font-increase aria-label="Schriftgröße vergrößern"&gt;
          A+
        &lt;/button&gt;
        &lt;button class="theme-toggle" type="button" data-theme-toggle aria-label="Farbschema wechseln"&gt;
          &lt;span class="theme-toggle__icon" aria-hidden="true"&gt;◐&lt;/span&gt;
        &lt;/button&gt;
                &lt;/nav&gt;
        &lt;/details&gt;
      &lt;/nav&gt;
          &lt;button class="nav-toggle" type="button" aria-expanded="false" aria-controls="main-navigation" aria-label="Menü öffnen"&gt;
          &lt;span&gt;&lt;/span&gt;
          &lt;span&gt;&lt;/span&gt;
          &lt;span&gt;&lt;/span&gt;
        &lt;/button&gt;
  &lt;details class="language-menu"&gt;
    &lt;summary class="language-menu__trigger" aria-label="Sprache auswählen"&gt;
      &lt;span aria-hidden="true"&gt;🌐&lt;/span&gt;
      &lt;span&gt;DE&lt;/span&gt;
      &lt;span class="language-menu__current"&gt;Deutsch&lt;/span&gt;
    &lt;/summary&gt;
    &lt;nav class="language-menu__list" aria-label="Sprachauswahl"&gt;
      &lt;a href="https://retraites.carmes-paris.org/" lang="fr" hreflang="fr"&gt;
        &lt;span class="language-flag" aria-hidden="true"&gt;🇫🇷&lt;/span&gt;
        &lt;span class="language-code"&gt;FR&lt;/span&gt;
        &lt;span&gt;Français&lt;/span&gt;
      &lt;/a&gt;
      &lt;a href="../de/" lang="de" hreflang="de" aria-current="page"&gt;
        &lt;span class="language-flag" aria-hidden="true"&gt;🇦🇹🇩🇪&lt;/span&gt;
        &lt;span class="language-code"&gt;DE&lt;/span&gt;
        &lt;span&gt;Deutsch&lt;/span&gt;
        &lt;span class="language-check" aria-hidden="true"&gt;✓&lt;/span&gt;
      &lt;/a&gt;
      &lt;a href="../es/" lang="es" hreflang="es"&gt;
        &lt;span class="language-flag" aria-hidden="true"&gt;🇪🇸&lt;/span&gt;
        &lt;span class="language-code"&gt;ES&lt;/span&gt;
        &lt;span&gt;Español&lt;/span&gt;
      &lt;/a&gt;
      &lt;a href="../it/" lang="it" hreflang="it"&gt;
        &lt;span class="language-flag" aria-hidden="true"&gt;🇮🇹&lt;/span&gt;
        &lt;span class="language-code"&gt;IT&lt;/span&gt;
        &lt;span&gt;Italiano&lt;/span&gt;
      &lt;/a&gt;
      &lt;a href="../en/" lang="en" hreflang="en"&gt;
        &lt;span class="language-flag" aria-hidden="true"&gt;🇬🇧🇺🇸&lt;/span&gt;
        &lt;span class="language-code"&gt;EN&lt;/span&gt;
        &lt;span&gt;English&lt;/span&gt;
      &lt;/a&gt;
      &lt;a href="../pl/" lang="pl" hreflang="pl"&gt;
        &lt;span class="language-flag" aria-hidden="true"&gt;🇵🇱&lt;/span&gt;
        &lt;span class="language-code"&gt;PL&lt;/span&gt;
        &lt;span&gt;Polski&lt;/span&gt;
      &lt;/a&gt;
      &lt;a href="../ar/" lang="ar" hreflang="ar" dir="rtl"&gt;
        &lt;span class="language-flag" aria-hidden="true"&gt;🇱🇧🇸🇦&lt;/span&gt;
        &lt;span class="language-code"&gt;AR&lt;/span&gt;
        &lt;span&gt;العربية&lt;/span&gt;
      &lt;/a&gt;
      &lt;a href="../pt/" lang="pt" hreflang="pt"&gt;
        &lt;span class="language-flag" aria-hidden="true"&gt;🇵🇹&lt;/span&gt;
        &lt;span class="language-code"&gt;PT&lt;/span&gt;
        &lt;span&gt;Português&lt;/span&gt;
      &lt;/a&gt;
      &lt;a href="../zh/" lang="zh" hreflang="zh"&gt;
        &lt;span class="language-flag" aria-hidden="true"&gt;🇨🇳&lt;/span&gt;
        &lt;span class="language-code"&gt;ZH&lt;/span&gt;
        &lt;span&gt;中文&lt;/span&gt;
      &lt;/a&gt;
      &lt;a href="../cs/" lang="cs" hreflang="cs"&gt;
        &lt;span class="language-flag" aria-hidden="true"&gt;🇨🇿&lt;/span&gt;
        &lt;span class="language-code"&gt;CS&lt;/span&gt;
        &lt;span&gt;Čeština&lt;/span&gt;
      &lt;/a&gt;
      &lt;a href="../hr/" lang="hr" hreflang="hr"&gt;
        &lt;span class="language-flag" aria-hidden="true"&gt;🇭🇷&lt;/span&gt;
        &lt;span class="language-code"&gt;HR&lt;/span&gt;
        &lt;span&gt;Hrvatski&lt;/span&gt;
      &lt;/a&gt;
      &lt;a href="../hu/" lang="hu" hreflang="hu"&gt;
        &lt;span class="language-flag" aria-hidden="true"&gt;🇭🇺&lt;/span&gt;
        &lt;span class="language-code"&gt;HU&lt;/span&gt;
        &lt;span&gt;Magyar&lt;/span&gt;
      &lt;/a&gt;
      &lt;a href="../mt/" lang="mt" hreflang="mt"&gt;
        &lt;span class="language-flag" aria-hidden="true"&gt;🇲🇹&lt;/span&gt;
        &lt;span class="language-code"&gt;MT&lt;/span&gt;
        &lt;span&gt;Malti&lt;/span&gt;
      &lt;/a&gt;
      &lt;a href="../nl/" lang="nl" hreflang="nl"&gt;
        &lt;span class="language-flag" aria-hidden="true"&gt;🇳🇱&lt;/span&gt;
        &lt;span class="language-code"&gt;NL&lt;/span&gt;
        &lt;span&gt;Nederlands&lt;/span&gt;
      &lt;/a&gt;
      &lt;a href="../ro/" lang="ro" hreflang="ro"&gt;
        &lt;span class="language-flag" aria-hidden="true"&gt;🇷🇴&lt;/span&gt;
        &lt;span class="language-code"&gt;RO&lt;/span&gt;
        &lt;span&gt;Română&lt;/span&gt;
      &lt;/a&gt;
      &lt;a href="../vi/" lang="vi" hreflang="vi"&gt;
        &lt;span class="language-flag" aria-hidden="true"&gt;🇻🇳&lt;/span&gt;
        &lt;span class="language-code"&gt;VI&lt;/span&gt;
        &lt;span&gt;Tiếng Việt&lt;/span&gt;
      &lt;/a&gt;
    &lt;/nav&gt;
  &lt;/details&gt;
&lt;/div&gt;
      &lt;/nav&gt;</v>
      </c>
      <c r="Z27" s="1" t="str">
        <f>header_block_de!$A1</f>
        <v>&lt;header class="moving-banner" aria-label="Decorative animated banner"&gt;
  &lt;div class="moving-banner__track"&gt;
    &lt;img src="../img/website_banner_wide_e.webp" alt=""&gt;
    &lt;img src="../img/website_banner_wide_e.webp" alt="" aria-hidden="true"&gt;
  &lt;/div&gt;
    &lt;/header&gt;
      &lt;nav class="header-inner"&gt;
        &lt;a href="#" class="brand" aria-label="Startseite"&gt;
          &lt;span class="brand-mark" aria-hidden="true"&gt;&lt;img src="../img/apple-touch-icon.png" style="border-radius: var(--radius-lg)"&gt;&lt;/span&gt;
          &lt;span class="brand-text"&gt;
            &lt;span class="brand-kicker"&gt;Teresianischer Karmel&lt;/span&gt;
            &lt;span class="brand-name"&gt;Online-Exerzitien&lt;/span&gt;
          &lt;/span&gt;
        &lt;/a&gt;
&lt;div class="header-actions"&gt;
            &lt;nav class="main-nav" id="main-navigation" aria-label="Hauptnavigation"&gt;
        &lt;ul&gt;
          &lt;li&gt;&lt;a href="../index.html"&gt;&lt;span class="material-symbols-outlined"&gt;home&lt;/span&gt;&lt;/a&gt;&lt;/li&gt;
          &lt;li&gt;&lt;a href="../index.html#signup-panel"&gt;Anmelden&lt;/a&gt;&lt;/li&gt;
          &lt;li&gt;&lt;a href="../index.html#aktuelleExerzitien"&gt;Aktuelle Exerzitien&lt;/a&gt;&lt;/li&gt;
          &lt;li&gt;&lt;a href="../index.html#saints-cards"&gt;Persönlichkeiten&lt;/a&gt;&lt;/li&gt;
          &lt;li&gt;&lt;a href="../index.html#archiv-cards"&gt;Archiv&lt;/a&gt;&lt;/li&gt;
          &lt;li&gt;&lt;a href="../index.html#faq"&gt;FAQ&lt;/a&gt;&lt;/li&gt;
          &lt;li&gt;&lt;a href="../index.html#weiterempfehlen"&gt;Weiterempfehlen&lt;/a&gt;&lt;/li&gt;
          &lt;li&gt;&lt;a href="../about.html"&gt;Über die Karmeliten&lt;/a&gt;&lt;/li&gt;
        &lt;/ul&gt;
                        &lt;details class="settings_accessibility"&gt;
                          &lt;summary class="settings_accessibility_trigger" aria-label="Accessiblity Settings"&gt;
                            &lt;span class="material-symbols-outlined" aria-label="true"&gt;
                            settings
                            &lt;/span&gt;  
                            &lt;span class="material-symbols-outlined" aria-label="true"&gt;
                            settings_accessibility
                            &lt;/span&gt;                        
                          &lt;/summary&gt;
                &lt;nav class="settings_accessibility_list" aria-label="Sprachauswahl"&gt;
                &lt;button class="font-decrease theme-toggle" type="button" data-font-decrease aria-label="Schriftgröße verkleinern"&gt;
          A-
        &lt;/button&gt;
          &lt;button class="font-reset theme-toggle" type="button" data-font-reset aria-label="Schriftgröße zurücksetzen"&gt;
          A
        &lt;/button&gt; 
        &lt;button class="font-increase theme-toggle" type="button" data-font-increase aria-label="Schriftgröße vergrößern"&gt;
          A+
        &lt;/button&gt;
        &lt;button class="theme-toggle" type="button" data-theme-toggle aria-label="Farbschema wechseln"&gt;
          &lt;span class="theme-toggle__icon" aria-hidden="true"&gt;◐&lt;/span&gt;
        &lt;/button&gt;
                &lt;/nav&gt;
        &lt;/details&gt;
      &lt;/nav&gt;
          &lt;button class="nav-toggle" type="button" aria-expanded="false" aria-controls="main-navigation" aria-label="Menü öffnen"&gt;
          &lt;span&gt;&lt;/span&gt;
          &lt;span&gt;&lt;/span&gt;
          &lt;span&gt;&lt;/span&gt;
        &lt;/button&gt;
  &lt;details class="language-menu"&gt;
    &lt;summary class="language-menu__trigger" aria-label="Sprache auswählen"&gt;
      &lt;span aria-hidden="true"&gt;🌐&lt;/span&gt;
      &lt;span&gt;DE&lt;/span&gt;
      &lt;span class="language-menu__current"&gt;Deutsch&lt;/span&gt;
    &lt;/summary&gt;
    &lt;nav class="language-menu__list" aria-label="Sprachauswahl"&gt;
      &lt;a href="https://retraites.carmes-paris.org/" lang="fr" hreflang="fr"&gt;
        &lt;span class="language-flag" aria-hidden="true"&gt;🇫🇷&lt;/span&gt;
        &lt;span class="language-code"&gt;FR&lt;/span&gt;
        &lt;span&gt;Français&lt;/span&gt;
      &lt;/a&gt;
      &lt;a href="../de/" lang="de" hreflang="de" aria-current="page"&gt;
        &lt;span class="language-flag" aria-hidden="true"&gt;🇦🇹🇩🇪&lt;/span&gt;
        &lt;span class="language-code"&gt;DE&lt;/span&gt;
        &lt;span&gt;Deutsch&lt;/span&gt;
        &lt;span class="language-check" aria-hidden="true"&gt;✓&lt;/span&gt;
      &lt;/a&gt;
      &lt;a href="../es/" lang="es" hreflang="es"&gt;
        &lt;span class="language-flag" aria-hidden="true"&gt;🇪🇸&lt;/span&gt;
        &lt;span class="language-code"&gt;ES&lt;/span&gt;
        &lt;span&gt;Español&lt;/span&gt;
      &lt;/a&gt;
      &lt;a href="../it/" lang="it" hreflang="it"&gt;
        &lt;span class="language-flag" aria-hidden="true"&gt;🇮🇹&lt;/span&gt;
        &lt;span class="language-code"&gt;IT&lt;/span&gt;
        &lt;span&gt;Italiano&lt;/span&gt;
      &lt;/a&gt;
      &lt;a href="../en/" lang="en" hreflang="en"&gt;
        &lt;span class="language-flag" aria-hidden="true"&gt;🇬🇧🇺🇸&lt;/span&gt;
        &lt;span class="language-code"&gt;EN&lt;/span&gt;
        &lt;span&gt;English&lt;/span&gt;
      &lt;/a&gt;
      &lt;a href="../pl/" lang="pl" hreflang="pl"&gt;
        &lt;span class="language-flag" aria-hidden="true"&gt;🇵🇱&lt;/span&gt;
        &lt;span class="language-code"&gt;PL&lt;/span&gt;
        &lt;span&gt;Polski&lt;/span&gt;
      &lt;/a&gt;
      &lt;a href="../ar/" lang="ar" hreflang="ar" dir="rtl"&gt;
        &lt;span class="language-flag" aria-hidden="true"&gt;🇱🇧🇸🇦&lt;/span&gt;
        &lt;span class="language-code"&gt;AR&lt;/span&gt;
        &lt;span&gt;العربية&lt;/span&gt;
      &lt;/a&gt;
      &lt;a href="../pt/" lang="pt" hreflang="pt"&gt;
        &lt;span class="language-flag" aria-hidden="true"&gt;🇵🇹&lt;/span&gt;
        &lt;span class="language-code"&gt;PT&lt;/span&gt;
        &lt;span&gt;Português&lt;/span&gt;
      &lt;/a&gt;
      &lt;a href="../zh/" lang="zh" hreflang="zh"&gt;
        &lt;span class="language-flag" aria-hidden="true"&gt;🇨🇳&lt;/span&gt;
        &lt;span class="language-code"&gt;ZH&lt;/span&gt;
        &lt;span&gt;中文&lt;/span&gt;
      &lt;/a&gt;
      &lt;a href="../cs/" lang="cs" hreflang="cs"&gt;
        &lt;span class="language-flag" aria-hidden="true"&gt;🇨🇿&lt;/span&gt;
        &lt;span class="language-code"&gt;CS&lt;/span&gt;
        &lt;span&gt;Čeština&lt;/span&gt;
      &lt;/a&gt;
      &lt;a href="../hr/" lang="hr" hreflang="hr"&gt;
        &lt;span class="language-flag" aria-hidden="true"&gt;🇭🇷&lt;/span&gt;
        &lt;span class="language-code"&gt;HR&lt;/span&gt;
        &lt;span&gt;Hrvatski&lt;/span&gt;
      &lt;/a&gt;
      &lt;a href="../hu/" lang="hu" hreflang="hu"&gt;
        &lt;span class="language-flag" aria-hidden="true"&gt;🇭🇺&lt;/span&gt;
        &lt;span class="language-code"&gt;HU&lt;/span&gt;
        &lt;span&gt;Magyar&lt;/span&gt;
      &lt;/a&gt;
      &lt;a href="../mt/" lang="mt" hreflang="mt"&gt;
        &lt;span class="language-flag" aria-hidden="true"&gt;🇲🇹&lt;/span&gt;
        &lt;span class="language-code"&gt;MT&lt;/span&gt;
        &lt;span&gt;Malti&lt;/span&gt;
      &lt;/a&gt;
      &lt;a href="../nl/" lang="nl" hreflang="nl"&gt;
        &lt;span class="language-flag" aria-hidden="true"&gt;🇳🇱&lt;/span&gt;
        &lt;span class="language-code"&gt;NL&lt;/span&gt;
        &lt;span&gt;Nederlands&lt;/span&gt;
      &lt;/a&gt;
      &lt;a href="../ro/" lang="ro" hreflang="ro"&gt;
        &lt;span class="language-flag" aria-hidden="true"&gt;🇷🇴&lt;/span&gt;
        &lt;span class="language-code"&gt;RO&lt;/span&gt;
        &lt;span&gt;Română&lt;/span&gt;
      &lt;/a&gt;
      &lt;a href="../vi/" lang="vi" hreflang="vi"&gt;
        &lt;span class="language-flag" aria-hidden="true"&gt;🇻🇳&lt;/span&gt;
        &lt;span class="language-code"&gt;VI&lt;/span&gt;
        &lt;span&gt;Tiếng Việt&lt;/span&gt;
      &lt;/a&gt;
    &lt;/nav&gt;
  &lt;/details&gt;
&lt;/div&gt;
      &lt;/nav&gt;</v>
      </c>
      <c r="AA27" s="1" t="str">
        <f>header_block_de!$A1</f>
        <v>&lt;header class="moving-banner" aria-label="Decorative animated banner"&gt;
  &lt;div class="moving-banner__track"&gt;
    &lt;img src="../img/website_banner_wide_e.webp" alt=""&gt;
    &lt;img src="../img/website_banner_wide_e.webp" alt="" aria-hidden="true"&gt;
  &lt;/div&gt;
    &lt;/header&gt;
      &lt;nav class="header-inner"&gt;
        &lt;a href="#" class="brand" aria-label="Startseite"&gt;
          &lt;span class="brand-mark" aria-hidden="true"&gt;&lt;img src="../img/apple-touch-icon.png" style="border-radius: var(--radius-lg)"&gt;&lt;/span&gt;
          &lt;span class="brand-text"&gt;
            &lt;span class="brand-kicker"&gt;Teresianischer Karmel&lt;/span&gt;
            &lt;span class="brand-name"&gt;Online-Exerzitien&lt;/span&gt;
          &lt;/span&gt;
        &lt;/a&gt;
&lt;div class="header-actions"&gt;
            &lt;nav class="main-nav" id="main-navigation" aria-label="Hauptnavigation"&gt;
        &lt;ul&gt;
          &lt;li&gt;&lt;a href="../index.html"&gt;&lt;span class="material-symbols-outlined"&gt;home&lt;/span&gt;&lt;/a&gt;&lt;/li&gt;
          &lt;li&gt;&lt;a href="../index.html#signup-panel"&gt;Anmelden&lt;/a&gt;&lt;/li&gt;
          &lt;li&gt;&lt;a href="../index.html#aktuelleExerzitien"&gt;Aktuelle Exerzitien&lt;/a&gt;&lt;/li&gt;
          &lt;li&gt;&lt;a href="../index.html#saints-cards"&gt;Persönlichkeiten&lt;/a&gt;&lt;/li&gt;
          &lt;li&gt;&lt;a href="../index.html#archiv-cards"&gt;Archiv&lt;/a&gt;&lt;/li&gt;
          &lt;li&gt;&lt;a href="../index.html#faq"&gt;FAQ&lt;/a&gt;&lt;/li&gt;
          &lt;li&gt;&lt;a href="../index.html#weiterempfehlen"&gt;Weiterempfehlen&lt;/a&gt;&lt;/li&gt;
          &lt;li&gt;&lt;a href="../about.html"&gt;Über die Karmeliten&lt;/a&gt;&lt;/li&gt;
        &lt;/ul&gt;
                        &lt;details class="settings_accessibility"&gt;
                          &lt;summary class="settings_accessibility_trigger" aria-label="Accessiblity Settings"&gt;
                            &lt;span class="material-symbols-outlined" aria-label="true"&gt;
                            settings
                            &lt;/span&gt;  
                            &lt;span class="material-symbols-outlined" aria-label="true"&gt;
                            settings_accessibility
                            &lt;/span&gt;                        
                          &lt;/summary&gt;
                &lt;nav class="settings_accessibility_list" aria-label="Sprachauswahl"&gt;
                &lt;button class="font-decrease theme-toggle" type="button" data-font-decrease aria-label="Schriftgröße verkleinern"&gt;
          A-
        &lt;/button&gt;
          &lt;button class="font-reset theme-toggle" type="button" data-font-reset aria-label="Schriftgröße zurücksetzen"&gt;
          A
        &lt;/button&gt; 
        &lt;button class="font-increase theme-toggle" type="button" data-font-increase aria-label="Schriftgröße vergrößern"&gt;
          A+
        &lt;/button&gt;
        &lt;button class="theme-toggle" type="button" data-theme-toggle aria-label="Farbschema wechseln"&gt;
          &lt;span class="theme-toggle__icon" aria-hidden="true"&gt;◐&lt;/span&gt;
        &lt;/button&gt;
                &lt;/nav&gt;
        &lt;/details&gt;
      &lt;/nav&gt;
          &lt;button class="nav-toggle" type="button" aria-expanded="false" aria-controls="main-navigation" aria-label="Menü öffnen"&gt;
          &lt;span&gt;&lt;/span&gt;
          &lt;span&gt;&lt;/span&gt;
          &lt;span&gt;&lt;/span&gt;
        &lt;/button&gt;
  &lt;details class="language-menu"&gt;
    &lt;summary class="language-menu__trigger" aria-label="Sprache auswählen"&gt;
      &lt;span aria-hidden="true"&gt;🌐&lt;/span&gt;
      &lt;span&gt;DE&lt;/span&gt;
      &lt;span class="language-menu__current"&gt;Deutsch&lt;/span&gt;
    &lt;/summary&gt;
    &lt;nav class="language-menu__list" aria-label="Sprachauswahl"&gt;
      &lt;a href="https://retraites.carmes-paris.org/" lang="fr" hreflang="fr"&gt;
        &lt;span class="language-flag" aria-hidden="true"&gt;🇫🇷&lt;/span&gt;
        &lt;span class="language-code"&gt;FR&lt;/span&gt;
        &lt;span&gt;Français&lt;/span&gt;
      &lt;/a&gt;
      &lt;a href="../de/" lang="de" hreflang="de" aria-current="page"&gt;
        &lt;span class="language-flag" aria-hidden="true"&gt;🇦🇹🇩🇪&lt;/span&gt;
        &lt;span class="language-code"&gt;DE&lt;/span&gt;
        &lt;span&gt;Deutsch&lt;/span&gt;
        &lt;span class="language-check" aria-hidden="true"&gt;✓&lt;/span&gt;
      &lt;/a&gt;
      &lt;a href="../es/" lang="es" hreflang="es"&gt;
        &lt;span class="language-flag" aria-hidden="true"&gt;🇪🇸&lt;/span&gt;
        &lt;span class="language-code"&gt;ES&lt;/span&gt;
        &lt;span&gt;Español&lt;/span&gt;
      &lt;/a&gt;
      &lt;a href="../it/" lang="it" hreflang="it"&gt;
        &lt;span class="language-flag" aria-hidden="true"&gt;🇮🇹&lt;/span&gt;
        &lt;span class="language-code"&gt;IT&lt;/span&gt;
        &lt;span&gt;Italiano&lt;/span&gt;
      &lt;/a&gt;
      &lt;a href="../en/" lang="en" hreflang="en"&gt;
        &lt;span class="language-flag" aria-hidden="true"&gt;🇬🇧🇺🇸&lt;/span&gt;
        &lt;span class="language-code"&gt;EN&lt;/span&gt;
        &lt;span&gt;English&lt;/span&gt;
      &lt;/a&gt;
      &lt;a href="../pl/" lang="pl" hreflang="pl"&gt;
        &lt;span class="language-flag" aria-hidden="true"&gt;🇵🇱&lt;/span&gt;
        &lt;span class="language-code"&gt;PL&lt;/span&gt;
        &lt;span&gt;Polski&lt;/span&gt;
      &lt;/a&gt;
      &lt;a href="../ar/" lang="ar" hreflang="ar" dir="rtl"&gt;
        &lt;span class="language-flag" aria-hidden="true"&gt;🇱🇧🇸🇦&lt;/span&gt;
        &lt;span class="language-code"&gt;AR&lt;/span&gt;
        &lt;span&gt;العربية&lt;/span&gt;
      &lt;/a&gt;
      &lt;a href="../pt/" lang="pt" hreflang="pt"&gt;
        &lt;span class="language-flag" aria-hidden="true"&gt;🇵🇹&lt;/span&gt;
        &lt;span class="language-code"&gt;PT&lt;/span&gt;
        &lt;span&gt;Português&lt;/span&gt;
      &lt;/a&gt;
      &lt;a href="../zh/" lang="zh" hreflang="zh"&gt;
        &lt;span class="language-flag" aria-hidden="true"&gt;🇨🇳&lt;/span&gt;
        &lt;span class="language-code"&gt;ZH&lt;/span&gt;
        &lt;span&gt;中文&lt;/span&gt;
      &lt;/a&gt;
      &lt;a href="../cs/" lang="cs" hreflang="cs"&gt;
        &lt;span class="language-flag" aria-hidden="true"&gt;🇨🇿&lt;/span&gt;
        &lt;span class="language-code"&gt;CS&lt;/span&gt;
        &lt;span&gt;Čeština&lt;/span&gt;
      &lt;/a&gt;
      &lt;a href="../hr/" lang="hr" hreflang="hr"&gt;
        &lt;span class="language-flag" aria-hidden="true"&gt;🇭🇷&lt;/span&gt;
        &lt;span class="language-code"&gt;HR&lt;/span&gt;
        &lt;span&gt;Hrvatski&lt;/span&gt;
      &lt;/a&gt;
      &lt;a href="../hu/" lang="hu" hreflang="hu"&gt;
        &lt;span class="language-flag" aria-hidden="true"&gt;🇭🇺&lt;/span&gt;
        &lt;span class="language-code"&gt;HU&lt;/span&gt;
        &lt;span&gt;Magyar&lt;/span&gt;
      &lt;/a&gt;
      &lt;a href="../mt/" lang="mt" hreflang="mt"&gt;
        &lt;span class="language-flag" aria-hidden="true"&gt;🇲🇹&lt;/span&gt;
        &lt;span class="language-code"&gt;MT&lt;/span&gt;
        &lt;span&gt;Malti&lt;/span&gt;
      &lt;/a&gt;
      &lt;a href="../nl/" lang="nl" hreflang="nl"&gt;
        &lt;span class="language-flag" aria-hidden="true"&gt;🇳🇱&lt;/span&gt;
        &lt;span class="language-code"&gt;NL&lt;/span&gt;
        &lt;span&gt;Nederlands&lt;/span&gt;
      &lt;/a&gt;
      &lt;a href="../ro/" lang="ro" hreflang="ro"&gt;
        &lt;span class="language-flag" aria-hidden="true"&gt;🇷🇴&lt;/span&gt;
        &lt;span class="language-code"&gt;RO&lt;/span&gt;
        &lt;span&gt;Română&lt;/span&gt;
      &lt;/a&gt;
      &lt;a href="../vi/" lang="vi" hreflang="vi"&gt;
        &lt;span class="language-flag" aria-hidden="true"&gt;🇻🇳&lt;/span&gt;
        &lt;span class="language-code"&gt;VI&lt;/span&gt;
        &lt;span&gt;Tiếng Việt&lt;/span&gt;
      &lt;/a&gt;
    &lt;/nav&gt;
  &lt;/details&gt;
&lt;/div&gt;
      &lt;/nav&gt;</v>
      </c>
      <c r="AB27" s="1" t="str">
        <f>header_block_de!$A1</f>
        <v>&lt;header class="moving-banner" aria-label="Decorative animated banner"&gt;
  &lt;div class="moving-banner__track"&gt;
    &lt;img src="../img/website_banner_wide_e.webp" alt=""&gt;
    &lt;img src="../img/website_banner_wide_e.webp" alt="" aria-hidden="true"&gt;
  &lt;/div&gt;
    &lt;/header&gt;
      &lt;nav class="header-inner"&gt;
        &lt;a href="#" class="brand" aria-label="Startseite"&gt;
          &lt;span class="brand-mark" aria-hidden="true"&gt;&lt;img src="../img/apple-touch-icon.png" style="border-radius: var(--radius-lg)"&gt;&lt;/span&gt;
          &lt;span class="brand-text"&gt;
            &lt;span class="brand-kicker"&gt;Teresianischer Karmel&lt;/span&gt;
            &lt;span class="brand-name"&gt;Online-Exerzitien&lt;/span&gt;
          &lt;/span&gt;
        &lt;/a&gt;
&lt;div class="header-actions"&gt;
            &lt;nav class="main-nav" id="main-navigation" aria-label="Hauptnavigation"&gt;
        &lt;ul&gt;
          &lt;li&gt;&lt;a href="../index.html"&gt;&lt;span class="material-symbols-outlined"&gt;home&lt;/span&gt;&lt;/a&gt;&lt;/li&gt;
          &lt;li&gt;&lt;a href="../index.html#signup-panel"&gt;Anmelden&lt;/a&gt;&lt;/li&gt;
          &lt;li&gt;&lt;a href="../index.html#aktuelleExerzitien"&gt;Aktuelle Exerzitien&lt;/a&gt;&lt;/li&gt;
          &lt;li&gt;&lt;a href="../index.html#saints-cards"&gt;Persönlichkeiten&lt;/a&gt;&lt;/li&gt;
          &lt;li&gt;&lt;a href="../index.html#archiv-cards"&gt;Archiv&lt;/a&gt;&lt;/li&gt;
          &lt;li&gt;&lt;a href="../index.html#faq"&gt;FAQ&lt;/a&gt;&lt;/li&gt;
          &lt;li&gt;&lt;a href="../index.html#weiterempfehlen"&gt;Weiterempfehlen&lt;/a&gt;&lt;/li&gt;
          &lt;li&gt;&lt;a href="../about.html"&gt;Über die Karmeliten&lt;/a&gt;&lt;/li&gt;
        &lt;/ul&gt;
                        &lt;details class="settings_accessibility"&gt;
                          &lt;summary class="settings_accessibility_trigger" aria-label="Accessiblity Settings"&gt;
                            &lt;span class="material-symbols-outlined" aria-label="true"&gt;
                            settings
                            &lt;/span&gt;  
                            &lt;span class="material-symbols-outlined" aria-label="true"&gt;
                            settings_accessibility
                            &lt;/span&gt;                        
                          &lt;/summary&gt;
                &lt;nav class="settings_accessibility_list" aria-label="Sprachauswahl"&gt;
                &lt;button class="font-decrease theme-toggle" type="button" data-font-decrease aria-label="Schriftgröße verkleinern"&gt;
          A-
        &lt;/button&gt;
          &lt;button class="font-reset theme-toggle" type="button" data-font-reset aria-label="Schriftgröße zurücksetzen"&gt;
          A
        &lt;/button&gt; 
        &lt;button class="font-increase theme-toggle" type="button" data-font-increase aria-label="Schriftgröße vergrößern"&gt;
          A+
        &lt;/button&gt;
        &lt;button class="theme-toggle" type="button" data-theme-toggle aria-label="Farbschema wechseln"&gt;
          &lt;span class="theme-toggle__icon" aria-hidden="true"&gt;◐&lt;/span&gt;
        &lt;/button&gt;
                &lt;/nav&gt;
        &lt;/details&gt;
      &lt;/nav&gt;
          &lt;button class="nav-toggle" type="button" aria-expanded="false" aria-controls="main-navigation" aria-label="Menü öffnen"&gt;
          &lt;span&gt;&lt;/span&gt;
          &lt;span&gt;&lt;/span&gt;
          &lt;span&gt;&lt;/span&gt;
        &lt;/button&gt;
  &lt;details class="language-menu"&gt;
    &lt;summary class="language-menu__trigger" aria-label="Sprache auswählen"&gt;
      &lt;span aria-hidden="true"&gt;🌐&lt;/span&gt;
      &lt;span&gt;DE&lt;/span&gt;
      &lt;span class="language-menu__current"&gt;Deutsch&lt;/span&gt;
    &lt;/summary&gt;
    &lt;nav class="language-menu__list" aria-label="Sprachauswahl"&gt;
      &lt;a href="https://retraites.carmes-paris.org/" lang="fr" hreflang="fr"&gt;
        &lt;span class="language-flag" aria-hidden="true"&gt;🇫🇷&lt;/span&gt;
        &lt;span class="language-code"&gt;FR&lt;/span&gt;
        &lt;span&gt;Français&lt;/span&gt;
      &lt;/a&gt;
      &lt;a href="../de/" lang="de" hreflang="de" aria-current="page"&gt;
        &lt;span class="language-flag" aria-hidden="true"&gt;🇦🇹🇩🇪&lt;/span&gt;
        &lt;span class="language-code"&gt;DE&lt;/span&gt;
        &lt;span&gt;Deutsch&lt;/span&gt;
        &lt;span class="language-check" aria-hidden="true"&gt;✓&lt;/span&gt;
      &lt;/a&gt;
      &lt;a href="../es/" lang="es" hreflang="es"&gt;
        &lt;span class="language-flag" aria-hidden="true"&gt;🇪🇸&lt;/span&gt;
        &lt;span class="language-code"&gt;ES&lt;/span&gt;
        &lt;span&gt;Español&lt;/span&gt;
      &lt;/a&gt;
      &lt;a href="../it/" lang="it" hreflang="it"&gt;
        &lt;span class="language-flag" aria-hidden="true"&gt;🇮🇹&lt;/span&gt;
        &lt;span class="language-code"&gt;IT&lt;/span&gt;
        &lt;span&gt;Italiano&lt;/span&gt;
      &lt;/a&gt;
      &lt;a href="../en/" lang="en" hreflang="en"&gt;
        &lt;span class="language-flag" aria-hidden="true"&gt;🇬🇧🇺🇸&lt;/span&gt;
        &lt;span class="language-code"&gt;EN&lt;/span&gt;
        &lt;span&gt;English&lt;/span&gt;
      &lt;/a&gt;
      &lt;a href="../pl/" lang="pl" hreflang="pl"&gt;
        &lt;span class="language-flag" aria-hidden="true"&gt;🇵🇱&lt;/span&gt;
        &lt;span class="language-code"&gt;PL&lt;/span&gt;
        &lt;span&gt;Polski&lt;/span&gt;
      &lt;/a&gt;
      &lt;a href="../ar/" lang="ar" hreflang="ar" dir="rtl"&gt;
        &lt;span class="language-flag" aria-hidden="true"&gt;🇱🇧🇸🇦&lt;/span&gt;
        &lt;span class="language-code"&gt;AR&lt;/span&gt;
        &lt;span&gt;العربية&lt;/span&gt;
      &lt;/a&gt;
      &lt;a href="../pt/" lang="pt" hreflang="pt"&gt;
        &lt;span class="language-flag" aria-hidden="true"&gt;🇵🇹&lt;/span&gt;
        &lt;span class="language-code"&gt;PT&lt;/span&gt;
        &lt;span&gt;Português&lt;/span&gt;
      &lt;/a&gt;
      &lt;a href="../zh/" lang="zh" hreflang="zh"&gt;
        &lt;span class="language-flag" aria-hidden="true"&gt;🇨🇳&lt;/span&gt;
        &lt;span class="language-code"&gt;ZH&lt;/span&gt;
        &lt;span&gt;中文&lt;/span&gt;
      &lt;/a&gt;
      &lt;a href="../cs/" lang="cs" hreflang="cs"&gt;
        &lt;span class="language-flag" aria-hidden="true"&gt;🇨🇿&lt;/span&gt;
        &lt;span class="language-code"&gt;CS&lt;/span&gt;
        &lt;span&gt;Čeština&lt;/span&gt;
      &lt;/a&gt;
      &lt;a href="../hr/" lang="hr" hreflang="hr"&gt;
        &lt;span class="language-flag" aria-hidden="true"&gt;🇭🇷&lt;/span&gt;
        &lt;span class="language-code"&gt;HR&lt;/span&gt;
        &lt;span&gt;Hrvatski&lt;/span&gt;
      &lt;/a&gt;
      &lt;a href="../hu/" lang="hu" hreflang="hu"&gt;
        &lt;span class="language-flag" aria-hidden="true"&gt;🇭🇺&lt;/span&gt;
        &lt;span class="language-code"&gt;HU&lt;/span&gt;
        &lt;span&gt;Magyar&lt;/span&gt;
      &lt;/a&gt;
      &lt;a href="../mt/" lang="mt" hreflang="mt"&gt;
        &lt;span class="language-flag" aria-hidden="true"&gt;🇲🇹&lt;/span&gt;
        &lt;span class="language-code"&gt;MT&lt;/span&gt;
        &lt;span&gt;Malti&lt;/span&gt;
      &lt;/a&gt;
      &lt;a href="../nl/" lang="nl" hreflang="nl"&gt;
        &lt;span class="language-flag" aria-hidden="true"&gt;🇳🇱&lt;/span&gt;
        &lt;span class="language-code"&gt;NL&lt;/span&gt;
        &lt;span&gt;Nederlands&lt;/span&gt;
      &lt;/a&gt;
      &lt;a href="../ro/" lang="ro" hreflang="ro"&gt;
        &lt;span class="language-flag" aria-hidden="true"&gt;🇷🇴&lt;/span&gt;
        &lt;span class="language-code"&gt;RO&lt;/span&gt;
        &lt;span&gt;Română&lt;/span&gt;
      &lt;/a&gt;
      &lt;a href="../vi/" lang="vi" hreflang="vi"&gt;
        &lt;span class="language-flag" aria-hidden="true"&gt;🇻🇳&lt;/span&gt;
        &lt;span class="language-code"&gt;VI&lt;/span&gt;
        &lt;span&gt;Tiếng Việt&lt;/span&gt;
      &lt;/a&gt;
    &lt;/nav&gt;
  &lt;/details&gt;
&lt;/div&gt;
      &lt;/nav&gt;</v>
      </c>
      <c r="AC27" s="1" t="str">
        <f>header_block_de!$A1</f>
        <v>&lt;header class="moving-banner" aria-label="Decorative animated banner"&gt;
  &lt;div class="moving-banner__track"&gt;
    &lt;img src="../img/website_banner_wide_e.webp" alt=""&gt;
    &lt;img src="../img/website_banner_wide_e.webp" alt="" aria-hidden="true"&gt;
  &lt;/div&gt;
    &lt;/header&gt;
      &lt;nav class="header-inner"&gt;
        &lt;a href="#" class="brand" aria-label="Startseite"&gt;
          &lt;span class="brand-mark" aria-hidden="true"&gt;&lt;img src="../img/apple-touch-icon.png" style="border-radius: var(--radius-lg)"&gt;&lt;/span&gt;
          &lt;span class="brand-text"&gt;
            &lt;span class="brand-kicker"&gt;Teresianischer Karmel&lt;/span&gt;
            &lt;span class="brand-name"&gt;Online-Exerzitien&lt;/span&gt;
          &lt;/span&gt;
        &lt;/a&gt;
&lt;div class="header-actions"&gt;
            &lt;nav class="main-nav" id="main-navigation" aria-label="Hauptnavigation"&gt;
        &lt;ul&gt;
          &lt;li&gt;&lt;a href="../index.html"&gt;&lt;span class="material-symbols-outlined"&gt;home&lt;/span&gt;&lt;/a&gt;&lt;/li&gt;
          &lt;li&gt;&lt;a href="../index.html#signup-panel"&gt;Anmelden&lt;/a&gt;&lt;/li&gt;
          &lt;li&gt;&lt;a href="../index.html#aktuelleExerzitien"&gt;Aktuelle Exerzitien&lt;/a&gt;&lt;/li&gt;
          &lt;li&gt;&lt;a href="../index.html#saints-cards"&gt;Persönlichkeiten&lt;/a&gt;&lt;/li&gt;
          &lt;li&gt;&lt;a href="../index.html#archiv-cards"&gt;Archiv&lt;/a&gt;&lt;/li&gt;
          &lt;li&gt;&lt;a href="../index.html#faq"&gt;FAQ&lt;/a&gt;&lt;/li&gt;
          &lt;li&gt;&lt;a href="../index.html#weiterempfehlen"&gt;Weiterempfehlen&lt;/a&gt;&lt;/li&gt;
          &lt;li&gt;&lt;a href="../about.html"&gt;Über die Karmeliten&lt;/a&gt;&lt;/li&gt;
        &lt;/ul&gt;
                        &lt;details class="settings_accessibility"&gt;
                          &lt;summary class="settings_accessibility_trigger" aria-label="Accessiblity Settings"&gt;
                            &lt;span class="material-symbols-outlined" aria-label="true"&gt;
                            settings
                            &lt;/span&gt;  
                            &lt;span class="material-symbols-outlined" aria-label="true"&gt;
                            settings_accessibility
                            &lt;/span&gt;                        
                          &lt;/summary&gt;
                &lt;nav class="settings_accessibility_list" aria-label="Sprachauswahl"&gt;
                &lt;button class="font-decrease theme-toggle" type="button" data-font-decrease aria-label="Schriftgröße verkleinern"&gt;
          A-
        &lt;/button&gt;
          &lt;button class="font-reset theme-toggle" type="button" data-font-reset aria-label="Schriftgröße zurücksetzen"&gt;
          A
        &lt;/button&gt; 
        &lt;button class="font-increase theme-toggle" type="button" data-font-increase aria-label="Schriftgröße vergrößern"&gt;
          A+
        &lt;/button&gt;
        &lt;button class="theme-toggle" type="button" data-theme-toggle aria-label="Farbschema wechseln"&gt;
          &lt;span class="theme-toggle__icon" aria-hidden="true"&gt;◐&lt;/span&gt;
        &lt;/button&gt;
                &lt;/nav&gt;
        &lt;/details&gt;
      &lt;/nav&gt;
          &lt;button class="nav-toggle" type="button" aria-expanded="false" aria-controls="main-navigation" aria-label="Menü öffnen"&gt;
          &lt;span&gt;&lt;/span&gt;
          &lt;span&gt;&lt;/span&gt;
          &lt;span&gt;&lt;/span&gt;
        &lt;/button&gt;
  &lt;details class="language-menu"&gt;
    &lt;summary class="language-menu__trigger" aria-label="Sprache auswählen"&gt;
      &lt;span aria-hidden="true"&gt;🌐&lt;/span&gt;
      &lt;span&gt;DE&lt;/span&gt;
      &lt;span class="language-menu__current"&gt;Deutsch&lt;/span&gt;
    &lt;/summary&gt;
    &lt;nav class="language-menu__list" aria-label="Sprachauswahl"&gt;
      &lt;a href="https://retraites.carmes-paris.org/" lang="fr" hreflang="fr"&gt;
        &lt;span class="language-flag" aria-hidden="true"&gt;🇫🇷&lt;/span&gt;
        &lt;span class="language-code"&gt;FR&lt;/span&gt;
        &lt;span&gt;Français&lt;/span&gt;
      &lt;/a&gt;
      &lt;a href="../de/" lang="de" hreflang="de" aria-current="page"&gt;
        &lt;span class="language-flag" aria-hidden="true"&gt;🇦🇹🇩🇪&lt;/span&gt;
        &lt;span class="language-code"&gt;DE&lt;/span&gt;
        &lt;span&gt;Deutsch&lt;/span&gt;
        &lt;span class="language-check" aria-hidden="true"&gt;✓&lt;/span&gt;
      &lt;/a&gt;
      &lt;a href="../es/" lang="es" hreflang="es"&gt;
        &lt;span class="language-flag" aria-hidden="true"&gt;🇪🇸&lt;/span&gt;
        &lt;span class="language-code"&gt;ES&lt;/span&gt;
        &lt;span&gt;Español&lt;/span&gt;
      &lt;/a&gt;
      &lt;a href="../it/" lang="it" hreflang="it"&gt;
        &lt;span class="language-flag" aria-hidden="true"&gt;🇮🇹&lt;/span&gt;
        &lt;span class="language-code"&gt;IT&lt;/span&gt;
        &lt;span&gt;Italiano&lt;/span&gt;
      &lt;/a&gt;
      &lt;a href="../en/" lang="en" hreflang="en"&gt;
        &lt;span class="language-flag" aria-hidden="true"&gt;🇬🇧🇺🇸&lt;/span&gt;
        &lt;span class="language-code"&gt;EN&lt;/span&gt;
        &lt;span&gt;English&lt;/span&gt;
      &lt;/a&gt;
      &lt;a href="../pl/" lang="pl" hreflang="pl"&gt;
        &lt;span class="language-flag" aria-hidden="true"&gt;🇵🇱&lt;/span&gt;
        &lt;span class="language-code"&gt;PL&lt;/span&gt;
        &lt;span&gt;Polski&lt;/span&gt;
      &lt;/a&gt;
      &lt;a href="../ar/" lang="ar" hreflang="ar" dir="rtl"&gt;
        &lt;span class="language-flag" aria-hidden="true"&gt;🇱🇧🇸🇦&lt;/span&gt;
        &lt;span class="language-code"&gt;AR&lt;/span&gt;
        &lt;span&gt;العربية&lt;/span&gt;
      &lt;/a&gt;
      &lt;a href="../pt/" lang="pt" hreflang="pt"&gt;
        &lt;span class="language-flag" aria-hidden="true"&gt;🇵🇹&lt;/span&gt;
        &lt;span class="language-code"&gt;PT&lt;/span&gt;
        &lt;span&gt;Português&lt;/span&gt;
      &lt;/a&gt;
      &lt;a href="../zh/" lang="zh" hreflang="zh"&gt;
        &lt;span class="language-flag" aria-hidden="true"&gt;🇨🇳&lt;/span&gt;
        &lt;span class="language-code"&gt;ZH&lt;/span&gt;
        &lt;span&gt;中文&lt;/span&gt;
      &lt;/a&gt;
      &lt;a href="../cs/" lang="cs" hreflang="cs"&gt;
        &lt;span class="language-flag" aria-hidden="true"&gt;🇨🇿&lt;/span&gt;
        &lt;span class="language-code"&gt;CS&lt;/span&gt;
        &lt;span&gt;Čeština&lt;/span&gt;
      &lt;/a&gt;
      &lt;a href="../hr/" lang="hr" hreflang="hr"&gt;
        &lt;span class="language-flag" aria-hidden="true"&gt;🇭🇷&lt;/span&gt;
        &lt;span class="language-code"&gt;HR&lt;/span&gt;
        &lt;span&gt;Hrvatski&lt;/span&gt;
      &lt;/a&gt;
      &lt;a href="../hu/" lang="hu" hreflang="hu"&gt;
        &lt;span class="language-flag" aria-hidden="true"&gt;🇭🇺&lt;/span&gt;
        &lt;span class="language-code"&gt;HU&lt;/span&gt;
        &lt;span&gt;Magyar&lt;/span&gt;
      &lt;/a&gt;
      &lt;a href="../mt/" lang="mt" hreflang="mt"&gt;
        &lt;span class="language-flag" aria-hidden="true"&gt;🇲🇹&lt;/span&gt;
        &lt;span class="language-code"&gt;MT&lt;/span&gt;
        &lt;span&gt;Malti&lt;/span&gt;
      &lt;/a&gt;
      &lt;a href="../nl/" lang="nl" hreflang="nl"&gt;
        &lt;span class="language-flag" aria-hidden="true"&gt;🇳🇱&lt;/span&gt;
        &lt;span class="language-code"&gt;NL&lt;/span&gt;
        &lt;span&gt;Nederlands&lt;/span&gt;
      &lt;/a&gt;
      &lt;a href="../ro/" lang="ro" hreflang="ro"&gt;
        &lt;span class="language-flag" aria-hidden="true"&gt;🇷🇴&lt;/span&gt;
        &lt;span class="language-code"&gt;RO&lt;/span&gt;
        &lt;span&gt;Română&lt;/span&gt;
      &lt;/a&gt;
      &lt;a href="../vi/" lang="vi" hreflang="vi"&gt;
        &lt;span class="language-flag" aria-hidden="true"&gt;🇻🇳&lt;/span&gt;
        &lt;span class="language-code"&gt;VI&lt;/span&gt;
        &lt;span&gt;Tiếng Việt&lt;/span&gt;
      &lt;/a&gt;
    &lt;/nav&gt;
  &lt;/details&gt;
&lt;/div&gt;
      &lt;/nav&gt;</v>
      </c>
      <c r="AD27" s="1" t="str">
        <f>header_block_de!$A1</f>
        <v>&lt;header class="moving-banner" aria-label="Decorative animated banner"&gt;
  &lt;div class="moving-banner__track"&gt;
    &lt;img src="../img/website_banner_wide_e.webp" alt=""&gt;
    &lt;img src="../img/website_banner_wide_e.webp" alt="" aria-hidden="true"&gt;
  &lt;/div&gt;
    &lt;/header&gt;
      &lt;nav class="header-inner"&gt;
        &lt;a href="#" class="brand" aria-label="Startseite"&gt;
          &lt;span class="brand-mark" aria-hidden="true"&gt;&lt;img src="../img/apple-touch-icon.png" style="border-radius: var(--radius-lg)"&gt;&lt;/span&gt;
          &lt;span class="brand-text"&gt;
            &lt;span class="brand-kicker"&gt;Teresianischer Karmel&lt;/span&gt;
            &lt;span class="brand-name"&gt;Online-Exerzitien&lt;/span&gt;
          &lt;/span&gt;
        &lt;/a&gt;
&lt;div class="header-actions"&gt;
            &lt;nav class="main-nav" id="main-navigation" aria-label="Hauptnavigation"&gt;
        &lt;ul&gt;
          &lt;li&gt;&lt;a href="../index.html"&gt;&lt;span class="material-symbols-outlined"&gt;home&lt;/span&gt;&lt;/a&gt;&lt;/li&gt;
          &lt;li&gt;&lt;a href="../index.html#signup-panel"&gt;Anmelden&lt;/a&gt;&lt;/li&gt;
          &lt;li&gt;&lt;a href="../index.html#aktuelleExerzitien"&gt;Aktuelle Exerzitien&lt;/a&gt;&lt;/li&gt;
          &lt;li&gt;&lt;a href="../index.html#saints-cards"&gt;Persönlichkeiten&lt;/a&gt;&lt;/li&gt;
          &lt;li&gt;&lt;a href="../index.html#archiv-cards"&gt;Archiv&lt;/a&gt;&lt;/li&gt;
          &lt;li&gt;&lt;a href="../index.html#faq"&gt;FAQ&lt;/a&gt;&lt;/li&gt;
          &lt;li&gt;&lt;a href="../index.html#weiterempfehlen"&gt;Weiterempfehlen&lt;/a&gt;&lt;/li&gt;
          &lt;li&gt;&lt;a href="../about.html"&gt;Über die Karmeliten&lt;/a&gt;&lt;/li&gt;
        &lt;/ul&gt;
                        &lt;details class="settings_accessibility"&gt;
                          &lt;summary class="settings_accessibility_trigger" aria-label="Accessiblity Settings"&gt;
                            &lt;span class="material-symbols-outlined" aria-label="true"&gt;
                            settings
                            &lt;/span&gt;  
                            &lt;span class="material-symbols-outlined" aria-label="true"&gt;
                            settings_accessibility
                            &lt;/span&gt;                        
                          &lt;/summary&gt;
                &lt;nav class="settings_accessibility_list" aria-label="Sprachauswahl"&gt;
                &lt;button class="font-decrease theme-toggle" type="button" data-font-decrease aria-label="Schriftgröße verkleinern"&gt;
          A-
        &lt;/button&gt;
          &lt;button class="font-reset theme-toggle" type="button" data-font-reset aria-label="Schriftgröße zurücksetzen"&gt;
          A
        &lt;/button&gt; 
        &lt;button class="font-increase theme-toggle" type="button" data-font-increase aria-label="Schriftgröße vergrößern"&gt;
          A+
        &lt;/button&gt;
        &lt;button class="theme-toggle" type="button" data-theme-toggle aria-label="Farbschema wechseln"&gt;
          &lt;span class="theme-toggle__icon" aria-hidden="true"&gt;◐&lt;/span&gt;
        &lt;/button&gt;
                &lt;/nav&gt;
        &lt;/details&gt;
      &lt;/nav&gt;
          &lt;button class="nav-toggle" type="button" aria-expanded="false" aria-controls="main-navigation" aria-label="Menü öffnen"&gt;
          &lt;span&gt;&lt;/span&gt;
          &lt;span&gt;&lt;/span&gt;
          &lt;span&gt;&lt;/span&gt;
        &lt;/button&gt;
  &lt;details class="language-menu"&gt;
    &lt;summary class="language-menu__trigger" aria-label="Sprache auswählen"&gt;
      &lt;span aria-hidden="true"&gt;🌐&lt;/span&gt;
      &lt;span&gt;DE&lt;/span&gt;
      &lt;span class="language-menu__current"&gt;Deutsch&lt;/span&gt;
    &lt;/summary&gt;
    &lt;nav class="language-menu__list" aria-label="Sprachauswahl"&gt;
      &lt;a href="https://retraites.carmes-paris.org/" lang="fr" hreflang="fr"&gt;
        &lt;span class="language-flag" aria-hidden="true"&gt;🇫🇷&lt;/span&gt;
        &lt;span class="language-code"&gt;FR&lt;/span&gt;
        &lt;span&gt;Français&lt;/span&gt;
      &lt;/a&gt;
      &lt;a href="../de/" lang="de" hreflang="de" aria-current="page"&gt;
        &lt;span class="language-flag" aria-hidden="true"&gt;🇦🇹🇩🇪&lt;/span&gt;
        &lt;span class="language-code"&gt;DE&lt;/span&gt;
        &lt;span&gt;Deutsch&lt;/span&gt;
        &lt;span class="language-check" aria-hidden="true"&gt;✓&lt;/span&gt;
      &lt;/a&gt;
      &lt;a href="../es/" lang="es" hreflang="es"&gt;
        &lt;span class="language-flag" aria-hidden="true"&gt;🇪🇸&lt;/span&gt;
        &lt;span class="language-code"&gt;ES&lt;/span&gt;
        &lt;span&gt;Español&lt;/span&gt;
      &lt;/a&gt;
      &lt;a href="../it/" lang="it" hreflang="it"&gt;
        &lt;span class="language-flag" aria-hidden="true"&gt;🇮🇹&lt;/span&gt;
        &lt;span class="language-code"&gt;IT&lt;/span&gt;
        &lt;span&gt;Italiano&lt;/span&gt;
      &lt;/a&gt;
      &lt;a href="../en/" lang="en" hreflang="en"&gt;
        &lt;span class="language-flag" aria-hidden="true"&gt;🇬🇧🇺🇸&lt;/span&gt;
        &lt;span class="language-code"&gt;EN&lt;/span&gt;
        &lt;span&gt;English&lt;/span&gt;
      &lt;/a&gt;
      &lt;a href="../pl/" lang="pl" hreflang="pl"&gt;
        &lt;span class="language-flag" aria-hidden="true"&gt;🇵🇱&lt;/span&gt;
        &lt;span class="language-code"&gt;PL&lt;/span&gt;
        &lt;span&gt;Polski&lt;/span&gt;
      &lt;/a&gt;
      &lt;a href="../ar/" lang="ar" hreflang="ar" dir="rtl"&gt;
        &lt;span class="language-flag" aria-hidden="true"&gt;🇱🇧🇸🇦&lt;/span&gt;
        &lt;span class="language-code"&gt;AR&lt;/span&gt;
        &lt;span&gt;العربية&lt;/span&gt;
      &lt;/a&gt;
      &lt;a href="../pt/" lang="pt" hreflang="pt"&gt;
        &lt;span class="language-flag" aria-hidden="true"&gt;🇵🇹&lt;/span&gt;
        &lt;span class="language-code"&gt;PT&lt;/span&gt;
        &lt;span&gt;Português&lt;/span&gt;
      &lt;/a&gt;
      &lt;a href="../zh/" lang="zh" hreflang="zh"&gt;
        &lt;span class="language-flag" aria-hidden="true"&gt;🇨🇳&lt;/span&gt;
        &lt;span class="language-code"&gt;ZH&lt;/span&gt;
        &lt;span&gt;中文&lt;/span&gt;
      &lt;/a&gt;
      &lt;a href="../cs/" lang="cs" hreflang="cs"&gt;
        &lt;span class="language-flag" aria-hidden="true"&gt;🇨🇿&lt;/span&gt;
        &lt;span class="language-code"&gt;CS&lt;/span&gt;
        &lt;span&gt;Čeština&lt;/span&gt;
      &lt;/a&gt;
      &lt;a href="../hr/" lang="hr" hreflang="hr"&gt;
        &lt;span class="language-flag" aria-hidden="true"&gt;🇭🇷&lt;/span&gt;
        &lt;span class="language-code"&gt;HR&lt;/span&gt;
        &lt;span&gt;Hrvatski&lt;/span&gt;
      &lt;/a&gt;
      &lt;a href="../hu/" lang="hu" hreflang="hu"&gt;
        &lt;span class="language-flag" aria-hidden="true"&gt;🇭🇺&lt;/span&gt;
        &lt;span class="language-code"&gt;HU&lt;/span&gt;
        &lt;span&gt;Magyar&lt;/span&gt;
      &lt;/a&gt;
      &lt;a href="../mt/" lang="mt" hreflang="mt"&gt;
        &lt;span class="language-flag" aria-hidden="true"&gt;🇲🇹&lt;/span&gt;
        &lt;span class="language-code"&gt;MT&lt;/span&gt;
        &lt;span&gt;Malti&lt;/span&gt;
      &lt;/a&gt;
      &lt;a href="../nl/" lang="nl" hreflang="nl"&gt;
        &lt;span class="language-flag" aria-hidden="true"&gt;🇳🇱&lt;/span&gt;
        &lt;span class="language-code"&gt;NL&lt;/span&gt;
        &lt;span&gt;Nederlands&lt;/span&gt;
      &lt;/a&gt;
      &lt;a href="../ro/" lang="ro" hreflang="ro"&gt;
        &lt;span class="language-flag" aria-hidden="true"&gt;🇷🇴&lt;/span&gt;
        &lt;span class="language-code"&gt;RO&lt;/span&gt;
        &lt;span&gt;Română&lt;/span&gt;
      &lt;/a&gt;
      &lt;a href="../vi/" lang="vi" hreflang="vi"&gt;
        &lt;span class="language-flag" aria-hidden="true"&gt;🇻🇳&lt;/span&gt;
        &lt;span class="language-code"&gt;VI&lt;/span&gt;
        &lt;span&gt;Tiếng Việt&lt;/span&gt;
      &lt;/a&gt;
    &lt;/nav&gt;
  &lt;/details&gt;
&lt;/div&gt;
      &lt;/nav&gt;</v>
      </c>
      <c r="AE27" s="1" t="str">
        <f>header_block_de!$A1</f>
        <v>&lt;header class="moving-banner" aria-label="Decorative animated banner"&gt;
  &lt;div class="moving-banner__track"&gt;
    &lt;img src="../img/website_banner_wide_e.webp" alt=""&gt;
    &lt;img src="../img/website_banner_wide_e.webp" alt="" aria-hidden="true"&gt;
  &lt;/div&gt;
    &lt;/header&gt;
      &lt;nav class="header-inner"&gt;
        &lt;a href="#" class="brand" aria-label="Startseite"&gt;
          &lt;span class="brand-mark" aria-hidden="true"&gt;&lt;img src="../img/apple-touch-icon.png" style="border-radius: var(--radius-lg)"&gt;&lt;/span&gt;
          &lt;span class="brand-text"&gt;
            &lt;span class="brand-kicker"&gt;Teresianischer Karmel&lt;/span&gt;
            &lt;span class="brand-name"&gt;Online-Exerzitien&lt;/span&gt;
          &lt;/span&gt;
        &lt;/a&gt;
&lt;div class="header-actions"&gt;
            &lt;nav class="main-nav" id="main-navigation" aria-label="Hauptnavigation"&gt;
        &lt;ul&gt;
          &lt;li&gt;&lt;a href="../index.html"&gt;&lt;span class="material-symbols-outlined"&gt;home&lt;/span&gt;&lt;/a&gt;&lt;/li&gt;
          &lt;li&gt;&lt;a href="../index.html#signup-panel"&gt;Anmelden&lt;/a&gt;&lt;/li&gt;
          &lt;li&gt;&lt;a href="../index.html#aktuelleExerzitien"&gt;Aktuelle Exerzitien&lt;/a&gt;&lt;/li&gt;
          &lt;li&gt;&lt;a href="../index.html#saints-cards"&gt;Persönlichkeiten&lt;/a&gt;&lt;/li&gt;
          &lt;li&gt;&lt;a href="../index.html#archiv-cards"&gt;Archiv&lt;/a&gt;&lt;/li&gt;
          &lt;li&gt;&lt;a href="../index.html#faq"&gt;FAQ&lt;/a&gt;&lt;/li&gt;
          &lt;li&gt;&lt;a href="../index.html#weiterempfehlen"&gt;Weiterempfehlen&lt;/a&gt;&lt;/li&gt;
          &lt;li&gt;&lt;a href="../about.html"&gt;Über die Karmeliten&lt;/a&gt;&lt;/li&gt;
        &lt;/ul&gt;
                        &lt;details class="settings_accessibility"&gt;
                          &lt;summary class="settings_accessibility_trigger" aria-label="Accessiblity Settings"&gt;
                            &lt;span class="material-symbols-outlined" aria-label="true"&gt;
                            settings
                            &lt;/span&gt;  
                            &lt;span class="material-symbols-outlined" aria-label="true"&gt;
                            settings_accessibility
                            &lt;/span&gt;                        
                          &lt;/summary&gt;
                &lt;nav class="settings_accessibility_list" aria-label="Sprachauswahl"&gt;
                &lt;button class="font-decrease theme-toggle" type="button" data-font-decrease aria-label="Schriftgröße verkleinern"&gt;
          A-
        &lt;/button&gt;
          &lt;button class="font-reset theme-toggle" type="button" data-font-reset aria-label="Schriftgröße zurücksetzen"&gt;
          A
        &lt;/button&gt; 
        &lt;button class="font-increase theme-toggle" type="button" data-font-increase aria-label="Schriftgröße vergrößern"&gt;
          A+
        &lt;/button&gt;
        &lt;button class="theme-toggle" type="button" data-theme-toggle aria-label="Farbschema wechseln"&gt;
          &lt;span class="theme-toggle__icon" aria-hidden="true"&gt;◐&lt;/span&gt;
        &lt;/button&gt;
                &lt;/nav&gt;
        &lt;/details&gt;
      &lt;/nav&gt;
          &lt;button class="nav-toggle" type="button" aria-expanded="false" aria-controls="main-navigation" aria-label="Menü öffnen"&gt;
          &lt;span&gt;&lt;/span&gt;
          &lt;span&gt;&lt;/span&gt;
          &lt;span&gt;&lt;/span&gt;
        &lt;/button&gt;
  &lt;details class="language-menu"&gt;
    &lt;summary class="language-menu__trigger" aria-label="Sprache auswählen"&gt;
      &lt;span aria-hidden="true"&gt;🌐&lt;/span&gt;
      &lt;span&gt;DE&lt;/span&gt;
      &lt;span class="language-menu__current"&gt;Deutsch&lt;/span&gt;
    &lt;/summary&gt;
    &lt;nav class="language-menu__list" aria-label="Sprachauswahl"&gt;
      &lt;a href="https://retraites.carmes-paris.org/" lang="fr" hreflang="fr"&gt;
        &lt;span class="language-flag" aria-hidden="true"&gt;🇫🇷&lt;/span&gt;
        &lt;span class="language-code"&gt;FR&lt;/span&gt;
        &lt;span&gt;Français&lt;/span&gt;
      &lt;/a&gt;
      &lt;a href="../de/" lang="de" hreflang="de" aria-current="page"&gt;
        &lt;span class="language-flag" aria-hidden="true"&gt;🇦🇹🇩🇪&lt;/span&gt;
        &lt;span class="language-code"&gt;DE&lt;/span&gt;
        &lt;span&gt;Deutsch&lt;/span&gt;
        &lt;span class="language-check" aria-hidden="true"&gt;✓&lt;/span&gt;
      &lt;/a&gt;
      &lt;a href="../es/" lang="es" hreflang="es"&gt;
        &lt;span class="language-flag" aria-hidden="true"&gt;🇪🇸&lt;/span&gt;
        &lt;span class="language-code"&gt;ES&lt;/span&gt;
        &lt;span&gt;Español&lt;/span&gt;
      &lt;/a&gt;
      &lt;a href="../it/" lang="it" hreflang="it"&gt;
        &lt;span class="language-flag" aria-hidden="true"&gt;🇮🇹&lt;/span&gt;
        &lt;span class="language-code"&gt;IT&lt;/span&gt;
        &lt;span&gt;Italiano&lt;/span&gt;
      &lt;/a&gt;
      &lt;a href="../en/" lang="en" hreflang="en"&gt;
        &lt;span class="language-flag" aria-hidden="true"&gt;🇬🇧🇺🇸&lt;/span&gt;
        &lt;span class="language-code"&gt;EN&lt;/span&gt;
        &lt;span&gt;English&lt;/span&gt;
      &lt;/a&gt;
      &lt;a href="../pl/" lang="pl" hreflang="pl"&gt;
        &lt;span class="language-flag" aria-hidden="true"&gt;🇵🇱&lt;/span&gt;
        &lt;span class="language-code"&gt;PL&lt;/span&gt;
        &lt;span&gt;Polski&lt;/span&gt;
      &lt;/a&gt;
      &lt;a href="../ar/" lang="ar" hreflang="ar" dir="rtl"&gt;
        &lt;span class="language-flag" aria-hidden="true"&gt;🇱🇧🇸🇦&lt;/span&gt;
        &lt;span class="language-code"&gt;AR&lt;/span&gt;
        &lt;span&gt;العربية&lt;/span&gt;
      &lt;/a&gt;
      &lt;a href="../pt/" lang="pt" hreflang="pt"&gt;
        &lt;span class="language-flag" aria-hidden="true"&gt;🇵🇹&lt;/span&gt;
        &lt;span class="language-code"&gt;PT&lt;/span&gt;
        &lt;span&gt;Português&lt;/span&gt;
      &lt;/a&gt;
      &lt;a href="../zh/" lang="zh" hreflang="zh"&gt;
        &lt;span class="language-flag" aria-hidden="true"&gt;🇨🇳&lt;/span&gt;
        &lt;span class="language-code"&gt;ZH&lt;/span&gt;
        &lt;span&gt;中文&lt;/span&gt;
      &lt;/a&gt;
      &lt;a href="../cs/" lang="cs" hreflang="cs"&gt;
        &lt;span class="language-flag" aria-hidden="true"&gt;🇨🇿&lt;/span&gt;
        &lt;span class="language-code"&gt;CS&lt;/span&gt;
        &lt;span&gt;Čeština&lt;/span&gt;
      &lt;/a&gt;
      &lt;a href="../hr/" lang="hr" hreflang="hr"&gt;
        &lt;span class="language-flag" aria-hidden="true"&gt;🇭🇷&lt;/span&gt;
        &lt;span class="language-code"&gt;HR&lt;/span&gt;
        &lt;span&gt;Hrvatski&lt;/span&gt;
      &lt;/a&gt;
      &lt;a href="../hu/" lang="hu" hreflang="hu"&gt;
        &lt;span class="language-flag" aria-hidden="true"&gt;🇭🇺&lt;/span&gt;
        &lt;span class="language-code"&gt;HU&lt;/span&gt;
        &lt;span&gt;Magyar&lt;/span&gt;
      &lt;/a&gt;
      &lt;a href="../mt/" lang="mt" hreflang="mt"&gt;
        &lt;span class="language-flag" aria-hidden="true"&gt;🇲🇹&lt;/span&gt;
        &lt;span class="language-code"&gt;MT&lt;/span&gt;
        &lt;span&gt;Malti&lt;/span&gt;
      &lt;/a&gt;
      &lt;a href="../nl/" lang="nl" hreflang="nl"&gt;
        &lt;span class="language-flag" aria-hidden="true"&gt;🇳🇱&lt;/span&gt;
        &lt;span class="language-code"&gt;NL&lt;/span&gt;
        &lt;span&gt;Nederlands&lt;/span&gt;
      &lt;/a&gt;
      &lt;a href="../ro/" lang="ro" hreflang="ro"&gt;
        &lt;span class="language-flag" aria-hidden="true"&gt;🇷🇴&lt;/span&gt;
        &lt;span class="language-code"&gt;RO&lt;/span&gt;
        &lt;span&gt;Română&lt;/span&gt;
      &lt;/a&gt;
      &lt;a href="../vi/" lang="vi" hreflang="vi"&gt;
        &lt;span class="language-flag" aria-hidden="true"&gt;🇻🇳&lt;/span&gt;
        &lt;span class="language-code"&gt;VI&lt;/span&gt;
        &lt;span&gt;Tiếng Việt&lt;/span&gt;
      &lt;/a&gt;
    &lt;/nav&gt;
  &lt;/details&gt;
&lt;/div&gt;
      &lt;/nav&gt;</v>
      </c>
      <c r="AF27" s="1" t="str">
        <f>header_block_de!$A1</f>
        <v>&lt;header class="moving-banner" aria-label="Decorative animated banner"&gt;
  &lt;div class="moving-banner__track"&gt;
    &lt;img src="../img/website_banner_wide_e.webp" alt=""&gt;
    &lt;img src="../img/website_banner_wide_e.webp" alt="" aria-hidden="true"&gt;
  &lt;/div&gt;
    &lt;/header&gt;
      &lt;nav class="header-inner"&gt;
        &lt;a href="#" class="brand" aria-label="Startseite"&gt;
          &lt;span class="brand-mark" aria-hidden="true"&gt;&lt;img src="../img/apple-touch-icon.png" style="border-radius: var(--radius-lg)"&gt;&lt;/span&gt;
          &lt;span class="brand-text"&gt;
            &lt;span class="brand-kicker"&gt;Teresianischer Karmel&lt;/span&gt;
            &lt;span class="brand-name"&gt;Online-Exerzitien&lt;/span&gt;
          &lt;/span&gt;
        &lt;/a&gt;
&lt;div class="header-actions"&gt;
            &lt;nav class="main-nav" id="main-navigation" aria-label="Hauptnavigation"&gt;
        &lt;ul&gt;
          &lt;li&gt;&lt;a href="../index.html"&gt;&lt;span class="material-symbols-outlined"&gt;home&lt;/span&gt;&lt;/a&gt;&lt;/li&gt;
          &lt;li&gt;&lt;a href="../index.html#signup-panel"&gt;Anmelden&lt;/a&gt;&lt;/li&gt;
          &lt;li&gt;&lt;a href="../index.html#aktuelleExerzitien"&gt;Aktuelle Exerzitien&lt;/a&gt;&lt;/li&gt;
          &lt;li&gt;&lt;a href="../index.html#saints-cards"&gt;Persönlichkeiten&lt;/a&gt;&lt;/li&gt;
          &lt;li&gt;&lt;a href="../index.html#archiv-cards"&gt;Archiv&lt;/a&gt;&lt;/li&gt;
          &lt;li&gt;&lt;a href="../index.html#faq"&gt;FAQ&lt;/a&gt;&lt;/li&gt;
          &lt;li&gt;&lt;a href="../index.html#weiterempfehlen"&gt;Weiterempfehlen&lt;/a&gt;&lt;/li&gt;
          &lt;li&gt;&lt;a href="../about.html"&gt;Über die Karmeliten&lt;/a&gt;&lt;/li&gt;
        &lt;/ul&gt;
                        &lt;details class="settings_accessibility"&gt;
                          &lt;summary class="settings_accessibility_trigger" aria-label="Accessiblity Settings"&gt;
                            &lt;span class="material-symbols-outlined" aria-label="true"&gt;
                            settings
                            &lt;/span&gt;  
                            &lt;span class="material-symbols-outlined" aria-label="true"&gt;
                            settings_accessibility
                            &lt;/span&gt;                        
                          &lt;/summary&gt;
                &lt;nav class="settings_accessibility_list" aria-label="Sprachauswahl"&gt;
                &lt;button class="font-decrease theme-toggle" type="button" data-font-decrease aria-label="Schriftgröße verkleinern"&gt;
          A-
        &lt;/button&gt;
          &lt;button class="font-reset theme-toggle" type="button" data-font-reset aria-label="Schriftgröße zurücksetzen"&gt;
          A
        &lt;/button&gt; 
        &lt;button class="font-increase theme-toggle" type="button" data-font-increase aria-label="Schriftgröße vergrößern"&gt;
          A+
        &lt;/button&gt;
        &lt;button class="theme-toggle" type="button" data-theme-toggle aria-label="Farbschema wechseln"&gt;
          &lt;span class="theme-toggle__icon" aria-hidden="true"&gt;◐&lt;/span&gt;
        &lt;/button&gt;
                &lt;/nav&gt;
        &lt;/details&gt;
      &lt;/nav&gt;
          &lt;button class="nav-toggle" type="button" aria-expanded="false" aria-controls="main-navigation" aria-label="Menü öffnen"&gt;
          &lt;span&gt;&lt;/span&gt;
          &lt;span&gt;&lt;/span&gt;
          &lt;span&gt;&lt;/span&gt;
        &lt;/button&gt;
  &lt;details class="language-menu"&gt;
    &lt;summary class="language-menu__trigger" aria-label="Sprache auswählen"&gt;
      &lt;span aria-hidden="true"&gt;🌐&lt;/span&gt;
      &lt;span&gt;DE&lt;/span&gt;
      &lt;span class="language-menu__current"&gt;Deutsch&lt;/span&gt;
    &lt;/summary&gt;
    &lt;nav class="language-menu__list" aria-label="Sprachauswahl"&gt;
      &lt;a href="https://retraites.carmes-paris.org/" lang="fr" hreflang="fr"&gt;
        &lt;span class="language-flag" aria-hidden="true"&gt;🇫🇷&lt;/span&gt;
        &lt;span class="language-code"&gt;FR&lt;/span&gt;
        &lt;span&gt;Français&lt;/span&gt;
      &lt;/a&gt;
      &lt;a href="../de/" lang="de" hreflang="de" aria-current="page"&gt;
        &lt;span class="language-flag" aria-hidden="true"&gt;🇦🇹🇩🇪&lt;/span&gt;
        &lt;span class="language-code"&gt;DE&lt;/span&gt;
        &lt;span&gt;Deutsch&lt;/span&gt;
        &lt;span class="language-check" aria-hidden="true"&gt;✓&lt;/span&gt;
      &lt;/a&gt;
      &lt;a href="../es/" lang="es" hreflang="es"&gt;
        &lt;span class="language-flag" aria-hidden="true"&gt;🇪🇸&lt;/span&gt;
        &lt;span class="language-code"&gt;ES&lt;/span&gt;
        &lt;span&gt;Español&lt;/span&gt;
      &lt;/a&gt;
      &lt;a href="../it/" lang="it" hreflang="it"&gt;
        &lt;span class="language-flag" aria-hidden="true"&gt;🇮🇹&lt;/span&gt;
        &lt;span class="language-code"&gt;IT&lt;/span&gt;
        &lt;span&gt;Italiano&lt;/span&gt;
      &lt;/a&gt;
      &lt;a href="../en/" lang="en" hreflang="en"&gt;
        &lt;span class="language-flag" aria-hidden="true"&gt;🇬🇧🇺🇸&lt;/span&gt;
        &lt;span class="language-code"&gt;EN&lt;/span&gt;
        &lt;span&gt;English&lt;/span&gt;
      &lt;/a&gt;
      &lt;a href="../pl/" lang="pl" hreflang="pl"&gt;
        &lt;span class="language-flag" aria-hidden="true"&gt;🇵🇱&lt;/span&gt;
        &lt;span class="language-code"&gt;PL&lt;/span&gt;
        &lt;span&gt;Polski&lt;/span&gt;
      &lt;/a&gt;
      &lt;a href="../ar/" lang="ar" hreflang="ar" dir="rtl"&gt;
        &lt;span class="language-flag" aria-hidden="true"&gt;🇱🇧🇸🇦&lt;/span&gt;
        &lt;span class="language-code"&gt;AR&lt;/span&gt;
        &lt;span&gt;العربية&lt;/span&gt;
      &lt;/a&gt;
      &lt;a href="../pt/" lang="pt" hreflang="pt"&gt;
        &lt;span class="language-flag" aria-hidden="true"&gt;🇵🇹&lt;/span&gt;
        &lt;span class="language-code"&gt;PT&lt;/span&gt;
        &lt;span&gt;Português&lt;/span&gt;
      &lt;/a&gt;
      &lt;a href="../zh/" lang="zh" hreflang="zh"&gt;
        &lt;span class="language-flag" aria-hidden="true"&gt;🇨🇳&lt;/span&gt;
        &lt;span class="language-code"&gt;ZH&lt;/span&gt;
        &lt;span&gt;中文&lt;/span&gt;
      &lt;/a&gt;
      &lt;a href="../cs/" lang="cs" hreflang="cs"&gt;
        &lt;span class="language-flag" aria-hidden="true"&gt;🇨🇿&lt;/span&gt;
        &lt;span class="language-code"&gt;CS&lt;/span&gt;
        &lt;span&gt;Čeština&lt;/span&gt;
      &lt;/a&gt;
      &lt;a href="../hr/" lang="hr" hreflang="hr"&gt;
        &lt;span class="language-flag" aria-hidden="true"&gt;🇭🇷&lt;/span&gt;
        &lt;span class="language-code"&gt;HR&lt;/span&gt;
        &lt;span&gt;Hrvatski&lt;/span&gt;
      &lt;/a&gt;
      &lt;a href="../hu/" lang="hu" hreflang="hu"&gt;
        &lt;span class="language-flag" aria-hidden="true"&gt;🇭🇺&lt;/span&gt;
        &lt;span class="language-code"&gt;HU&lt;/span&gt;
        &lt;span&gt;Magyar&lt;/span&gt;
      &lt;/a&gt;
      &lt;a href="../mt/" lang="mt" hreflang="mt"&gt;
        &lt;span class="language-flag" aria-hidden="true"&gt;🇲🇹&lt;/span&gt;
        &lt;span class="language-code"&gt;MT&lt;/span&gt;
        &lt;span&gt;Malti&lt;/span&gt;
      &lt;/a&gt;
      &lt;a href="../nl/" lang="nl" hreflang="nl"&gt;
        &lt;span class="language-flag" aria-hidden="true"&gt;🇳🇱&lt;/span&gt;
        &lt;span class="language-code"&gt;NL&lt;/span&gt;
        &lt;span&gt;Nederlands&lt;/span&gt;
      &lt;/a&gt;
      &lt;a href="../ro/" lang="ro" hreflang="ro"&gt;
        &lt;span class="language-flag" aria-hidden="true"&gt;🇷🇴&lt;/span&gt;
        &lt;span class="language-code"&gt;RO&lt;/span&gt;
        &lt;span&gt;Română&lt;/span&gt;
      &lt;/a&gt;
      &lt;a href="../vi/" lang="vi" hreflang="vi"&gt;
        &lt;span class="language-flag" aria-hidden="true"&gt;🇻🇳&lt;/span&gt;
        &lt;span class="language-code"&gt;VI&lt;/span&gt;
        &lt;span&gt;Tiếng Việt&lt;/span&gt;
      &lt;/a&gt;
    &lt;/nav&gt;
  &lt;/details&gt;
&lt;/div&gt;
      &lt;/nav&gt;</v>
      </c>
      <c r="AG27" s="1" t="str">
        <f>header_block_de!$A1</f>
        <v>&lt;header class="moving-banner" aria-label="Decorative animated banner"&gt;
  &lt;div class="moving-banner__track"&gt;
    &lt;img src="../img/website_banner_wide_e.webp" alt=""&gt;
    &lt;img src="../img/website_banner_wide_e.webp" alt="" aria-hidden="true"&gt;
  &lt;/div&gt;
    &lt;/header&gt;
      &lt;nav class="header-inner"&gt;
        &lt;a href="#" class="brand" aria-label="Startseite"&gt;
          &lt;span class="brand-mark" aria-hidden="true"&gt;&lt;img src="../img/apple-touch-icon.png" style="border-radius: var(--radius-lg)"&gt;&lt;/span&gt;
          &lt;span class="brand-text"&gt;
            &lt;span class="brand-kicker"&gt;Teresianischer Karmel&lt;/span&gt;
            &lt;span class="brand-name"&gt;Online-Exerzitien&lt;/span&gt;
          &lt;/span&gt;
        &lt;/a&gt;
&lt;div class="header-actions"&gt;
            &lt;nav class="main-nav" id="main-navigation" aria-label="Hauptnavigation"&gt;
        &lt;ul&gt;
          &lt;li&gt;&lt;a href="../index.html"&gt;&lt;span class="material-symbols-outlined"&gt;home&lt;/span&gt;&lt;/a&gt;&lt;/li&gt;
          &lt;li&gt;&lt;a href="../index.html#signup-panel"&gt;Anmelden&lt;/a&gt;&lt;/li&gt;
          &lt;li&gt;&lt;a href="../index.html#aktuelleExerzitien"&gt;Aktuelle Exerzitien&lt;/a&gt;&lt;/li&gt;
          &lt;li&gt;&lt;a href="../index.html#saints-cards"&gt;Persönlichkeiten&lt;/a&gt;&lt;/li&gt;
          &lt;li&gt;&lt;a href="../index.html#archiv-cards"&gt;Archiv&lt;/a&gt;&lt;/li&gt;
          &lt;li&gt;&lt;a href="../index.html#faq"&gt;FAQ&lt;/a&gt;&lt;/li&gt;
          &lt;li&gt;&lt;a href="../index.html#weiterempfehlen"&gt;Weiterempfehlen&lt;/a&gt;&lt;/li&gt;
          &lt;li&gt;&lt;a href="../about.html"&gt;Über die Karmeliten&lt;/a&gt;&lt;/li&gt;
        &lt;/ul&gt;
                        &lt;details class="settings_accessibility"&gt;
                          &lt;summary class="settings_accessibility_trigger" aria-label="Accessiblity Settings"&gt;
                            &lt;span class="material-symbols-outlined" aria-label="true"&gt;
                            settings
                            &lt;/span&gt;  
                            &lt;span class="material-symbols-outlined" aria-label="true"&gt;
                            settings_accessibility
                            &lt;/span&gt;                        
                          &lt;/summary&gt;
                &lt;nav class="settings_accessibility_list" aria-label="Sprachauswahl"&gt;
                &lt;button class="font-decrease theme-toggle" type="button" data-font-decrease aria-label="Schriftgröße verkleinern"&gt;
          A-
        &lt;/button&gt;
          &lt;button class="font-reset theme-toggle" type="button" data-font-reset aria-label="Schriftgröße zurücksetzen"&gt;
          A
        &lt;/button&gt; 
        &lt;button class="font-increase theme-toggle" type="button" data-font-increase aria-label="Schriftgröße vergrößern"&gt;
          A+
        &lt;/button&gt;
        &lt;button class="theme-toggle" type="button" data-theme-toggle aria-label="Farbschema wechseln"&gt;
          &lt;span class="theme-toggle__icon" aria-hidden="true"&gt;◐&lt;/span&gt;
        &lt;/button&gt;
                &lt;/nav&gt;
        &lt;/details&gt;
      &lt;/nav&gt;
          &lt;button class="nav-toggle" type="button" aria-expanded="false" aria-controls="main-navigation" aria-label="Menü öffnen"&gt;
          &lt;span&gt;&lt;/span&gt;
          &lt;span&gt;&lt;/span&gt;
          &lt;span&gt;&lt;/span&gt;
        &lt;/button&gt;
  &lt;details class="language-menu"&gt;
    &lt;summary class="language-menu__trigger" aria-label="Sprache auswählen"&gt;
      &lt;span aria-hidden="true"&gt;🌐&lt;/span&gt;
      &lt;span&gt;DE&lt;/span&gt;
      &lt;span class="language-menu__current"&gt;Deutsch&lt;/span&gt;
    &lt;/summary&gt;
    &lt;nav class="language-menu__list" aria-label="Sprachauswahl"&gt;
      &lt;a href="https://retraites.carmes-paris.org/" lang="fr" hreflang="fr"&gt;
        &lt;span class="language-flag" aria-hidden="true"&gt;🇫🇷&lt;/span&gt;
        &lt;span class="language-code"&gt;FR&lt;/span&gt;
        &lt;span&gt;Français&lt;/span&gt;
      &lt;/a&gt;
      &lt;a href="../de/" lang="de" hreflang="de" aria-current="page"&gt;
        &lt;span class="language-flag" aria-hidden="true"&gt;🇦🇹🇩🇪&lt;/span&gt;
        &lt;span class="language-code"&gt;DE&lt;/span&gt;
        &lt;span&gt;Deutsch&lt;/span&gt;
        &lt;span class="language-check" aria-hidden="true"&gt;✓&lt;/span&gt;
      &lt;/a&gt;
      &lt;a href="../es/" lang="es" hreflang="es"&gt;
        &lt;span class="language-flag" aria-hidden="true"&gt;🇪🇸&lt;/span&gt;
        &lt;span class="language-code"&gt;ES&lt;/span&gt;
        &lt;span&gt;Español&lt;/span&gt;
      &lt;/a&gt;
      &lt;a href="../it/" lang="it" hreflang="it"&gt;
        &lt;span class="language-flag" aria-hidden="true"&gt;🇮🇹&lt;/span&gt;
        &lt;span class="language-code"&gt;IT&lt;/span&gt;
        &lt;span&gt;Italiano&lt;/span&gt;
      &lt;/a&gt;
      &lt;a href="../en/" lang="en" hreflang="en"&gt;
        &lt;span class="language-flag" aria-hidden="true"&gt;🇬🇧🇺🇸&lt;/span&gt;
        &lt;span class="language-code"&gt;EN&lt;/span&gt;
        &lt;span&gt;English&lt;/span&gt;
      &lt;/a&gt;
      &lt;a href="../pl/" lang="pl" hreflang="pl"&gt;
        &lt;span class="language-flag" aria-hidden="true"&gt;🇵🇱&lt;/span&gt;
        &lt;span class="language-code"&gt;PL&lt;/span&gt;
        &lt;span&gt;Polski&lt;/span&gt;
      &lt;/a&gt;
      &lt;a href="../ar/" lang="ar" hreflang="ar" dir="rtl"&gt;
        &lt;span class="language-flag" aria-hidden="true"&gt;🇱🇧🇸🇦&lt;/span&gt;
        &lt;span class="language-code"&gt;AR&lt;/span&gt;
        &lt;span&gt;العربية&lt;/span&gt;
      &lt;/a&gt;
      &lt;a href="../pt/" lang="pt" hreflang="pt"&gt;
        &lt;span class="language-flag" aria-hidden="true"&gt;🇵🇹&lt;/span&gt;
        &lt;span class="language-code"&gt;PT&lt;/span&gt;
        &lt;span&gt;Português&lt;/span&gt;
      &lt;/a&gt;
      &lt;a href="../zh/" lang="zh" hreflang="zh"&gt;
        &lt;span class="language-flag" aria-hidden="true"&gt;🇨🇳&lt;/span&gt;
        &lt;span class="language-code"&gt;ZH&lt;/span&gt;
        &lt;span&gt;中文&lt;/span&gt;
      &lt;/a&gt;
      &lt;a href="../cs/" lang="cs" hreflang="cs"&gt;
        &lt;span class="language-flag" aria-hidden="true"&gt;🇨🇿&lt;/span&gt;
        &lt;span class="language-code"&gt;CS&lt;/span&gt;
        &lt;span&gt;Čeština&lt;/span&gt;
      &lt;/a&gt;
      &lt;a href="../hr/" lang="hr" hreflang="hr"&gt;
        &lt;span class="language-flag" aria-hidden="true"&gt;🇭🇷&lt;/span&gt;
        &lt;span class="language-code"&gt;HR&lt;/span&gt;
        &lt;span&gt;Hrvatski&lt;/span&gt;
      &lt;/a&gt;
      &lt;a href="../hu/" lang="hu" hreflang="hu"&gt;
        &lt;span class="language-flag" aria-hidden="true"&gt;🇭🇺&lt;/span&gt;
        &lt;span class="language-code"&gt;HU&lt;/span&gt;
        &lt;span&gt;Magyar&lt;/span&gt;
      &lt;/a&gt;
      &lt;a href="../mt/" lang="mt" hreflang="mt"&gt;
        &lt;span class="language-flag" aria-hidden="true"&gt;🇲🇹&lt;/span&gt;
        &lt;span class="language-code"&gt;MT&lt;/span&gt;
        &lt;span&gt;Malti&lt;/span&gt;
      &lt;/a&gt;
      &lt;a href="../nl/" lang="nl" hreflang="nl"&gt;
        &lt;span class="language-flag" aria-hidden="true"&gt;🇳🇱&lt;/span&gt;
        &lt;span class="language-code"&gt;NL&lt;/span&gt;
        &lt;span&gt;Nederlands&lt;/span&gt;
      &lt;/a&gt;
      &lt;a href="../ro/" lang="ro" hreflang="ro"&gt;
        &lt;span class="language-flag" aria-hidden="true"&gt;🇷🇴&lt;/span&gt;
        &lt;span class="language-code"&gt;RO&lt;/span&gt;
        &lt;span&gt;Română&lt;/span&gt;
      &lt;/a&gt;
      &lt;a href="../vi/" lang="vi" hreflang="vi"&gt;
        &lt;span class="language-flag" aria-hidden="true"&gt;🇻🇳&lt;/span&gt;
        &lt;span class="language-code"&gt;VI&lt;/span&gt;
        &lt;span&gt;Tiếng Việt&lt;/span&gt;
      &lt;/a&gt;
    &lt;/nav&gt;
  &lt;/details&gt;
&lt;/div&gt;
      &lt;/nav&gt;</v>
      </c>
    </row>
    <row r="28" spans="2:33" x14ac:dyDescent="0.25">
      <c r="B28" s="4" t="s">
        <v>657</v>
      </c>
      <c r="C28" t="s">
        <v>657</v>
      </c>
      <c r="D28" t="s">
        <v>657</v>
      </c>
      <c r="G28" s="1"/>
      <c r="H28" s="1"/>
      <c r="I28" s="1"/>
      <c r="J28" s="1"/>
      <c r="K28" s="1"/>
      <c r="L28" s="1"/>
      <c r="M28" s="1"/>
      <c r="N28" s="1"/>
      <c r="O28" s="1"/>
      <c r="P28" s="1"/>
      <c r="Q28" s="1"/>
      <c r="R28" s="1"/>
      <c r="S28" s="1"/>
      <c r="T28" s="1"/>
      <c r="U28" s="1"/>
      <c r="V28" s="1"/>
      <c r="W28" s="1"/>
      <c r="X28" s="1"/>
      <c r="Y28" s="1"/>
      <c r="Z28" s="1"/>
      <c r="AA28" s="1"/>
      <c r="AB28" s="1"/>
      <c r="AC28" s="1"/>
      <c r="AD28" s="1"/>
      <c r="AE28" s="1"/>
      <c r="AF28" s="1"/>
      <c r="AG28" s="1"/>
    </row>
    <row r="29" spans="2:33" x14ac:dyDescent="0.25">
      <c r="B29" s="4" t="s">
        <v>803</v>
      </c>
      <c r="C29" t="s">
        <v>803</v>
      </c>
      <c r="D29" t="s">
        <v>803</v>
      </c>
      <c r="G29" s="1"/>
      <c r="H29" s="1"/>
      <c r="I29" s="1"/>
      <c r="J29" s="1"/>
      <c r="K29" s="1"/>
      <c r="L29" s="1"/>
      <c r="M29" s="1"/>
      <c r="N29" s="1"/>
      <c r="O29" s="1"/>
      <c r="P29" s="1"/>
      <c r="Q29" s="1"/>
      <c r="R29" s="1"/>
      <c r="S29" s="1"/>
      <c r="T29" s="1"/>
      <c r="U29" s="1"/>
      <c r="V29" s="1"/>
      <c r="W29" s="1"/>
      <c r="X29" s="1"/>
      <c r="Y29" s="1"/>
      <c r="Z29" s="1"/>
      <c r="AA29" s="1"/>
      <c r="AB29" s="1"/>
      <c r="AC29" s="1"/>
      <c r="AD29" s="1"/>
      <c r="AE29" s="1"/>
      <c r="AF29" s="1"/>
      <c r="AG29" s="1"/>
    </row>
    <row r="30" spans="2:33" x14ac:dyDescent="0.25">
      <c r="B30" s="4" t="s">
        <v>117</v>
      </c>
      <c r="C30" t="s">
        <v>117</v>
      </c>
      <c r="D30" t="s">
        <v>117</v>
      </c>
      <c r="G30" s="1"/>
      <c r="H30" s="1"/>
      <c r="I30" s="1"/>
      <c r="J30" s="1"/>
      <c r="K30" s="1"/>
      <c r="L30" s="1"/>
      <c r="M30" s="1"/>
      <c r="N30" s="1"/>
      <c r="O30" s="1"/>
      <c r="P30" s="1"/>
      <c r="Q30" s="1"/>
      <c r="R30" s="1"/>
      <c r="S30" s="1"/>
      <c r="T30" s="1"/>
      <c r="U30" s="1"/>
      <c r="V30" s="1"/>
      <c r="W30" s="1"/>
      <c r="X30" s="1"/>
      <c r="Y30" s="1"/>
      <c r="Z30" s="1"/>
      <c r="AA30" s="1"/>
      <c r="AB30" s="1"/>
      <c r="AC30" s="1"/>
      <c r="AD30" s="1"/>
      <c r="AE30" s="1"/>
      <c r="AF30" s="1"/>
      <c r="AG30" s="1"/>
    </row>
    <row r="31" spans="2:33" x14ac:dyDescent="0.25">
      <c r="B31" s="4" t="s">
        <v>658</v>
      </c>
      <c r="C31" t="s">
        <v>658</v>
      </c>
      <c r="D31" t="s">
        <v>658</v>
      </c>
      <c r="G31" s="1"/>
      <c r="H31" s="1"/>
      <c r="I31" s="1"/>
      <c r="J31" s="1"/>
      <c r="K31" s="1"/>
      <c r="L31" s="1"/>
      <c r="M31" s="1"/>
      <c r="N31" s="1"/>
      <c r="O31" s="1"/>
      <c r="P31" s="1"/>
      <c r="Q31" s="1"/>
      <c r="R31" s="1"/>
      <c r="S31" s="1"/>
      <c r="T31" s="1"/>
      <c r="U31" s="1"/>
      <c r="V31" s="1"/>
      <c r="W31" s="1"/>
      <c r="X31" s="1"/>
      <c r="Y31" s="1"/>
      <c r="Z31" s="1"/>
      <c r="AA31" s="1"/>
      <c r="AB31" s="1"/>
      <c r="AC31" s="1"/>
      <c r="AD31" s="1"/>
      <c r="AE31" s="1"/>
      <c r="AF31" s="1"/>
      <c r="AG31" s="1"/>
    </row>
    <row r="32" spans="2:33" x14ac:dyDescent="0.25">
      <c r="B32" s="4" t="s">
        <v>659</v>
      </c>
      <c r="C32" t="s">
        <v>659</v>
      </c>
      <c r="D32" t="s">
        <v>659</v>
      </c>
      <c r="G32" s="1"/>
      <c r="H32" s="1"/>
      <c r="I32" s="1"/>
      <c r="J32" s="1"/>
      <c r="K32" s="1"/>
      <c r="L32" s="1"/>
      <c r="M32" s="1"/>
      <c r="N32" s="1"/>
      <c r="O32" s="1"/>
      <c r="P32" s="1"/>
      <c r="Q32" s="1"/>
      <c r="R32" s="1"/>
      <c r="S32" s="1"/>
      <c r="T32" s="1"/>
      <c r="U32" s="1"/>
      <c r="V32" s="1"/>
      <c r="W32" s="1"/>
      <c r="X32" s="1"/>
      <c r="Y32" s="1"/>
      <c r="Z32" s="1"/>
      <c r="AA32" s="1"/>
      <c r="AB32" s="1"/>
      <c r="AC32" s="1"/>
      <c r="AD32" s="1"/>
      <c r="AE32" s="1"/>
      <c r="AF32" s="1"/>
      <c r="AG32" s="1"/>
    </row>
    <row r="33" spans="2:33" x14ac:dyDescent="0.25">
      <c r="B33" s="4" t="s">
        <v>660</v>
      </c>
      <c r="C33" t="s">
        <v>660</v>
      </c>
      <c r="D33" t="s">
        <v>660</v>
      </c>
      <c r="G33" s="1"/>
      <c r="H33" s="1"/>
      <c r="I33" s="1"/>
      <c r="J33" s="1"/>
      <c r="K33" s="1"/>
      <c r="L33" s="1"/>
      <c r="M33" s="1"/>
      <c r="N33" s="1"/>
      <c r="O33" s="1"/>
      <c r="P33" s="1"/>
      <c r="Q33" s="1"/>
      <c r="R33" s="1"/>
      <c r="S33" s="1"/>
      <c r="T33" s="1"/>
      <c r="U33" s="1"/>
      <c r="V33" s="1"/>
      <c r="W33" s="1"/>
      <c r="X33" s="1"/>
      <c r="Y33" s="1"/>
      <c r="Z33" s="1"/>
      <c r="AA33" s="1"/>
      <c r="AB33" s="1"/>
      <c r="AC33" s="1"/>
      <c r="AD33" s="1"/>
      <c r="AE33" s="1"/>
      <c r="AF33" s="1"/>
      <c r="AG33" s="1"/>
    </row>
    <row r="34" spans="2:33" x14ac:dyDescent="0.25">
      <c r="B34" s="4" t="s">
        <v>661</v>
      </c>
      <c r="C34" t="s">
        <v>661</v>
      </c>
      <c r="D34" t="s">
        <v>661</v>
      </c>
      <c r="G34" s="1"/>
      <c r="H34" s="1"/>
      <c r="I34" s="1"/>
      <c r="J34" s="1"/>
      <c r="K34" s="1"/>
      <c r="L34" s="1"/>
      <c r="M34" s="1"/>
      <c r="N34" s="1"/>
      <c r="O34" s="1"/>
      <c r="P34" s="1"/>
      <c r="Q34" s="1"/>
      <c r="R34" s="1"/>
      <c r="S34" s="1"/>
      <c r="T34" s="1"/>
      <c r="U34" s="1"/>
      <c r="V34" s="1"/>
      <c r="W34" s="1"/>
      <c r="X34" s="1"/>
      <c r="Y34" s="1"/>
      <c r="Z34" s="1"/>
      <c r="AA34" s="1"/>
      <c r="AB34" s="1"/>
      <c r="AC34" s="1"/>
      <c r="AD34" s="1"/>
      <c r="AE34" s="1"/>
      <c r="AF34" s="1"/>
      <c r="AG34" s="1"/>
    </row>
    <row r="35" spans="2:33" x14ac:dyDescent="0.25">
      <c r="B35" s="4" t="s">
        <v>662</v>
      </c>
      <c r="C35" t="s">
        <v>662</v>
      </c>
      <c r="D35" t="s">
        <v>662</v>
      </c>
      <c r="G35" s="1"/>
      <c r="H35" s="1"/>
      <c r="I35" s="1"/>
      <c r="J35" s="1"/>
      <c r="K35" s="1"/>
      <c r="L35" s="1"/>
      <c r="M35" s="1"/>
      <c r="N35" s="1"/>
      <c r="O35" s="1"/>
      <c r="P35" s="1"/>
      <c r="Q35" s="1"/>
      <c r="R35" s="1"/>
      <c r="S35" s="1"/>
      <c r="T35" s="1"/>
      <c r="U35" s="1"/>
      <c r="V35" s="1"/>
      <c r="W35" s="1"/>
      <c r="X35" s="1"/>
      <c r="Y35" s="1"/>
      <c r="Z35" s="1"/>
      <c r="AA35" s="1"/>
      <c r="AB35" s="1"/>
      <c r="AC35" s="1"/>
      <c r="AD35" s="1"/>
      <c r="AE35" s="1"/>
      <c r="AF35" s="1"/>
      <c r="AG35" s="1"/>
    </row>
    <row r="36" spans="2:33" x14ac:dyDescent="0.25">
      <c r="B36" s="4" t="s">
        <v>663</v>
      </c>
      <c r="C36" t="s">
        <v>663</v>
      </c>
      <c r="D36" t="s">
        <v>663</v>
      </c>
      <c r="G36" s="1"/>
      <c r="H36" s="1"/>
      <c r="I36" s="1"/>
      <c r="J36" s="1"/>
      <c r="K36" s="1"/>
      <c r="L36" s="1"/>
      <c r="M36" s="1"/>
      <c r="N36" s="1"/>
      <c r="O36" s="1"/>
      <c r="P36" s="1"/>
      <c r="Q36" s="1"/>
      <c r="R36" s="1"/>
      <c r="S36" s="1"/>
      <c r="T36" s="1"/>
      <c r="U36" s="1"/>
      <c r="V36" s="1"/>
      <c r="W36" s="1"/>
      <c r="X36" s="1"/>
      <c r="Y36" s="1"/>
      <c r="Z36" s="1"/>
      <c r="AA36" s="1"/>
      <c r="AB36" s="1"/>
      <c r="AC36" s="1"/>
      <c r="AD36" s="1"/>
      <c r="AE36" s="1"/>
      <c r="AF36" s="1"/>
      <c r="AG36" s="1"/>
    </row>
    <row r="37" spans="2:33" x14ac:dyDescent="0.25">
      <c r="B37" s="4" t="s">
        <v>664</v>
      </c>
      <c r="C37" t="s">
        <v>664</v>
      </c>
      <c r="D37" t="s">
        <v>664</v>
      </c>
      <c r="G37" s="1"/>
      <c r="H37" s="1"/>
      <c r="I37" s="1"/>
      <c r="J37" s="1"/>
      <c r="K37" s="1"/>
      <c r="L37" s="1"/>
      <c r="M37" s="1"/>
      <c r="N37" s="1"/>
      <c r="O37" s="1"/>
      <c r="P37" s="1"/>
      <c r="Q37" s="1"/>
      <c r="R37" s="1"/>
      <c r="S37" s="1"/>
      <c r="T37" s="1"/>
      <c r="U37" s="1"/>
      <c r="V37" s="1"/>
      <c r="W37" s="1"/>
      <c r="X37" s="1"/>
      <c r="Y37" s="1"/>
      <c r="Z37" s="1"/>
      <c r="AA37" s="1"/>
      <c r="AB37" s="1"/>
      <c r="AC37" s="1"/>
      <c r="AD37" s="1"/>
      <c r="AE37" s="1"/>
      <c r="AF37" s="1"/>
      <c r="AG37" s="1"/>
    </row>
    <row r="38" spans="2:33" x14ac:dyDescent="0.25">
      <c r="B38" s="4" t="s">
        <v>665</v>
      </c>
      <c r="C38" t="s">
        <v>665</v>
      </c>
      <c r="D38" t="s">
        <v>665</v>
      </c>
      <c r="G38" s="1"/>
      <c r="H38" s="1"/>
      <c r="I38" s="1"/>
      <c r="J38" s="1"/>
      <c r="K38" s="1"/>
      <c r="L38" s="1"/>
      <c r="M38" s="1"/>
      <c r="N38" s="1"/>
      <c r="O38" s="1"/>
      <c r="P38" s="1"/>
      <c r="Q38" s="1"/>
      <c r="R38" s="1"/>
      <c r="S38" s="1"/>
      <c r="T38" s="1"/>
      <c r="U38" s="1"/>
      <c r="V38" s="1"/>
      <c r="W38" s="1"/>
      <c r="X38" s="1"/>
      <c r="Y38" s="1"/>
      <c r="Z38" s="1"/>
      <c r="AA38" s="1"/>
      <c r="AB38" s="1"/>
      <c r="AC38" s="1"/>
      <c r="AD38" s="1"/>
      <c r="AE38" s="1"/>
      <c r="AF38" s="1"/>
      <c r="AG38" s="1"/>
    </row>
    <row r="39" spans="2:33" x14ac:dyDescent="0.25">
      <c r="B39" s="4" t="s">
        <v>666</v>
      </c>
      <c r="C39" t="s">
        <v>666</v>
      </c>
      <c r="D39" t="s">
        <v>666</v>
      </c>
      <c r="G39" s="1"/>
      <c r="H39" s="1"/>
      <c r="I39" s="1"/>
      <c r="J39" s="1"/>
      <c r="K39" s="1"/>
      <c r="L39" s="1"/>
      <c r="M39" s="1"/>
      <c r="N39" s="1"/>
      <c r="O39" s="1"/>
      <c r="P39" s="1"/>
      <c r="Q39" s="1"/>
      <c r="R39" s="1"/>
      <c r="S39" s="1"/>
      <c r="T39" s="1"/>
      <c r="U39" s="1"/>
      <c r="V39" s="1"/>
      <c r="W39" s="1"/>
      <c r="X39" s="1"/>
      <c r="Y39" s="1"/>
      <c r="Z39" s="1"/>
      <c r="AA39" s="1"/>
      <c r="AB39" s="1"/>
      <c r="AC39" s="1"/>
      <c r="AD39" s="1"/>
      <c r="AE39" s="1"/>
      <c r="AF39" s="1"/>
      <c r="AG39" s="1"/>
    </row>
    <row r="40" spans="2:33" x14ac:dyDescent="0.25">
      <c r="B40" s="5"/>
      <c r="G40" s="1"/>
      <c r="H40" s="1"/>
      <c r="I40" s="1"/>
      <c r="J40" s="1"/>
      <c r="K40" s="1"/>
      <c r="L40" s="1"/>
      <c r="M40" s="1"/>
      <c r="N40" s="1"/>
      <c r="O40" s="1"/>
      <c r="P40" s="1"/>
      <c r="Q40" s="1"/>
      <c r="R40" s="1"/>
      <c r="S40" s="1"/>
      <c r="T40" s="1"/>
      <c r="U40" s="1"/>
      <c r="V40" s="1"/>
      <c r="W40" s="1"/>
      <c r="X40" s="1"/>
      <c r="Y40" s="1"/>
      <c r="Z40" s="1"/>
      <c r="AA40" s="1"/>
      <c r="AB40" s="1"/>
      <c r="AC40" s="1"/>
      <c r="AD40" s="1"/>
      <c r="AE40" s="1"/>
      <c r="AF40" s="1"/>
      <c r="AG40" s="1"/>
    </row>
    <row r="41" spans="2:33" x14ac:dyDescent="0.25">
      <c r="B41" s="4" t="s">
        <v>667</v>
      </c>
      <c r="C41" t="s">
        <v>667</v>
      </c>
      <c r="D41" t="s">
        <v>667</v>
      </c>
      <c r="G41" s="1"/>
      <c r="H41" s="1"/>
      <c r="I41" s="1"/>
      <c r="J41" s="1"/>
      <c r="K41" s="1"/>
      <c r="L41" s="1"/>
      <c r="M41" s="1"/>
      <c r="N41" s="1"/>
      <c r="O41" s="1"/>
      <c r="P41" s="1"/>
      <c r="Q41" s="1"/>
      <c r="R41" s="1"/>
      <c r="S41" s="1"/>
      <c r="T41" s="1"/>
      <c r="U41" s="1"/>
      <c r="V41" s="1"/>
      <c r="W41" s="1"/>
      <c r="X41" s="1"/>
      <c r="Y41" s="1"/>
      <c r="Z41" s="1"/>
      <c r="AA41" s="1"/>
      <c r="AB41" s="1"/>
      <c r="AC41" s="1"/>
      <c r="AD41" s="1"/>
      <c r="AE41" s="1"/>
      <c r="AF41" s="1"/>
      <c r="AG41" s="1"/>
    </row>
    <row r="42" spans="2:33" x14ac:dyDescent="0.25">
      <c r="B42" s="4" t="s">
        <v>668</v>
      </c>
      <c r="C42" t="s">
        <v>668</v>
      </c>
      <c r="D42" t="s">
        <v>668</v>
      </c>
      <c r="G42" s="1"/>
      <c r="H42" s="1"/>
      <c r="I42" s="1"/>
      <c r="J42" s="1"/>
      <c r="K42" s="1"/>
      <c r="L42" s="1"/>
      <c r="M42" s="1"/>
      <c r="N42" s="1"/>
      <c r="O42" s="1"/>
      <c r="P42" s="1"/>
      <c r="Q42" s="1"/>
      <c r="R42" s="1"/>
      <c r="S42" s="1"/>
      <c r="T42" s="1"/>
      <c r="U42" s="1"/>
      <c r="V42" s="1"/>
      <c r="W42" s="1"/>
      <c r="X42" s="1"/>
      <c r="Y42" s="1"/>
      <c r="Z42" s="1"/>
      <c r="AA42" s="1"/>
      <c r="AB42" s="1"/>
      <c r="AC42" s="1"/>
      <c r="AD42" s="1"/>
      <c r="AE42" s="1"/>
      <c r="AF42" s="1"/>
      <c r="AG42" s="1"/>
    </row>
    <row r="43" spans="2:33" x14ac:dyDescent="0.25">
      <c r="B43" s="4" t="s">
        <v>669</v>
      </c>
      <c r="C43" t="s">
        <v>669</v>
      </c>
      <c r="D43" t="s">
        <v>669</v>
      </c>
      <c r="G43" s="1"/>
      <c r="H43" s="1"/>
      <c r="I43" s="1"/>
      <c r="J43" s="1"/>
      <c r="K43" s="1"/>
      <c r="L43" s="1"/>
      <c r="M43" s="1"/>
      <c r="N43" s="1"/>
      <c r="O43" s="1"/>
      <c r="P43" s="1"/>
      <c r="Q43" s="1"/>
      <c r="R43" s="1"/>
      <c r="S43" s="1"/>
      <c r="T43" s="1"/>
      <c r="U43" s="1"/>
      <c r="V43" s="1"/>
      <c r="W43" s="1"/>
      <c r="X43" s="1"/>
      <c r="Y43" s="1"/>
      <c r="Z43" s="1"/>
      <c r="AA43" s="1"/>
      <c r="AB43" s="1"/>
      <c r="AC43" s="1"/>
      <c r="AD43" s="1"/>
      <c r="AE43" s="1"/>
      <c r="AF43" s="1"/>
      <c r="AG43" s="1"/>
    </row>
    <row r="44" spans="2:33" x14ac:dyDescent="0.25">
      <c r="B44" s="4" t="s">
        <v>670</v>
      </c>
      <c r="C44" t="s">
        <v>670</v>
      </c>
      <c r="D44" t="s">
        <v>670</v>
      </c>
      <c r="G44" s="1"/>
      <c r="H44" s="1"/>
      <c r="I44" s="1"/>
      <c r="J44" s="1"/>
      <c r="K44" s="1"/>
      <c r="L44" s="1"/>
      <c r="M44" s="1"/>
      <c r="N44" s="1"/>
      <c r="O44" s="1"/>
      <c r="P44" s="1"/>
      <c r="Q44" s="1"/>
      <c r="R44" s="1"/>
      <c r="S44" s="1"/>
      <c r="T44" s="1"/>
      <c r="U44" s="1"/>
      <c r="V44" s="1"/>
      <c r="W44" s="1"/>
      <c r="X44" s="1"/>
      <c r="Y44" s="1"/>
      <c r="Z44" s="1"/>
      <c r="AA44" s="1"/>
      <c r="AB44" s="1"/>
      <c r="AC44" s="1"/>
      <c r="AD44" s="1"/>
      <c r="AE44" s="1"/>
      <c r="AF44" s="1"/>
      <c r="AG44" s="1"/>
    </row>
    <row r="45" spans="2:33" x14ac:dyDescent="0.25">
      <c r="B45" s="4" t="s">
        <v>671</v>
      </c>
      <c r="C45" t="s">
        <v>671</v>
      </c>
      <c r="D45" t="s">
        <v>671</v>
      </c>
      <c r="G45" s="1"/>
      <c r="H45" s="1"/>
      <c r="I45" s="1"/>
      <c r="J45" s="1"/>
      <c r="K45" s="1"/>
      <c r="L45" s="1"/>
      <c r="M45" s="1"/>
      <c r="N45" s="1"/>
      <c r="O45" s="1"/>
      <c r="P45" s="1"/>
      <c r="Q45" s="1"/>
      <c r="R45" s="1"/>
      <c r="S45" s="1"/>
      <c r="T45" s="1"/>
      <c r="U45" s="1"/>
      <c r="V45" s="1"/>
      <c r="W45" s="1"/>
      <c r="X45" s="1"/>
      <c r="Y45" s="1"/>
      <c r="Z45" s="1"/>
      <c r="AA45" s="1"/>
      <c r="AB45" s="1"/>
      <c r="AC45" s="1"/>
      <c r="AD45" s="1"/>
      <c r="AE45" s="1"/>
      <c r="AF45" s="1"/>
      <c r="AG45" s="1"/>
    </row>
    <row r="46" spans="2:33" x14ac:dyDescent="0.25">
      <c r="B46" s="4" t="s">
        <v>672</v>
      </c>
      <c r="C46" t="s">
        <v>672</v>
      </c>
      <c r="D46" t="s">
        <v>672</v>
      </c>
      <c r="G46" s="1"/>
      <c r="H46" s="1"/>
      <c r="I46" s="1"/>
      <c r="J46" s="1"/>
      <c r="K46" s="1"/>
      <c r="L46" s="1"/>
      <c r="M46" s="1"/>
      <c r="N46" s="1"/>
      <c r="O46" s="1"/>
      <c r="P46" s="1"/>
      <c r="Q46" s="1"/>
      <c r="R46" s="1"/>
      <c r="S46" s="1"/>
      <c r="T46" s="1"/>
      <c r="U46" s="1"/>
      <c r="V46" s="1"/>
      <c r="W46" s="1"/>
      <c r="X46" s="1"/>
      <c r="Y46" s="1"/>
      <c r="Z46" s="1"/>
      <c r="AA46" s="1"/>
      <c r="AB46" s="1"/>
      <c r="AC46" s="1"/>
      <c r="AD46" s="1"/>
      <c r="AE46" s="1"/>
      <c r="AF46" s="1"/>
      <c r="AG46" s="1"/>
    </row>
    <row r="47" spans="2:33" x14ac:dyDescent="0.25">
      <c r="B47" s="4" t="s">
        <v>673</v>
      </c>
      <c r="C47" t="s">
        <v>673</v>
      </c>
      <c r="D47" t="s">
        <v>673</v>
      </c>
      <c r="G47" s="1"/>
      <c r="H47" s="1"/>
      <c r="I47" s="1"/>
      <c r="J47" s="1"/>
      <c r="K47" s="1"/>
      <c r="L47" s="1"/>
      <c r="M47" s="1"/>
      <c r="N47" s="1"/>
      <c r="O47" s="1"/>
      <c r="P47" s="1"/>
      <c r="Q47" s="1"/>
      <c r="R47" s="1"/>
      <c r="S47" s="1"/>
      <c r="T47" s="1"/>
      <c r="U47" s="1"/>
      <c r="V47" s="1"/>
      <c r="W47" s="1"/>
      <c r="X47" s="1"/>
      <c r="Y47" s="1"/>
      <c r="Z47" s="1"/>
      <c r="AA47" s="1"/>
      <c r="AB47" s="1"/>
      <c r="AC47" s="1"/>
      <c r="AD47" s="1"/>
      <c r="AE47" s="1"/>
      <c r="AF47" s="1"/>
      <c r="AG47" s="1"/>
    </row>
    <row r="48" spans="2:33" x14ac:dyDescent="0.25">
      <c r="B48" s="4" t="s">
        <v>674</v>
      </c>
      <c r="C48" t="s">
        <v>674</v>
      </c>
      <c r="D48" t="s">
        <v>674</v>
      </c>
      <c r="G48" s="1"/>
      <c r="H48" s="1"/>
      <c r="I48" s="1"/>
      <c r="J48" s="1"/>
      <c r="K48" s="1"/>
      <c r="L48" s="1"/>
      <c r="M48" s="1"/>
      <c r="N48" s="1"/>
      <c r="O48" s="1"/>
      <c r="P48" s="1"/>
      <c r="Q48" s="1"/>
      <c r="R48" s="1"/>
      <c r="S48" s="1"/>
      <c r="T48" s="1"/>
      <c r="U48" s="1"/>
      <c r="V48" s="1"/>
      <c r="W48" s="1"/>
      <c r="X48" s="1"/>
      <c r="Y48" s="1"/>
      <c r="Z48" s="1"/>
      <c r="AA48" s="1"/>
      <c r="AB48" s="1"/>
      <c r="AC48" s="1"/>
      <c r="AD48" s="1"/>
      <c r="AE48" s="1"/>
      <c r="AF48" s="1"/>
      <c r="AG48" s="1"/>
    </row>
    <row r="49" spans="2:33" x14ac:dyDescent="0.25">
      <c r="B49" s="4" t="s">
        <v>675</v>
      </c>
      <c r="C49" t="s">
        <v>675</v>
      </c>
      <c r="D49" t="s">
        <v>675</v>
      </c>
      <c r="G49" s="1"/>
      <c r="H49" s="1"/>
      <c r="I49" s="1"/>
      <c r="J49" s="1"/>
      <c r="K49" s="1"/>
      <c r="L49" s="1"/>
      <c r="M49" s="1"/>
      <c r="N49" s="1"/>
      <c r="O49" s="1"/>
      <c r="P49" s="1"/>
      <c r="Q49" s="1"/>
      <c r="R49" s="1"/>
      <c r="S49" s="1"/>
      <c r="T49" s="1"/>
      <c r="U49" s="1"/>
      <c r="V49" s="1"/>
      <c r="W49" s="1"/>
      <c r="X49" s="1"/>
      <c r="Y49" s="1"/>
      <c r="Z49" s="1"/>
      <c r="AA49" s="1"/>
      <c r="AB49" s="1"/>
      <c r="AC49" s="1"/>
      <c r="AD49" s="1"/>
      <c r="AE49" s="1"/>
      <c r="AF49" s="1"/>
      <c r="AG49" s="1"/>
    </row>
    <row r="50" spans="2:33" x14ac:dyDescent="0.25">
      <c r="B50" s="4" t="s">
        <v>676</v>
      </c>
      <c r="C50" t="s">
        <v>676</v>
      </c>
      <c r="D50" t="s">
        <v>676</v>
      </c>
      <c r="G50" s="1"/>
      <c r="H50" s="1"/>
      <c r="I50" s="1"/>
      <c r="J50" s="1"/>
      <c r="K50" s="1"/>
      <c r="L50" s="1"/>
      <c r="M50" s="1"/>
      <c r="N50" s="1"/>
      <c r="O50" s="1"/>
      <c r="P50" s="1"/>
      <c r="Q50" s="1"/>
      <c r="R50" s="1"/>
      <c r="S50" s="1"/>
      <c r="T50" s="1"/>
      <c r="U50" s="1"/>
      <c r="V50" s="1"/>
      <c r="W50" s="1"/>
      <c r="X50" s="1"/>
      <c r="Y50" s="1"/>
      <c r="Z50" s="1"/>
      <c r="AA50" s="1"/>
      <c r="AB50" s="1"/>
      <c r="AC50" s="1"/>
      <c r="AD50" s="1"/>
      <c r="AE50" s="1"/>
      <c r="AF50" s="1"/>
      <c r="AG50" s="1"/>
    </row>
    <row r="51" spans="2:33" x14ac:dyDescent="0.25">
      <c r="B51" s="4" t="s">
        <v>677</v>
      </c>
      <c r="C51" t="s">
        <v>677</v>
      </c>
      <c r="D51" t="s">
        <v>677</v>
      </c>
      <c r="G51" s="1"/>
      <c r="H51" s="1"/>
      <c r="I51" s="1"/>
      <c r="J51" s="1"/>
      <c r="K51" s="1"/>
      <c r="L51" s="1"/>
      <c r="M51" s="1"/>
      <c r="N51" s="1"/>
      <c r="O51" s="1"/>
      <c r="P51" s="1"/>
      <c r="Q51" s="1"/>
      <c r="R51" s="1"/>
      <c r="S51" s="1"/>
      <c r="T51" s="1"/>
      <c r="U51" s="1"/>
      <c r="V51" s="1"/>
      <c r="W51" s="1"/>
      <c r="X51" s="1"/>
      <c r="Y51" s="1"/>
      <c r="Z51" s="1"/>
      <c r="AA51" s="1"/>
      <c r="AB51" s="1"/>
      <c r="AC51" s="1"/>
      <c r="AD51" s="1"/>
      <c r="AE51" s="1"/>
      <c r="AF51" s="1"/>
      <c r="AG51" s="1"/>
    </row>
    <row r="52" spans="2:33" x14ac:dyDescent="0.25">
      <c r="B52" s="4" t="s">
        <v>678</v>
      </c>
      <c r="C52" t="s">
        <v>678</v>
      </c>
      <c r="D52" t="s">
        <v>678</v>
      </c>
      <c r="G52" s="1"/>
      <c r="H52" s="1"/>
      <c r="I52" s="1"/>
      <c r="J52" s="1"/>
      <c r="K52" s="1"/>
      <c r="L52" s="1"/>
      <c r="M52" s="1"/>
      <c r="N52" s="1"/>
      <c r="O52" s="1"/>
      <c r="P52" s="1"/>
      <c r="Q52" s="1"/>
      <c r="R52" s="1"/>
      <c r="S52" s="1"/>
      <c r="T52" s="1"/>
      <c r="U52" s="1"/>
      <c r="V52" s="1"/>
      <c r="W52" s="1"/>
      <c r="X52" s="1"/>
      <c r="Y52" s="1"/>
      <c r="Z52" s="1"/>
      <c r="AA52" s="1"/>
      <c r="AB52" s="1"/>
      <c r="AC52" s="1"/>
      <c r="AD52" s="1"/>
      <c r="AE52" s="1"/>
      <c r="AF52" s="1"/>
      <c r="AG52" s="1"/>
    </row>
    <row r="53" spans="2:33" x14ac:dyDescent="0.25">
      <c r="B53" s="4" t="s">
        <v>117</v>
      </c>
      <c r="C53" t="s">
        <v>117</v>
      </c>
      <c r="D53" t="s">
        <v>117</v>
      </c>
      <c r="G53" s="1"/>
      <c r="H53" s="1"/>
      <c r="I53" s="1"/>
      <c r="J53" s="1"/>
      <c r="K53" s="1"/>
      <c r="L53" s="1"/>
      <c r="M53" s="1"/>
      <c r="N53" s="1"/>
      <c r="O53" s="1"/>
      <c r="P53" s="1"/>
      <c r="Q53" s="1"/>
      <c r="R53" s="1"/>
      <c r="S53" s="1"/>
      <c r="T53" s="1"/>
      <c r="U53" s="1"/>
      <c r="V53" s="1"/>
      <c r="W53" s="1"/>
      <c r="X53" s="1"/>
      <c r="Y53" s="1"/>
      <c r="Z53" s="1"/>
      <c r="AA53" s="1"/>
      <c r="AB53" s="1"/>
      <c r="AC53" s="1"/>
      <c r="AD53" s="1"/>
      <c r="AE53" s="1"/>
      <c r="AF53" s="1"/>
      <c r="AG53" s="1"/>
    </row>
    <row r="54" spans="2:33" x14ac:dyDescent="0.25">
      <c r="B54" s="4" t="s">
        <v>117</v>
      </c>
      <c r="C54" t="s">
        <v>117</v>
      </c>
      <c r="D54" t="s">
        <v>117</v>
      </c>
      <c r="G54" s="1"/>
      <c r="H54" s="1"/>
      <c r="I54" s="1"/>
      <c r="J54" s="1"/>
      <c r="K54" s="1"/>
      <c r="L54" s="1"/>
      <c r="M54" s="1"/>
      <c r="N54" s="1"/>
      <c r="O54" s="1"/>
      <c r="P54" s="1"/>
      <c r="Q54" s="1"/>
      <c r="R54" s="1"/>
      <c r="S54" s="1"/>
      <c r="T54" s="1"/>
      <c r="U54" s="1"/>
      <c r="V54" s="1"/>
      <c r="W54" s="1"/>
      <c r="X54" s="1"/>
      <c r="Y54" s="1"/>
      <c r="Z54" s="1"/>
      <c r="AA54" s="1"/>
      <c r="AB54" s="1"/>
      <c r="AC54" s="1"/>
      <c r="AD54" s="1"/>
      <c r="AE54" s="1"/>
      <c r="AF54" s="1"/>
      <c r="AG54" s="1"/>
    </row>
    <row r="55" spans="2:33" x14ac:dyDescent="0.25">
      <c r="B55" s="5"/>
      <c r="G55" s="1"/>
      <c r="H55" s="1"/>
      <c r="I55" s="1"/>
      <c r="J55" s="1"/>
      <c r="K55" s="1"/>
      <c r="L55" s="1"/>
      <c r="M55" s="1"/>
      <c r="N55" s="1"/>
      <c r="O55" s="1"/>
      <c r="P55" s="1"/>
      <c r="Q55" s="1"/>
      <c r="R55" s="1"/>
      <c r="S55" s="1"/>
      <c r="T55" s="1"/>
      <c r="U55" s="1"/>
      <c r="V55" s="1"/>
      <c r="W55" s="1"/>
      <c r="X55" s="1"/>
      <c r="Y55" s="1"/>
      <c r="Z55" s="1"/>
      <c r="AA55" s="1"/>
      <c r="AB55" s="1"/>
      <c r="AC55" s="1"/>
      <c r="AD55" s="1"/>
      <c r="AE55" s="1"/>
      <c r="AF55" s="1"/>
      <c r="AG55" s="1"/>
    </row>
    <row r="56" spans="2:33" x14ac:dyDescent="0.25">
      <c r="B56" s="5"/>
      <c r="G56" s="1"/>
      <c r="H56" s="1"/>
      <c r="I56" s="1"/>
      <c r="J56" s="1"/>
      <c r="K56" s="1"/>
      <c r="L56" s="1"/>
      <c r="M56" s="1"/>
      <c r="N56" s="1"/>
      <c r="O56" s="1"/>
      <c r="P56" s="1"/>
      <c r="Q56" s="1"/>
      <c r="R56" s="1"/>
      <c r="S56" s="1"/>
      <c r="T56" s="1"/>
      <c r="U56" s="1"/>
      <c r="V56" s="1"/>
      <c r="W56" s="1"/>
      <c r="X56" s="1"/>
      <c r="Y56" s="1"/>
      <c r="Z56" s="1"/>
      <c r="AA56" s="1"/>
      <c r="AB56" s="1"/>
      <c r="AC56" s="1"/>
      <c r="AD56" s="1"/>
      <c r="AE56" s="1"/>
      <c r="AF56" s="1"/>
      <c r="AG56" s="1"/>
    </row>
    <row r="57" spans="2:33" x14ac:dyDescent="0.25">
      <c r="B57" s="4" t="s">
        <v>679</v>
      </c>
      <c r="C57" t="s">
        <v>679</v>
      </c>
      <c r="D57" t="s">
        <v>679</v>
      </c>
      <c r="E57" s="1" t="s">
        <v>679</v>
      </c>
      <c r="F57" s="2" t="s">
        <v>679</v>
      </c>
      <c r="G57" s="1" t="s">
        <v>679</v>
      </c>
      <c r="H57" s="1" t="s">
        <v>679</v>
      </c>
      <c r="I57" s="1" t="s">
        <v>679</v>
      </c>
      <c r="J57" s="1" t="s">
        <v>679</v>
      </c>
      <c r="K57" s="1" t="s">
        <v>679</v>
      </c>
      <c r="L57" s="1" t="s">
        <v>679</v>
      </c>
      <c r="M57" s="1" t="s">
        <v>679</v>
      </c>
      <c r="N57" s="1" t="s">
        <v>679</v>
      </c>
      <c r="O57" s="1" t="s">
        <v>679</v>
      </c>
      <c r="P57" s="1" t="s">
        <v>679</v>
      </c>
      <c r="Q57" s="1" t="s">
        <v>679</v>
      </c>
      <c r="R57" s="1" t="s">
        <v>679</v>
      </c>
      <c r="S57" s="1" t="s">
        <v>679</v>
      </c>
      <c r="T57" s="1" t="s">
        <v>679</v>
      </c>
      <c r="U57" s="1" t="s">
        <v>679</v>
      </c>
      <c r="V57" s="1" t="s">
        <v>679</v>
      </c>
      <c r="W57" s="1" t="s">
        <v>679</v>
      </c>
      <c r="X57" s="1" t="s">
        <v>679</v>
      </c>
      <c r="Y57" s="1" t="s">
        <v>679</v>
      </c>
      <c r="Z57" s="1" t="s">
        <v>679</v>
      </c>
      <c r="AA57" s="1" t="s">
        <v>679</v>
      </c>
      <c r="AB57" s="1" t="s">
        <v>679</v>
      </c>
      <c r="AC57" s="1" t="s">
        <v>679</v>
      </c>
      <c r="AD57" s="1" t="s">
        <v>679</v>
      </c>
      <c r="AE57" s="1" t="s">
        <v>679</v>
      </c>
      <c r="AF57" s="1" t="s">
        <v>679</v>
      </c>
      <c r="AG57" s="1" t="s">
        <v>679</v>
      </c>
    </row>
    <row r="58" spans="2:33" x14ac:dyDescent="0.25">
      <c r="B58" s="4" t="s">
        <v>641</v>
      </c>
      <c r="C58" t="s">
        <v>641</v>
      </c>
      <c r="D58" t="s">
        <v>641</v>
      </c>
      <c r="E58" s="1" t="s">
        <v>641</v>
      </c>
      <c r="F58" s="2" t="s">
        <v>641</v>
      </c>
      <c r="G58" s="1" t="s">
        <v>641</v>
      </c>
      <c r="H58" s="1" t="s">
        <v>641</v>
      </c>
      <c r="I58" s="1" t="s">
        <v>641</v>
      </c>
      <c r="J58" s="1" t="s">
        <v>641</v>
      </c>
      <c r="K58" s="1" t="s">
        <v>641</v>
      </c>
      <c r="L58" s="1" t="s">
        <v>641</v>
      </c>
      <c r="M58" s="1" t="s">
        <v>641</v>
      </c>
      <c r="N58" s="1" t="s">
        <v>641</v>
      </c>
      <c r="O58" s="1" t="s">
        <v>641</v>
      </c>
      <c r="P58" s="1" t="s">
        <v>641</v>
      </c>
      <c r="Q58" s="1" t="s">
        <v>641</v>
      </c>
      <c r="R58" s="1" t="s">
        <v>641</v>
      </c>
      <c r="S58" s="1" t="s">
        <v>641</v>
      </c>
      <c r="T58" s="1" t="s">
        <v>641</v>
      </c>
      <c r="U58" s="1" t="s">
        <v>641</v>
      </c>
      <c r="V58" s="1" t="s">
        <v>641</v>
      </c>
      <c r="W58" s="1" t="s">
        <v>641</v>
      </c>
      <c r="X58" s="1" t="s">
        <v>641</v>
      </c>
      <c r="Y58" s="1" t="s">
        <v>641</v>
      </c>
      <c r="Z58" s="1" t="s">
        <v>641</v>
      </c>
      <c r="AA58" s="1" t="s">
        <v>641</v>
      </c>
      <c r="AB58" s="1" t="s">
        <v>641</v>
      </c>
      <c r="AC58" s="1" t="s">
        <v>641</v>
      </c>
      <c r="AD58" s="1" t="s">
        <v>641</v>
      </c>
      <c r="AE58" s="1" t="s">
        <v>641</v>
      </c>
      <c r="AF58" s="1" t="s">
        <v>641</v>
      </c>
      <c r="AG58" s="1" t="s">
        <v>641</v>
      </c>
    </row>
    <row r="59" spans="2:33" x14ac:dyDescent="0.25">
      <c r="B59" s="4" t="s">
        <v>680</v>
      </c>
      <c r="C59" t="s">
        <v>680</v>
      </c>
      <c r="D59" t="s">
        <v>680</v>
      </c>
      <c r="E59" s="1" t="s">
        <v>680</v>
      </c>
      <c r="F59" s="2" t="s">
        <v>680</v>
      </c>
      <c r="G59" s="1" t="s">
        <v>680</v>
      </c>
      <c r="H59" s="1" t="s">
        <v>680</v>
      </c>
      <c r="I59" s="1" t="s">
        <v>680</v>
      </c>
      <c r="J59" s="1" t="s">
        <v>680</v>
      </c>
      <c r="K59" s="1" t="s">
        <v>680</v>
      </c>
      <c r="L59" s="1" t="s">
        <v>680</v>
      </c>
      <c r="M59" s="1" t="s">
        <v>680</v>
      </c>
      <c r="N59" s="1" t="s">
        <v>680</v>
      </c>
      <c r="O59" s="1" t="s">
        <v>680</v>
      </c>
      <c r="P59" s="1" t="s">
        <v>680</v>
      </c>
      <c r="Q59" s="1" t="s">
        <v>680</v>
      </c>
      <c r="R59" s="1" t="s">
        <v>680</v>
      </c>
      <c r="S59" s="1" t="s">
        <v>680</v>
      </c>
      <c r="T59" s="1" t="s">
        <v>680</v>
      </c>
      <c r="U59" s="1" t="s">
        <v>680</v>
      </c>
      <c r="V59" s="1" t="s">
        <v>680</v>
      </c>
      <c r="W59" s="1" t="s">
        <v>680</v>
      </c>
      <c r="X59" s="1" t="s">
        <v>680</v>
      </c>
      <c r="Y59" s="1" t="s">
        <v>680</v>
      </c>
      <c r="Z59" s="1" t="s">
        <v>680</v>
      </c>
      <c r="AA59" s="1" t="s">
        <v>680</v>
      </c>
      <c r="AB59" s="1" t="s">
        <v>680</v>
      </c>
      <c r="AC59" s="1" t="s">
        <v>680</v>
      </c>
      <c r="AD59" s="1" t="s">
        <v>680</v>
      </c>
      <c r="AE59" s="1" t="s">
        <v>680</v>
      </c>
      <c r="AF59" s="1" t="s">
        <v>680</v>
      </c>
      <c r="AG59" s="1" t="s">
        <v>680</v>
      </c>
    </row>
    <row r="60" spans="2:33" x14ac:dyDescent="0.25">
      <c r="B60" s="5"/>
      <c r="G60" s="1"/>
      <c r="H60" s="1"/>
      <c r="I60" s="1"/>
      <c r="J60" s="1"/>
      <c r="K60" s="1"/>
      <c r="L60" s="1"/>
      <c r="M60" s="1"/>
      <c r="N60" s="1"/>
      <c r="O60" s="1"/>
      <c r="P60" s="1"/>
      <c r="Q60" s="1"/>
      <c r="R60" s="1"/>
      <c r="S60" s="1"/>
      <c r="T60" s="1"/>
      <c r="U60" s="1"/>
      <c r="V60" s="1"/>
      <c r="W60" s="1"/>
      <c r="X60" s="1"/>
      <c r="Y60" s="1"/>
      <c r="Z60" s="1"/>
      <c r="AA60" s="1"/>
      <c r="AB60" s="1"/>
      <c r="AC60" s="1"/>
      <c r="AD60" s="1"/>
      <c r="AE60" s="1"/>
      <c r="AF60" s="1"/>
      <c r="AG60" s="1"/>
    </row>
    <row r="61" spans="2:33" x14ac:dyDescent="0.25">
      <c r="B61" s="4" t="s">
        <v>681</v>
      </c>
      <c r="C61" t="str">
        <f t="shared" ref="C61:AE61" si="2">"&lt;h1&gt;"&amp;C4&amp;"&lt;/h1&gt;"</f>
        <v>&lt;h1&gt;„Aus Liebe sterben, das ist meine Hoffnung“&lt;/h1&gt;</v>
      </c>
      <c r="D61" t="str">
        <f t="shared" si="2"/>
        <v>&lt;h1&gt;„Kind sein vor Gott“&lt;/h1&gt;</v>
      </c>
      <c r="E61" s="1" t="str">
        <f t="shared" si="2"/>
        <v>&lt;h1&gt;Durch das Kreuz zum Licht&lt;/h1&gt;</v>
      </c>
      <c r="F61" s="2" t="str">
        <f t="shared" si="2"/>
        <v>&lt;h1&gt;Leben in der Göttlichen Freude&lt;/h1&gt;</v>
      </c>
      <c r="G61" s="1" t="str">
        <f t="shared" si="2"/>
        <v>&lt;h1&gt;Das Gebet - ein Weg, unsere Berufung als Kind Gottes zu leben&lt;/h1&gt;</v>
      </c>
      <c r="H61" s="1" t="str">
        <f t="shared" si="2"/>
        <v>&lt;h1&gt;Die Gegenwart Gottes in unserem Leben erfahren&lt;/h1&gt;</v>
      </c>
      <c r="I61" s="1" t="str">
        <f t="shared" si="2"/>
        <v>&lt;h1&gt;Die Barmherzigkeit Gottes leben&lt;/h1&gt;</v>
      </c>
      <c r="J61" s="1" t="str">
        <f t="shared" si="2"/>
        <v>&lt;h1&gt;"Die Kindschaft der Seele" Unser Morgenrot Wecken&lt;/h1&gt;</v>
      </c>
      <c r="K61" s="1" t="str">
        <f t="shared" si="2"/>
        <v>&lt;h1&gt;Tretet ein in die Burg Eurer Seele...&lt;/h1&gt;</v>
      </c>
      <c r="L61" s="1" t="str">
        <f t="shared" ref="L61:AG61" si="3">"&lt;h1&gt;"&amp;L4&amp;"&lt;/h1&gt;"</f>
        <v>&lt;h1&gt;Glauben an das Unmögliche&lt;/h1&gt;</v>
      </c>
      <c r="M61" s="1" t="str">
        <f t="shared" si="3"/>
        <v>&lt;h1&gt;die Liebe wagen...&lt;/h1&gt;</v>
      </c>
      <c r="N61" s="1" t="str">
        <f t="shared" si="3"/>
        <v>&lt;h1&gt;Am Gnadenleben Mariens teilhaben&lt;/h1&gt;</v>
      </c>
      <c r="O61" s="1" t="str">
        <f t="shared" si="3"/>
        <v>&lt;h1&gt;Der Auferstehung entgegen mit Edith Stein Hl. Teresa-Benedicta vom Kreuz&lt;/h1&gt;</v>
      </c>
      <c r="P61" s="1" t="str">
        <f t="shared" si="3"/>
        <v>&lt;h1&gt;Den Weg des Herrn vorbereiten&lt;/h1&gt;</v>
      </c>
      <c r="Q61" s="1" t="str">
        <f t="shared" si="3"/>
        <v>&lt;h1&gt;Sich von Gott formen lassen&lt;/h1&gt;</v>
      </c>
      <c r="R61" s="1" t="str">
        <f t="shared" si="3"/>
        <v>&lt;h1&gt;Ite ad Joseph&lt;/h1&gt;</v>
      </c>
      <c r="S61" s="1" t="str">
        <f t="shared" si="3"/>
        <v>&lt;h1&gt;Sich auf Ostern vorbereiten mit Elisabeth von der Dreifaltigkeit&lt;/h1&gt;</v>
      </c>
      <c r="T61" s="1" t="str">
        <f t="shared" si="3"/>
        <v>&lt;h1&gt;0&lt;/h1&gt;</v>
      </c>
      <c r="U61" s="1" t="str">
        <f t="shared" si="3"/>
        <v>&lt;h1&gt;Vor dem Angesicht Gottes stehen&lt;/h1&gt;</v>
      </c>
      <c r="V61" s="1" t="str">
        <f t="shared" si="3"/>
        <v>&lt;h1&gt;Mit Louis und Zélie Martin – Eltern der hl. Thérèse von Lisieux&lt;/h1&gt;</v>
      </c>
      <c r="W61" s="1" t="str">
        <f t="shared" si="3"/>
        <v>&lt;h1&gt;Auf dem Weg der Umkehr mit der hl. Teresa von Avila&lt;/h1&gt;</v>
      </c>
      <c r="X61" s="1" t="str">
        <f t="shared" si="3"/>
        <v>&lt;h1&gt;Ich will Gott ausstrahlen...&lt;/h1&gt;</v>
      </c>
      <c r="Y61" s="1" t="str">
        <f t="shared" si="3"/>
        <v>&lt;h1&gt;Der Auferstehung entgegen mit Edith Stein Hl. Teresa-Benedicta vom Kreuz&lt;/h1&gt;</v>
      </c>
      <c r="Z61" s="1" t="str">
        <f t="shared" si="3"/>
        <v>&lt;h1&gt;Gott ward ein Menschenkind, damit die Menschen Gotteskinder werden. (Hl. Edith Stein)&lt;/h1&gt;</v>
      </c>
      <c r="AA61" s="1" t="str">
        <f t="shared" si="3"/>
        <v>&lt;h1&gt;Der Auferstehung entgegen mit Edith Stein Hl. Teresa-Benedicta vom Kreuz&lt;/h1&gt;</v>
      </c>
      <c r="AB61" s="1" t="str">
        <f t="shared" si="3"/>
        <v>&lt;h1&gt;0&lt;/h1&gt;</v>
      </c>
      <c r="AC61" s="1" t="str">
        <f t="shared" si="3"/>
        <v>&lt;h1&gt;Mit der heiligen Teresa-Benedicta vom Kreuz (Edith Stein)&lt;/h1&gt;</v>
      </c>
      <c r="AD61" s="1" t="str">
        <f t="shared" si="3"/>
        <v>&lt;h1&gt;0&lt;/h1&gt;</v>
      </c>
      <c r="AE61" s="1" t="str">
        <f t="shared" si="3"/>
        <v>&lt;h1&gt;0&lt;/h1&gt;</v>
      </c>
      <c r="AF61" s="1" t="str">
        <f t="shared" si="3"/>
        <v>&lt;h1&gt;&lt;/h1&gt;</v>
      </c>
      <c r="AG61" s="1" t="str">
        <f t="shared" si="3"/>
        <v>&lt;h1&gt;&lt;/h1&gt;</v>
      </c>
    </row>
    <row r="62" spans="2:33" x14ac:dyDescent="0.25">
      <c r="B62" s="4" t="s">
        <v>682</v>
      </c>
      <c r="C62" t="str">
        <f t="shared" ref="C62:AE62" si="4">"&lt;h2&gt;"&amp;C3&amp;"&lt;/h2&gt;"</f>
        <v>&lt;h2&gt;Fastenzeit 2025 mit Thérèse von Lisieux und das Östergeheimnis&lt;/h2&gt;</v>
      </c>
      <c r="D62" t="str">
        <f t="shared" si="4"/>
        <v>&lt;h2&gt;Advent 2024 mit der Hl. Thérèse vom Kind Jesu&lt;/h2&gt;</v>
      </c>
      <c r="E62" s="1" t="str">
        <f t="shared" si="4"/>
        <v>&lt;h2&gt;Fastenzeit 2024 mit Pater Jacuqes von Jesus (1900-1945)&lt;/h2&gt;</v>
      </c>
      <c r="F62" s="2" t="str">
        <f t="shared" si="4"/>
        <v>&lt;h2&gt;Advent 2023 mit der heiligen Teresa de Los Andes (1900-1920)&lt;/h2&gt;</v>
      </c>
      <c r="G62" s="1" t="str">
        <f t="shared" si="4"/>
        <v>&lt;h2&gt;Fastenzeit 2023: Das Gebet&lt;/h2&gt;</v>
      </c>
      <c r="H62" s="1" t="str">
        <f t="shared" si="4"/>
        <v>&lt;h2&gt;Advent 2022 in der Schule der Heiligen des Karmel&lt;/h2&gt;</v>
      </c>
      <c r="I62" s="1" t="str">
        <f t="shared" si="4"/>
        <v>&lt;h2&gt;Fastenzeit 2022: Gottes Barmherzigkeit leben mit den Heiligen des Karmel&lt;/h2&gt;</v>
      </c>
      <c r="J62" s="1" t="str">
        <f t="shared" si="4"/>
        <v>&lt;h2&gt;Advent 2021 mit der hl. Thérèse von Lisieux und Maria Montessori&lt;/h2&gt;</v>
      </c>
      <c r="K62" s="1" t="str">
        <f t="shared" si="4"/>
        <v>&lt;h2&gt;Fastenzeit 2021 mit der Heilige Teresa von Ávila&lt;/h2&gt;</v>
      </c>
      <c r="L62" s="1" t="str">
        <f t="shared" ref="L62:AG62" si="5">"&lt;h2&gt;"&amp;L3&amp;"&lt;/h2&gt;"</f>
        <v>&lt;h2&gt;Advent 2020 mit der "Schönen Acarie" (1566-1618)&lt;/h2&gt;</v>
      </c>
      <c r="M62" s="1" t="str">
        <f t="shared" si="5"/>
        <v>&lt;h2&gt;Fastenzeit 2020 mit dem Hl. Johannes vom Kreuz&lt;/h2&gt;</v>
      </c>
      <c r="N62" s="1" t="str">
        <f t="shared" si="5"/>
        <v>&lt;h2&gt;Advent 2019 mit Unserer Lieben Frau vom Berge Karmel&lt;/h2&gt;</v>
      </c>
      <c r="O62" s="1" t="str">
        <f t="shared" si="5"/>
        <v>&lt;h2&gt;Fastenzeit 2019 mit Edith Stein Hl. Teresa-Benedicta vom Kreuz&lt;/h2&gt;</v>
      </c>
      <c r="P62" s="1" t="str">
        <f t="shared" si="5"/>
        <v>&lt;h2&gt;Advent 2018 mit Unserer Lieben Frau vom Berge Karmel&lt;/h2&gt;</v>
      </c>
      <c r="Q62" s="1" t="str">
        <f t="shared" si="5"/>
        <v>&lt;h2&gt;Fastenzeit 2018 mit Br. Lorenz von der Auferstehung&lt;/h2&gt;</v>
      </c>
      <c r="R62" s="1" t="str">
        <f t="shared" si="5"/>
        <v>&lt;h2&gt;Advent 2017 mit dem hl. Josef&lt;/h2&gt;</v>
      </c>
      <c r="S62" s="1" t="str">
        <f t="shared" si="5"/>
        <v>&lt;h2&gt;KarmelExerzitien Online in der Fastenzeit 2017&lt;/h2&gt;</v>
      </c>
      <c r="T62" s="1" t="str">
        <f t="shared" si="5"/>
        <v>&lt;h2&gt;Advent 2016 mit dem Sel. Maria-Eugen vom Kinde Jesus OCD&lt;/h2&gt;</v>
      </c>
      <c r="U62" s="1" t="str">
        <f t="shared" si="5"/>
        <v>&lt;h2&gt;Fastenzeit 2016 mit dem heiligen Elija&lt;/h2&gt;</v>
      </c>
      <c r="V62" s="1" t="str">
        <f t="shared" si="5"/>
        <v>&lt;h2&gt;Advent 2015&lt;/h2&gt;</v>
      </c>
      <c r="W62" s="1" t="str">
        <f t="shared" si="5"/>
        <v>&lt;h2&gt;Fastenzeit 2015 mit Teresa von Avila&lt;/h2&gt;</v>
      </c>
      <c r="X62" s="1" t="str">
        <f t="shared" si="5"/>
        <v>&lt;h2&gt;Licht in der Finsternis werden mit dem Karmeliten P. Jacques von Jesus OCD (1900-1945)&lt;/h2&gt;</v>
      </c>
      <c r="Y62" s="1" t="str">
        <f t="shared" si="5"/>
        <v>&lt;h2&gt;Fastenzeit 2014&lt;/h2&gt;</v>
      </c>
      <c r="Z62" s="1" t="str">
        <f t="shared" si="5"/>
        <v>&lt;h2&gt;Advent 2013: Vorbereitung auf Weihnachten mit Edith Stein&lt;/h2&gt;</v>
      </c>
      <c r="AA62" s="1" t="str">
        <f t="shared" si="5"/>
        <v>&lt;h2&gt;Fastenzeit 2013 mit der Hl. Edith Stein&lt;/h2&gt;</v>
      </c>
      <c r="AB62" s="1" t="str">
        <f t="shared" si="5"/>
        <v>&lt;h2&gt;0&lt;/h2&gt;</v>
      </c>
      <c r="AC62" s="1" t="str">
        <f t="shared" si="5"/>
        <v>&lt;h2&gt;Fastenzeit 2012 mit der Hl. Edith Stein&lt;/h2&gt;</v>
      </c>
      <c r="AD62" s="1" t="str">
        <f t="shared" si="5"/>
        <v>&lt;h2&gt;0&lt;/h2&gt;</v>
      </c>
      <c r="AE62" s="1" t="str">
        <f t="shared" si="5"/>
        <v>&lt;h2&gt;0&lt;/h2&gt;</v>
      </c>
      <c r="AF62" s="1" t="str">
        <f t="shared" si="5"/>
        <v>&lt;h2&gt;&lt;/h2&gt;</v>
      </c>
      <c r="AG62" s="1" t="str">
        <f t="shared" si="5"/>
        <v>&lt;h2&gt;&lt;/h2&gt;</v>
      </c>
    </row>
    <row r="63" spans="2:33" x14ac:dyDescent="0.25">
      <c r="B63" s="3" t="s">
        <v>98</v>
      </c>
      <c r="C63" t="str">
        <f>"&lt;h3&gt;Vom "&amp;TEXT(C8,"t. MMMM")&amp;" bis "&amp;TEXT(C9,"t. MMMM JJJJ")&amp;"&lt;/h3&gt;"</f>
        <v>&lt;h3&gt;Vom 5. März bis 27. April 2025&lt;/h3&gt;</v>
      </c>
      <c r="D63" t="str">
        <f>"&lt;h3&gt;Vom "&amp;TEXT(D8,"t. MMMM")&amp;" bis "&amp;TEXT(D9,"t. MMMM JJJJ")&amp;"&lt;/h3&gt;"</f>
        <v>&lt;h3&gt;Vom 27. November bis 5. Jänner 2025&lt;/h3&gt;</v>
      </c>
      <c r="E63" s="1" t="str">
        <f>"&lt;h3&gt;Vom "&amp;TEXT(E8,"t. MMMM JJJJ")&amp;" bis "&amp;TEXT(E9,"t. MMMM JJJJ")&amp;"&lt;/h3&gt;"</f>
        <v>&lt;h3&gt;Vom 14. Februar 2024 bis 7. April 2024&lt;/h3&gt;</v>
      </c>
      <c r="F63" s="2" t="str">
        <f t="shared" ref="F63:I63" si="6">"&lt;h3&gt;Vom "&amp;TEXT(F8,"t. MMMM JJJJ")&amp;" bis "&amp;TEXT(F9,"t. MMMM JJJJ")&amp;"&lt;/h3&gt;"</f>
        <v>&lt;h3&gt;Vom 29. November 2023 bis 25. Dezember 2023&lt;/h3&gt;</v>
      </c>
      <c r="G63" s="1" t="str">
        <f t="shared" si="6"/>
        <v>&lt;h3&gt;Vom 22. Februar 2023 bis 16. April 2023&lt;/h3&gt;</v>
      </c>
      <c r="H63" s="1" t="str">
        <f t="shared" si="6"/>
        <v>&lt;h3&gt;Vom 23. November 2022 bis 1. Jänner 2023&lt;/h3&gt;</v>
      </c>
      <c r="I63" s="1" t="str">
        <f t="shared" si="6"/>
        <v>&lt;h3&gt;Vom 2. März 2022 bis 24. April 2022&lt;/h3&gt;</v>
      </c>
      <c r="J63" s="1" t="str">
        <f t="shared" ref="J63:U63" si="7">"&lt;h3&gt;Vom "&amp;TEXT(J8,"t. MMMM JJJJ")&amp;" bis "&amp;TEXT(J9,"t. MMMM JJJJ")&amp;"&lt;/h3&gt;"</f>
        <v>&lt;h3&gt;Vom 26. November 2021 bis 2. Jänner 2022&lt;/h3&gt;</v>
      </c>
      <c r="K63" s="1" t="str">
        <f t="shared" si="7"/>
        <v>&lt;h3&gt;Vom 17. Februar 2021 bis 11. April 2021&lt;/h3&gt;</v>
      </c>
      <c r="L63" s="1" t="str">
        <f t="shared" ref="L63:AG63" si="8">"&lt;h3&gt;Vom "&amp;TEXT(L8,"t. MMMM JJJJ")&amp;" bis "&amp;TEXT(L9,"t. MMMM JJJJ")&amp;"&lt;/h3&gt;"</f>
        <v>&lt;h3&gt;Vom 25. November 2020 bis 3. Februar 2021&lt;/h3&gt;</v>
      </c>
      <c r="M63" s="1" t="str">
        <f t="shared" si="8"/>
        <v>&lt;h3&gt;Vom 26. Februar 2020 bis 12. April 2020&lt;/h3&gt;</v>
      </c>
      <c r="N63" s="1" t="str">
        <f t="shared" si="8"/>
        <v>&lt;h3&gt;Vom 29. November 2019 bis 6. Jänner 2020&lt;/h3&gt;</v>
      </c>
      <c r="O63" s="1" t="str">
        <f t="shared" si="8"/>
        <v>&lt;h3&gt;Vom 6. März 2019 bis 28. April 2019&lt;/h3&gt;</v>
      </c>
      <c r="P63" s="1" t="str">
        <f t="shared" si="8"/>
        <v>&lt;h3&gt;Vom 28. November 2018 bis 6. Jänner 2019&lt;/h3&gt;</v>
      </c>
      <c r="Q63" s="1" t="str">
        <f t="shared" si="8"/>
        <v>&lt;h3&gt;Vom 14. Februar 2018 bis 30. März 2018&lt;/h3&gt;</v>
      </c>
      <c r="R63" s="1" t="str">
        <f t="shared" si="8"/>
        <v>&lt;h3&gt;Vom 29. November 2017 bis 8. Jänner 2018&lt;/h3&gt;</v>
      </c>
      <c r="S63" s="1" t="str">
        <f t="shared" si="8"/>
        <v>&lt;h3&gt;Vom 1. März 2017 bis 16. April 2017&lt;/h3&gt;</v>
      </c>
      <c r="T63" s="1" t="str">
        <f t="shared" si="8"/>
        <v>&lt;h3&gt;Vom 27. November 2016 bis 6. Jänner 2017&lt;/h3&gt;</v>
      </c>
      <c r="U63" s="1" t="str">
        <f t="shared" si="8"/>
        <v>&lt;h3&gt;Vom 10. Februar 2016 bis 27. März 2016&lt;/h3&gt;</v>
      </c>
      <c r="V63" s="1" t="str">
        <f t="shared" si="8"/>
        <v>&lt;h3&gt;Vom 29. November 2015 bis 6. Jänner 2016&lt;/h3&gt;</v>
      </c>
      <c r="W63" s="1" t="str">
        <f t="shared" si="8"/>
        <v>&lt;h3&gt;Vom 18. Februar 2015 bis 5. April 2015&lt;/h3&gt;</v>
      </c>
      <c r="X63" s="1" t="str">
        <f t="shared" si="8"/>
        <v>&lt;h3&gt;Vom 30. November 2014 bis 6. Jänner 2015&lt;/h3&gt;</v>
      </c>
      <c r="Y63" s="1" t="str">
        <f t="shared" si="8"/>
        <v>&lt;h3&gt;Vom 29. November 2013 bis 25. Dezember 2013&lt;/h3&gt;</v>
      </c>
      <c r="Z63" s="1" t="str">
        <f t="shared" si="8"/>
        <v>&lt;h3&gt;Vom 29. November 2013 bis 25. Dezember 2013&lt;/h3&gt;</v>
      </c>
      <c r="AA63" s="1" t="str">
        <f t="shared" si="8"/>
        <v>&lt;h3&gt;Vom 13. Februar 2013 bis 31. März 2013&lt;/h3&gt;</v>
      </c>
      <c r="AB63" s="1" t="str">
        <f t="shared" si="8"/>
        <v>&lt;h3&gt;Vom 0. Jänner 1900 bis 0. Jänner 1900&lt;/h3&gt;</v>
      </c>
      <c r="AC63" s="1" t="str">
        <f t="shared" si="8"/>
        <v>&lt;h3&gt;Vom 22. Februar 2012 bis 8. April 2012&lt;/h3&gt;</v>
      </c>
      <c r="AD63" s="1" t="str">
        <f t="shared" si="8"/>
        <v>&lt;h3&gt;Vom 0. Jänner 1900 bis 0. Jänner 1900&lt;/h3&gt;</v>
      </c>
      <c r="AE63" s="1" t="str">
        <f t="shared" si="8"/>
        <v>&lt;h3&gt;Vom 0. Jänner 1900 bis 0. Jänner 1900&lt;/h3&gt;</v>
      </c>
      <c r="AF63" s="1" t="str">
        <f t="shared" si="8"/>
        <v>&lt;h3&gt;Vom 0. Jänner 1900 bis 0. Jänner 1900&lt;/h3&gt;</v>
      </c>
      <c r="AG63" s="1" t="str">
        <f t="shared" si="8"/>
        <v>&lt;h3&gt;Vom 0. Jänner 1900 bis 0. Jänner 1900&lt;/h3&gt;</v>
      </c>
    </row>
    <row r="64" spans="2:33" x14ac:dyDescent="0.25">
      <c r="B64" s="3" t="s">
        <v>99</v>
      </c>
      <c r="C64" t="str">
        <f t="shared" ref="C64:AG64" si="9">"&lt;p&gt;"</f>
        <v>&lt;p&gt;</v>
      </c>
      <c r="D64" t="str">
        <f t="shared" si="9"/>
        <v>&lt;p&gt;</v>
      </c>
      <c r="E64" s="1" t="str">
        <f t="shared" si="9"/>
        <v>&lt;p&gt;</v>
      </c>
      <c r="F64" s="2" t="str">
        <f t="shared" si="9"/>
        <v>&lt;p&gt;</v>
      </c>
      <c r="G64" s="1" t="str">
        <f t="shared" si="9"/>
        <v>&lt;p&gt;</v>
      </c>
      <c r="H64" s="1" t="str">
        <f t="shared" si="9"/>
        <v>&lt;p&gt;</v>
      </c>
      <c r="I64" s="1" t="str">
        <f t="shared" si="9"/>
        <v>&lt;p&gt;</v>
      </c>
      <c r="J64" s="1" t="str">
        <f t="shared" si="9"/>
        <v>&lt;p&gt;</v>
      </c>
      <c r="K64" s="1" t="str">
        <f t="shared" si="9"/>
        <v>&lt;p&gt;</v>
      </c>
      <c r="L64" s="1" t="str">
        <f t="shared" si="9"/>
        <v>&lt;p&gt;</v>
      </c>
      <c r="M64" s="1" t="str">
        <f t="shared" si="9"/>
        <v>&lt;p&gt;</v>
      </c>
      <c r="N64" s="1" t="str">
        <f t="shared" si="9"/>
        <v>&lt;p&gt;</v>
      </c>
      <c r="O64" s="1" t="str">
        <f t="shared" si="9"/>
        <v>&lt;p&gt;</v>
      </c>
      <c r="P64" s="1" t="str">
        <f t="shared" si="9"/>
        <v>&lt;p&gt;</v>
      </c>
      <c r="Q64" s="1" t="str">
        <f t="shared" si="9"/>
        <v>&lt;p&gt;</v>
      </c>
      <c r="R64" s="1" t="str">
        <f t="shared" si="9"/>
        <v>&lt;p&gt;</v>
      </c>
      <c r="S64" s="1" t="str">
        <f t="shared" si="9"/>
        <v>&lt;p&gt;</v>
      </c>
      <c r="T64" s="1" t="str">
        <f t="shared" si="9"/>
        <v>&lt;p&gt;</v>
      </c>
      <c r="U64" s="1" t="str">
        <f t="shared" si="9"/>
        <v>&lt;p&gt;</v>
      </c>
      <c r="V64" s="1" t="str">
        <f t="shared" si="9"/>
        <v>&lt;p&gt;</v>
      </c>
      <c r="W64" s="1" t="str">
        <f t="shared" si="9"/>
        <v>&lt;p&gt;</v>
      </c>
      <c r="X64" s="1" t="str">
        <f t="shared" si="9"/>
        <v>&lt;p&gt;</v>
      </c>
      <c r="Y64" s="1" t="str">
        <f t="shared" si="9"/>
        <v>&lt;p&gt;</v>
      </c>
      <c r="Z64" s="1" t="str">
        <f t="shared" si="9"/>
        <v>&lt;p&gt;</v>
      </c>
      <c r="AA64" s="1" t="str">
        <f t="shared" si="9"/>
        <v>&lt;p&gt;</v>
      </c>
      <c r="AB64" s="1" t="str">
        <f t="shared" si="9"/>
        <v>&lt;p&gt;</v>
      </c>
      <c r="AC64" s="1" t="str">
        <f t="shared" si="9"/>
        <v>&lt;p&gt;</v>
      </c>
      <c r="AD64" s="1" t="str">
        <f t="shared" si="9"/>
        <v>&lt;p&gt;</v>
      </c>
      <c r="AE64" s="1" t="str">
        <f t="shared" si="9"/>
        <v>&lt;p&gt;</v>
      </c>
      <c r="AF64" s="1" t="str">
        <f t="shared" si="9"/>
        <v>&lt;p&gt;</v>
      </c>
      <c r="AG64" s="1" t="str">
        <f t="shared" si="9"/>
        <v>&lt;p&gt;</v>
      </c>
    </row>
    <row r="65" spans="2:33" ht="409.5" x14ac:dyDescent="0.25">
      <c r="B65" s="3" t="s">
        <v>100</v>
      </c>
      <c r="C65" s="7" t="str">
        <f t="shared" ref="C65:E65" si="10">C5</f>
        <v>Die heilige Thérèse von Lisieux wird uns in sechs Schritten zur Osterfreude führen: 
-   1. Sonntag: „Selig jener, der würdig erachtet wurde, Anfechtung zu erleiden!“ 
-   2. Sonntag: „O [Heiliges] Antlitz, schöner als die Lilien und Rosen im Frühling!“ 
-   3. Sonntag: „Ich fühlte ein großes Verlangen, für die Bekehrung der Sünder zu arbeiten“
 -   4. Sonntag: „Hätte ich auch alle begehbaren Sünden auf dem Gewissen ...“ 
-   5. Sonntag: „Eine arme Sünderin wie ich“ 
-   Karwoche: „Schau Jesus ins Antlitz ... Da wirst du sehen, wie er uns liebt!“ 
-   Ostern: „Dies ist mein Himmel ... dies ist meine Bestimmung: Leben aus Liebe!!!...“ Jeden Freitag erhalten Sie eine E-Mail-Nachricht: Dort können Sie den Text herunterladen (in drei Formaten: PDF, Word, PDF im Handyformat) oder die Audio-Version als Podcast anhören. Der Inhalt der Betrachtung wird vom Sonntagsevangelium ausgehen und uns in die Schule der heiligen Thérèse von Lisieux führen. Ein Fastenkalender (Zitate und Bilder) wird Sie außerdem jeden Tag, von Montag bis Samstag, durch geistliche Impulse inspirieren.</v>
      </c>
      <c r="D65" t="str">
        <f t="shared" si="10"/>
        <v>Diese Online-Exerzitien wollen in den Geist und das Gebet der Jüngsten unter allen Kirchenlehrern einführen, deren Geburtstag sich letztes Jahr zum 150. Mal jährte: die hl. Thérèse vom Kinde Jesus (von Lisieux). Wir werden dies tun, indem wir uns in erster Linie auf die Schriften der Heiligen stützen, die uns ein umfangreiches schriftliches Werk hinterlassen hat. Doch diese erklären nicht alles. Thérèses fulminante Berufung kann nur vor dem Hintergrund des unergründlichen Geheimnisses, von dem ihr ganzes Leben Zeugnis ablegt, vollständig verstanden werden: dem der göttlichen Barmherzigkeit.</v>
      </c>
      <c r="E65" s="1" t="str">
        <f t="shared" si="10"/>
        <v>„Durch das Kreuz zum Licht“: So lautet der Anfang der Worte, die Pater Jacques von Jesus im März 1945 im Konzentrationslager Gusen (Österreich) mit Bleistift in ein Notizbuch kritzelte. Sie haben den Wert eines geistlichen Testaments. Dieser bemerkenswerte Erzieher, der im Januar 1944 im Karmeliterkloster von Avon von der Gestapo verhaftet worden war (ein Vorfall, der in dem Film „Auf Wiedersehen, Kinder“  von Louis Malle aufgegriffen wird) und dessen Seligsprechungsprozess im Gange ist, wird uns einen wirkkräftigen Fastenweg aufzeigen, um dem Licht Christi entgegenzugehen.</v>
      </c>
      <c r="F65" s="2" t="str">
        <f t="shared" ref="F65:I65" si="11">F5</f>
        <v>„Gott ist unendliche Freude." Dieser berühmte Ausspruch der heiligen Teresa de Los Andes (1900-1920), der ersten Chilenin, die heiliggesprochen wurde, ist das Leitmotiv für diese Exerzitien im Advent 2023: Ja, Gott ist sehr viel liebenswürdiger, schöner und liebevoller als wir im Allgemeinen denken! Teresa wird uns dies erkennen lassen, indem sie uns das Beispiel einer liebenswürdigen Heiligkeit vor Augen führt und uns leicht verständliche Ratschläge gibt, damit auch wir unser Leben in der göttlichen Freude verankern können. In ihrer Schule werden wir erkennen, dass wir – an der Seite des göttlichen Neugeborenen – zu einer frohen Heiligkeit gelangen können …</v>
      </c>
      <c r="G65" s="1" t="str">
        <f t="shared" si="11"/>
        <v>„Kinder Gottes: Wir sind es bereits im Keim durch unsere Taufe. Aber wie können wir unsere tiefe Berufung, für Gott Söhne und Töchter zu werden, voll und ganz verwirklichen? Das Gebet, das persönliche Gebet ist ein bevorzugter Weg für diese Neuschöpfung in Christus. Diese Exerzitien in der Fastenzeit werden uns helfen, unser geistliches Leben tiefgreifend zu erneuern, damit wir uns an der Ostergnade in kindlicher Dankbarkeit erfreuen können!"</v>
      </c>
      <c r="H65" s="1" t="str">
        <f t="shared" si="11"/>
        <v>Das Weihnachtsgeheimnis ist das Geheimnis Gottes, der sich in unserem Menschsein zu unserer Erlösung gegenwärtig macht. Vor 2000 Jahren in der Krippe von Bethlehem anwesend, ist Christus Jesus hier und jetzt, mitten unter uns und in jedem von uns gegenwärtig. Während dieser Einkehrtage im Advent werden wir uns in die Schule der Heiligen des Karmel begeben, um diese Gegenwart Gottes in unserem Leben auf erneuerte Weise zu empfangen. Gehen wir "auf dieser wunderbaren Straße der Gegenwart Gottes"!</v>
      </c>
      <c r="I65" s="1">
        <f t="shared" si="11"/>
        <v>0</v>
      </c>
      <c r="J65" s="1" t="str">
        <f t="shared" ref="J65:Z65" si="12">J5</f>
        <v>Die heilige Thérèse vom Kinde Jesus (1873-1897) und Maria Montessori (1870-1952) sind beide Doktoren. Die eine führt die Kirche zur Kindschaft, die andere das Kind zur Kirche. Als Frauen und Prophetinnen haben sie aus der Quelle desselben Evangeliums geschöpft. Durch ihre Stimmen, die  im Wechsel gleichsam als Echo widerhallen, lüftet Gott den geheimnisvollen Schleier seines Antlitzes, das den Kleinen zugetan ist.</v>
      </c>
      <c r="K65" s="6" t="str">
        <f t="shared" si="12"/>
        <v>Es war mitten in einer Krise, als die heilige Teresa von Ávila (1515-1582) ihr geistliches Meisterwerk, das Buch der Wohnungen der Inneren Burg, schrieb. Während ihr gesamtes Werk als Gründerin des Karmel in sich zusammenzufallen scheint, schöpft sie ihre Energie aus ihrer inneren Burg. In unserem Kontext der Gesundheits- und Wirtschaftskrise kann uns die ‘Madre’ in dieser Fastenzeit helfen, zu entdecken, dass unsere Stärke im Inneren liegt. Mit dieser Kirchenlehrerin gehen wir durch die Burg von Wohnung zu Wohnung zum Zentrum, wo das Licht von Ostern leuchtet. Die Gegenwart des Auferstandenen ist die wahre gute Nachricht, die unser geistliches Leben wiederbeleben kann. 
Die Meditationen wurden von P. Guillaume Dehorter OCD (Karmelit in Avon bei Paris) und einem Team zusammengestellt. Die Aussendung in deutscher Sprache geschieht als Initiative des Verlags Christliche Innerlichkeit und des Teresianischen Karmel in Österreich, der Edith Stein Gesellschaft Österreich und der Marienschwestern vom Karmel. Die deutsche Fassung wurde von den Karmelitinnen in Mayerling bereitgestellt.</v>
      </c>
      <c r="L65" s="6" t="str">
        <f t="shared" ref="L65:AG65" si="13">L5</f>
        <v>Diesmal begleitet uns durch den Advent die Gründerin des Karmel in Frankreich, Sr. Maria von der Menschwerdung (1566-1618), auch die “Schöne Acarie” genannt. Sie heiratete, bekamm Kinder und war in der Gesellshaft ihrer Zeit sehr einflussreich, bevor sie schließlich als Witwe in den Karmel eintrat. Ihre Biographie und ihre geistlichen Schriften geben Nahrung besonders in einer Zeit wie dieser, die von Unsicherheit geprägt ist. Die Exerzitien stehen unter dem Motto: Glauben an das Unmögliche.</v>
      </c>
      <c r="M65" s="6" t="str">
        <f t="shared" si="13"/>
        <v>In dieser Fastenzeit werden uns Texte des hl. Karmeliten Johannes vom Kreuz begleiten, der im XVI. Jhd. zusammen mit der hl. Teresa von Avila den Orden der Karmelitinnen und Karmeliten reformiert hat. Als Lehrer der Kirche gilt er besonders als Meister des mystischen Lebens und wird heute noch von vielen als Berater im Geistlichen Leben angerufen bzw. werden seine Werke gelesen.</v>
      </c>
      <c r="N65" s="6" t="str">
        <f t="shared" si="13"/>
        <v>Wer ist qualifizierter als die Mutter Jesu, die Jungfrau Maria, um uns auf Weihnachten vorzubereiten? Unsere liebe Frau vom Berge Karmel begleitet uns in diesen neuen Adventsexerzitien und hilft uns, das Wort Gottes zu verinnerlichen und es in die Tat umzusetzen. Wir werden das Geheimnis Mariens mithilfe der Schriften des Karmeliten P. François de S.te Marie OCD näher kennenlernen.</v>
      </c>
      <c r="O65" s="6" t="str">
        <f t="shared" si="13"/>
        <v>Die Hl. Teresa Benedicta vom Kreuz ist eine Mit-Patronin von Europa. Bevor sie in den Karmel eintrat und ihren Ordensnamen angenommen hat, war Edith Stein Philosophin und Dozentin. Sie wurde 1981 in Preussen als Jüdin geboren und wandte sich später dem Agnostizismus zu. Sie begab sich auf die Suche nach Wahrheit, durch die Philosophie und die Ereignisse in ihrem Leben, bis sie schließlich Christus entdeckte und sich im Alter von 31 Jahren taufen ließ. Sie wurde eine bemerkenswerte katholische Intellektuelle, der von den Nazis die Lehrerlaubnis entzogen wurde. Im Jahr 1933 trat sie in den Kölner Karmel ein, von wo sie 1939 nach Holland in den Karmel in Echt fliehen musste. Dort wurden sie und ihre Schwester festgenommen und nach Auschwitz gebracht, wo Edith Stein am 9. August 1942 starb. Hinterlassen hat sie uns ihr Werk und eine starke Botschaft. In dieser Fastenzeit werden uns ihre Schriften und ihr Leben begleiten, wenn wir uns auf den Weg machen, Christus nachzufolgen, der Auferstehung entgegen.</v>
      </c>
      <c r="P65" s="6" t="str">
        <f t="shared" si="13"/>
        <v>Wer ist qualifizierter als die Mutter Jesu, die Jungfrau Maria, um uns auf Weihnachten vorzubereiten? Nach dem heiligen Josef im vergangenen Jahr, begleitet sie uns in diesen neuen Adventsexerzitien. Unsere liebe Frau vom Berge Karmel hilft uns, das Wort Gottes zu verinnerlichen und es in die Tat umzusetzen. Wir werden das Geheimnis Mariens anhand des mittelalterlichen Gedichtes „Flos carmeli“ meditieren, das sie als Blume, Königin und Schönheit des Karmel anruft. So werden wir noch mehr entdecken, wie sehr Christus uns in unserer Menschheit begegnet.</v>
      </c>
      <c r="Q65" s="6" t="str">
        <f t="shared" si="13"/>
        <v>«Ich wende mein kleines Omelett in der Pfanne aus Liebe zu Gott» Bruder Lorenz von der Auferstehung der „mystische Koch”</v>
      </c>
      <c r="R65" s="6" t="str">
        <f t="shared" si="13"/>
        <v>In diesem Jahr bieten Ihnen die Karmeliten Online-Exerzitien mit dem hl. Josef. Seit der hl. Teresa von Avila (1515-1582) hat Josef in der karmelitanischen Tradition einen wichtigen Platz. Teresa gab den meisten ihrer Klöster den hl. Josef zum Patron und empfahl ihren Mitschwestern, „unseren glorreichen Vater Josef“ als Meister des Gebetes anzurufen. 
Der hl. Josef hat eine wichtige Rolle in der Heilsgeschichte gespielt, obwohl er fast unbemerkt im Hintergrund blieb. Was kann man über ihn sagen, von dem die hl. Schrift kein einziges Wort überliefert hat? 
Der hl. Josef kann uns allerdings Vieles lehren. Er wird uns helfen, in die Stille des Advents einzutauchen, damit wir dem Wort Gottes – d.h. Seinem Sohn – Raum geben können. Unsere Exerzitien orientieren sich an der Bibel mit Hinzunahme der Tradition des Karmel – sie möchten uns helfen, Jesus aufzunehmen – das Wort Gottes, das von Josef und Maria großgezogen wurde.</v>
      </c>
      <c r="S65" s="6">
        <f t="shared" si="13"/>
        <v>0</v>
      </c>
      <c r="T65" s="6">
        <f t="shared" si="13"/>
        <v>0</v>
      </c>
      <c r="U65" s="6" t="str">
        <f t="shared" si="13"/>
        <v>So laden wir Sie ein, wirklich in das Wort Gottes einzutauchen, damit es Ihren Weg auf Ostern hin begleite, wie es das Leben des Propheten Elija geführt hat. Um tagsüber in der Atmosphäre der Exerzitien zu bleiben, möchten wir Sie sehr dazu ermutigen, sich den angegebenen Schriftvers einzuprägen. So können Sie ihn gemäß der östlichen Tradition des „Jesusgebets“ während des Tages innerlich wiederholen. Sich das Wort ins Gedächtnis zu rufen, es innerlich zu wiederholen, das bedeutet, in der Gegenwart Gottes zu bleiben, zu Hause wie unterwegs, bei der Erholung wie in der Arbeitszeit. Gott wohnt in unserem Herzen, wenn sein Wort in unserem Gedächtnis wohnt. Dieses Wort wirkt, wenn es vom Atem getragen wird. Gedächtnis und Atem wirken zusammen, damit das Wort Gottes im Laufe der Tage in uns Licht und Leben werde. Beginnen Sie gleich, indem Sie sich den sinnbildlichen Ausruf des Propheten Elija einprägen und „atmen“:</v>
      </c>
      <c r="V65" s="6" t="str">
        <f t="shared" si="13"/>
        <v>Sie sind die Ersten! Louis und Zélie Martin, am vergangenen 18. Oktober heiliggesprochen, sind das erste Ehepaar der Geschichte, das gemeinsam, als Ehemann und Ehefrau, kanonisiert worden ist. Aber wer sind sie wirklich? Sind sie nur die Eltern der kleinen Thérèse, deren Leben uninteressant gewesen wäre, wenn es ihre berühmte Tochter nicht gegeben hätte? Oder sind sie im Gegenteil unnachahmliche Heilige? Worin kann ihr Glaubensleben für uns heute noch bedeutsam sein? Und schließlich: Welche Verbindung kann man zwischen diesem Ehepaar und der kommenden Weihnachtsgnade herstellen? Die verschiedenen Themen, die im Lauf der vier Adventssonntage angesprochen werden, beantworten diese Fragen. Wir werden im Laufe der Exerzitien nach und nach den Verlauf ihres Lebens kennenlernen. Doch schon jetzt können wir auf die letzte Frage antworten: Louis und Zélie haben wie Maria und Josef die Gabe dessen angenommen, der das Leben ist; sie haben die heiligende Gegenwart der Liebe angenommen. Ihr gemeinsames Leben, dem wir im Lauf der Online-Exerzitien chronologisch nachgehen werden, wird uns zeigen, wie sehr die Gnade von Weihnachten – das heißt die Gnade der Liebe, die kommt, um unter uns Fleisch anzunehmen – sich in einem Leben oder in einer Familie erneuert, die den alltäglichen Glauben der bescheidenen Familie von Nazaret teilt.</v>
      </c>
      <c r="W65" s="6" t="str">
        <f t="shared" si="13"/>
        <v>In diesem Jahr begehen wir das 500-jährige Jubiläum der Geburt der hl. Teresa von Ávila (1515–1582), Gründerin unseres Zweiges des Karmel.
Die Exerzitien werden sich mit der Umkehr der jungen Teresa befassen, die uns als Vorbild vorangegangen ist und uns durch diese Fastenzeit begleiten wird auf unserem persönlichen Weg der Umkehr.</v>
      </c>
      <c r="X65" s="6" t="str">
        <f t="shared" si="13"/>
        <v>Der französische Karmelit P. Jacques wurde in Mauthausen-Gusen interniert, weil er 1943 jüdische Kinder in einer Schule der Karmeliten versteckt hatte. Er starb am 2. Juni 1945 im Spital der Elisabethinen in Linz.</v>
      </c>
      <c r="Y65" s="6" t="str">
        <f t="shared" si="13"/>
        <v>"Ich habe großes Verlangen, all die Ereignisse unserer Tage einmal im Licht der Ewigkeit zu sehen. Denn das erkennt man doch immer klarer, wie blind wir für alles sind. Man staunt, wie verkehrt man vieles früher angesehen hat, und begeht doch im nächsten Augenblick wieder den Fehler, sich ein Urteil zu bilden, ohne dass man die nötigen Grundlagen dafür hat." Hl. Edith Stein</v>
      </c>
      <c r="Z65" s="6" t="str">
        <f t="shared" si="13"/>
        <v>Die Karmeliten in Wien geben für jede Woche im Advent einen Impuls zur Besinnung und täglich kurze Anregungen zum Gebet. Unsere Begleiterin ist die hl. Sr. Teresia Benedicta vom Kreuz (Edith Stein) mit ihren Texten über das Weihnachtsgeheimnis.</v>
      </c>
      <c r="AA65" s="6" t="str">
        <f t="shared" si="13"/>
        <v>"Ich habe großes Verlangen, all die Ereignisse unserer Tage einmal im Licht der Ewigkeit zu sehen. Denn das erkennt man doch immer klarer, wie blind wir für alles sind. Man staunt, wie verkehrt man vieles früher angesehen hat, und begeht doch im nächsten Augenblick wieder den Fehler, sich ein Urteil zu bilden, ohne dass man die nötigen Grundlagen dafür hat." Hl. Edith Stein</v>
      </c>
      <c r="AB65" s="6">
        <f t="shared" si="13"/>
        <v>0</v>
      </c>
      <c r="AC65" s="6" t="str">
        <f t="shared" si="13"/>
        <v>Jeden Tag in der Fastenzeit finden Sie auf der Homepage www.edithstein.karmel.at einen Impuls zur Besinnung mit Texten der hl. Edith Stein. Im Rahmen des Edith-Stein-Gedenkjahres 2011/2012 von den Marienschwestern vom Karmel erstellt.</v>
      </c>
      <c r="AD65" s="6">
        <f t="shared" si="13"/>
        <v>0</v>
      </c>
      <c r="AE65" s="6">
        <f t="shared" si="13"/>
        <v>0</v>
      </c>
      <c r="AF65" s="6">
        <f t="shared" si="13"/>
        <v>0</v>
      </c>
      <c r="AG65" s="6">
        <f t="shared" si="13"/>
        <v>0</v>
      </c>
    </row>
    <row r="66" spans="2:33" x14ac:dyDescent="0.25">
      <c r="B66" s="4" t="s">
        <v>683</v>
      </c>
      <c r="G66" s="1"/>
      <c r="H66" s="1"/>
      <c r="I66" s="1"/>
      <c r="J66" s="1"/>
      <c r="K66" s="1"/>
      <c r="L66" s="1"/>
      <c r="M66" s="1"/>
      <c r="N66" s="1"/>
      <c r="O66" s="1"/>
      <c r="P66" s="1"/>
      <c r="Q66" s="1"/>
      <c r="R66" s="1"/>
      <c r="S66" s="1"/>
      <c r="T66" s="1"/>
      <c r="U66" s="1"/>
      <c r="V66" s="1"/>
      <c r="W66" s="1"/>
      <c r="X66" s="1"/>
      <c r="Y66" s="1"/>
      <c r="Z66" s="1"/>
      <c r="AA66" s="1"/>
      <c r="AB66" s="1"/>
      <c r="AC66" s="1"/>
      <c r="AD66" s="1"/>
      <c r="AE66" s="1"/>
      <c r="AF66" s="1"/>
      <c r="AG66" s="1"/>
    </row>
    <row r="67" spans="2:33" x14ac:dyDescent="0.25">
      <c r="B67" s="4" t="s">
        <v>684</v>
      </c>
      <c r="G67" s="1"/>
      <c r="H67" s="1"/>
      <c r="I67" s="1"/>
      <c r="J67" s="1"/>
      <c r="K67" s="1"/>
      <c r="L67" s="1"/>
      <c r="M67" s="1"/>
      <c r="N67" s="1"/>
      <c r="O67" s="1"/>
      <c r="P67" s="1"/>
      <c r="Q67" s="1"/>
      <c r="R67" s="1"/>
      <c r="S67" s="1"/>
      <c r="T67" s="1"/>
      <c r="U67" s="1"/>
      <c r="V67" s="1"/>
      <c r="W67" s="1"/>
      <c r="X67" s="1"/>
      <c r="Y67" s="1"/>
      <c r="Z67" s="1"/>
      <c r="AA67" s="1"/>
      <c r="AB67" s="1"/>
      <c r="AC67" s="1"/>
      <c r="AD67" s="1"/>
      <c r="AE67" s="1"/>
      <c r="AF67" s="1"/>
      <c r="AG67" s="1"/>
    </row>
    <row r="68" spans="2:33" x14ac:dyDescent="0.25">
      <c r="B68" s="3" t="s">
        <v>103</v>
      </c>
      <c r="G68" s="1"/>
      <c r="H68" s="1"/>
      <c r="I68" s="1"/>
      <c r="J68" s="1"/>
      <c r="K68" s="1"/>
      <c r="L68" s="1"/>
      <c r="M68" s="1"/>
      <c r="N68" s="1"/>
      <c r="O68" s="1"/>
      <c r="P68" s="1"/>
      <c r="Q68" s="1"/>
      <c r="R68" s="1"/>
      <c r="S68" s="1"/>
      <c r="T68" s="1"/>
      <c r="U68" s="1"/>
      <c r="V68" s="1"/>
      <c r="W68" s="1"/>
      <c r="X68" s="1"/>
      <c r="Y68" s="1"/>
      <c r="Z68" s="1"/>
      <c r="AA68" s="1"/>
      <c r="AB68" s="1"/>
      <c r="AC68" s="1"/>
      <c r="AD68" s="1"/>
      <c r="AE68" s="1"/>
      <c r="AF68" s="1"/>
      <c r="AG68" s="1"/>
    </row>
    <row r="69" spans="2:33" x14ac:dyDescent="0.25">
      <c r="B69" s="5"/>
      <c r="G69" s="1"/>
      <c r="H69" s="1"/>
      <c r="I69" s="1"/>
      <c r="J69" s="1"/>
      <c r="K69" s="1"/>
      <c r="L69" s="1"/>
      <c r="M69" s="1"/>
      <c r="N69" s="1"/>
      <c r="O69" s="1"/>
      <c r="P69" s="1"/>
      <c r="Q69" s="1"/>
      <c r="R69" s="1"/>
      <c r="S69" s="1"/>
      <c r="T69" s="1"/>
      <c r="U69" s="1"/>
      <c r="V69" s="1"/>
      <c r="W69" s="1"/>
      <c r="X69" s="1"/>
      <c r="Y69" s="1"/>
      <c r="Z69" s="1"/>
      <c r="AA69" s="1"/>
      <c r="AB69" s="1"/>
      <c r="AC69" s="1"/>
      <c r="AD69" s="1"/>
      <c r="AE69" s="1"/>
      <c r="AF69" s="1"/>
      <c r="AG69" s="1"/>
    </row>
    <row r="70" spans="2:33" x14ac:dyDescent="0.25">
      <c r="B70" s="4" t="s">
        <v>104</v>
      </c>
      <c r="G70" s="1"/>
      <c r="H70" s="1"/>
      <c r="I70" s="1"/>
      <c r="J70" s="1"/>
      <c r="K70" s="1"/>
      <c r="L70" s="1"/>
      <c r="M70" s="1"/>
      <c r="N70" s="1"/>
      <c r="O70" s="1"/>
      <c r="P70" s="1"/>
      <c r="Q70" s="1"/>
      <c r="R70" s="1"/>
      <c r="S70" s="1"/>
      <c r="T70" s="1"/>
      <c r="U70" s="1"/>
      <c r="V70" s="1"/>
      <c r="W70" s="1"/>
      <c r="X70" s="1"/>
      <c r="Y70" s="1"/>
      <c r="Z70" s="1"/>
      <c r="AA70" s="1"/>
      <c r="AB70" s="1"/>
      <c r="AC70" s="1"/>
      <c r="AD70" s="1"/>
      <c r="AE70" s="1"/>
      <c r="AF70" s="1"/>
      <c r="AG70" s="1"/>
    </row>
    <row r="71" spans="2:33" x14ac:dyDescent="0.25">
      <c r="B71" s="4" t="s">
        <v>105</v>
      </c>
      <c r="G71" s="1"/>
      <c r="H71" s="1"/>
      <c r="I71" s="1"/>
      <c r="J71" s="1"/>
      <c r="K71" s="1"/>
      <c r="L71" s="1"/>
      <c r="M71" s="1"/>
      <c r="N71" s="1"/>
      <c r="O71" s="1"/>
      <c r="P71" s="1"/>
      <c r="Q71" s="1"/>
      <c r="R71" s="1"/>
      <c r="S71" s="1"/>
      <c r="T71" s="1"/>
      <c r="U71" s="1"/>
      <c r="V71" s="1"/>
      <c r="W71" s="1"/>
      <c r="X71" s="1"/>
      <c r="Y71" s="1"/>
      <c r="Z71" s="1"/>
      <c r="AA71" s="1"/>
      <c r="AB71" s="1"/>
      <c r="AC71" s="1"/>
      <c r="AD71" s="1"/>
      <c r="AE71" s="1"/>
      <c r="AF71" s="1"/>
      <c r="AG71" s="1"/>
    </row>
    <row r="72" spans="2:33" x14ac:dyDescent="0.25">
      <c r="B72" s="4" t="s">
        <v>106</v>
      </c>
      <c r="G72" s="1"/>
      <c r="H72" s="1"/>
      <c r="I72" s="1"/>
      <c r="J72" s="1"/>
      <c r="K72" s="1"/>
      <c r="L72" s="1"/>
      <c r="M72" s="1"/>
      <c r="N72" s="1"/>
      <c r="O72" s="1"/>
      <c r="P72" s="1"/>
      <c r="Q72" s="1"/>
      <c r="R72" s="1"/>
      <c r="S72" s="1"/>
      <c r="T72" s="1"/>
      <c r="U72" s="1"/>
      <c r="V72" s="1"/>
      <c r="W72" s="1"/>
      <c r="X72" s="1"/>
      <c r="Y72" s="1"/>
      <c r="Z72" s="1"/>
      <c r="AA72" s="1"/>
      <c r="AB72" s="1"/>
      <c r="AC72" s="1"/>
      <c r="AD72" s="1"/>
      <c r="AE72" s="1"/>
      <c r="AF72" s="1"/>
      <c r="AG72" s="1"/>
    </row>
    <row r="73" spans="2:33" x14ac:dyDescent="0.25">
      <c r="B73" s="4" t="s">
        <v>107</v>
      </c>
      <c r="G73" s="1"/>
      <c r="H73" s="1"/>
      <c r="I73" s="1"/>
      <c r="J73" s="1"/>
      <c r="K73" s="1"/>
      <c r="L73" s="1"/>
      <c r="M73" s="1"/>
      <c r="N73" s="1"/>
      <c r="O73" s="1"/>
      <c r="P73" s="1"/>
      <c r="Q73" s="1"/>
      <c r="R73" s="1"/>
      <c r="S73" s="1"/>
      <c r="T73" s="1"/>
      <c r="U73" s="1"/>
      <c r="V73" s="1"/>
      <c r="W73" s="1"/>
      <c r="X73" s="1"/>
      <c r="Y73" s="1"/>
      <c r="Z73" s="1"/>
      <c r="AA73" s="1"/>
      <c r="AB73" s="1"/>
      <c r="AC73" s="1"/>
      <c r="AD73" s="1"/>
      <c r="AE73" s="1"/>
      <c r="AF73" s="1"/>
      <c r="AG73" s="1"/>
    </row>
    <row r="74" spans="2:33" x14ac:dyDescent="0.25">
      <c r="B74" s="4" t="s">
        <v>108</v>
      </c>
      <c r="G74" s="1"/>
      <c r="H74" s="1"/>
      <c r="I74" s="1"/>
      <c r="J74" s="1"/>
      <c r="K74" s="1"/>
      <c r="L74" s="1"/>
      <c r="M74" s="1"/>
      <c r="N74" s="1"/>
      <c r="O74" s="1"/>
      <c r="P74" s="1"/>
      <c r="Q74" s="1"/>
      <c r="R74" s="1"/>
      <c r="S74" s="1"/>
      <c r="T74" s="1"/>
      <c r="U74" s="1"/>
      <c r="V74" s="1"/>
      <c r="W74" s="1"/>
      <c r="X74" s="1"/>
      <c r="Y74" s="1"/>
      <c r="Z74" s="1"/>
      <c r="AA74" s="1"/>
      <c r="AB74" s="1"/>
      <c r="AC74" s="1"/>
      <c r="AD74" s="1"/>
      <c r="AE74" s="1"/>
      <c r="AF74" s="1"/>
      <c r="AG74" s="1"/>
    </row>
    <row r="75" spans="2:33" x14ac:dyDescent="0.25">
      <c r="B75" s="4" t="s">
        <v>685</v>
      </c>
      <c r="C75" t="s">
        <v>686</v>
      </c>
      <c r="D75" t="s">
        <v>686</v>
      </c>
      <c r="E75" s="1" t="s">
        <v>686</v>
      </c>
      <c r="F75" s="2" t="s">
        <v>686</v>
      </c>
      <c r="G75" s="1" t="s">
        <v>686</v>
      </c>
      <c r="H75" s="1" t="s">
        <v>686</v>
      </c>
      <c r="I75" s="1" t="s">
        <v>686</v>
      </c>
      <c r="J75" s="1" t="s">
        <v>686</v>
      </c>
      <c r="K75" s="1" t="s">
        <v>686</v>
      </c>
      <c r="L75" s="1" t="s">
        <v>686</v>
      </c>
      <c r="M75" s="1" t="s">
        <v>686</v>
      </c>
      <c r="N75" s="1" t="s">
        <v>686</v>
      </c>
      <c r="O75" s="1" t="s">
        <v>686</v>
      </c>
      <c r="P75" s="1" t="s">
        <v>686</v>
      </c>
      <c r="Q75" s="1" t="s">
        <v>686</v>
      </c>
      <c r="R75" s="1" t="s">
        <v>686</v>
      </c>
      <c r="S75" s="1" t="s">
        <v>686</v>
      </c>
      <c r="T75" s="1" t="s">
        <v>686</v>
      </c>
      <c r="U75" s="1" t="s">
        <v>686</v>
      </c>
      <c r="V75" s="1" t="s">
        <v>686</v>
      </c>
      <c r="W75" s="1" t="s">
        <v>686</v>
      </c>
      <c r="X75" s="1" t="s">
        <v>686</v>
      </c>
      <c r="Y75" s="1" t="s">
        <v>686</v>
      </c>
      <c r="Z75" s="1" t="s">
        <v>686</v>
      </c>
      <c r="AA75" s="1" t="s">
        <v>686</v>
      </c>
      <c r="AB75" s="1" t="s">
        <v>686</v>
      </c>
      <c r="AC75" s="1" t="s">
        <v>686</v>
      </c>
      <c r="AD75" s="1" t="s">
        <v>686</v>
      </c>
      <c r="AE75" s="1" t="s">
        <v>686</v>
      </c>
      <c r="AF75" s="1" t="s">
        <v>686</v>
      </c>
      <c r="AG75" s="1" t="s">
        <v>686</v>
      </c>
    </row>
    <row r="76" spans="2:33" x14ac:dyDescent="0.25">
      <c r="B76" s="4" t="s">
        <v>687</v>
      </c>
      <c r="C76" t="s">
        <v>687</v>
      </c>
      <c r="D76" t="s">
        <v>687</v>
      </c>
      <c r="E76" s="1" t="s">
        <v>687</v>
      </c>
      <c r="F76" s="2" t="s">
        <v>687</v>
      </c>
      <c r="G76" s="1" t="s">
        <v>687</v>
      </c>
      <c r="H76" s="1" t="s">
        <v>687</v>
      </c>
      <c r="I76" s="1" t="s">
        <v>687</v>
      </c>
      <c r="J76" s="1" t="s">
        <v>687</v>
      </c>
      <c r="K76" s="1" t="s">
        <v>687</v>
      </c>
      <c r="L76" s="1" t="s">
        <v>687</v>
      </c>
      <c r="M76" s="1" t="s">
        <v>687</v>
      </c>
      <c r="N76" s="1" t="s">
        <v>687</v>
      </c>
      <c r="O76" s="1" t="s">
        <v>687</v>
      </c>
      <c r="P76" s="1" t="s">
        <v>687</v>
      </c>
      <c r="Q76" s="1" t="s">
        <v>687</v>
      </c>
      <c r="R76" s="1" t="s">
        <v>687</v>
      </c>
      <c r="S76" s="1" t="s">
        <v>687</v>
      </c>
      <c r="T76" s="1" t="s">
        <v>687</v>
      </c>
      <c r="U76" s="1" t="s">
        <v>687</v>
      </c>
      <c r="V76" s="1" t="s">
        <v>687</v>
      </c>
      <c r="W76" s="1" t="s">
        <v>687</v>
      </c>
      <c r="X76" s="1" t="s">
        <v>687</v>
      </c>
      <c r="Y76" s="1" t="s">
        <v>687</v>
      </c>
      <c r="Z76" s="1" t="s">
        <v>687</v>
      </c>
      <c r="AA76" s="1" t="s">
        <v>687</v>
      </c>
      <c r="AB76" s="1" t="s">
        <v>687</v>
      </c>
      <c r="AC76" s="1" t="s">
        <v>687</v>
      </c>
      <c r="AD76" s="1" t="s">
        <v>687</v>
      </c>
      <c r="AE76" s="1" t="s">
        <v>687</v>
      </c>
      <c r="AF76" s="1" t="s">
        <v>687</v>
      </c>
      <c r="AG76" s="1" t="s">
        <v>687</v>
      </c>
    </row>
    <row r="77" spans="2:33" x14ac:dyDescent="0.25">
      <c r="B77" s="4" t="s">
        <v>804</v>
      </c>
      <c r="C77" t="str">
        <f t="shared" ref="C77:E77" si="14">"&lt;img src=""../"&amp;C6&amp;""" alt=""""&gt;"</f>
        <v>&lt;img src="../img/FS25_header_DE.png" alt=""&gt;</v>
      </c>
      <c r="D77" t="str">
        <f t="shared" si="14"/>
        <v>&lt;img src="../img/AD24_header_DE.png" alt=""&gt;</v>
      </c>
      <c r="E77" s="1" t="str">
        <f t="shared" si="14"/>
        <v>&lt;img src="../img/FS24_header_DE.png" alt=""&gt;</v>
      </c>
      <c r="F77" s="2" t="str">
        <f t="shared" ref="F77:I77" si="15">"&lt;img src=""../"&amp;F6&amp;""" alt=""""&gt;"</f>
        <v>&lt;img src="../img/AD23_header_DE.png" alt=""&gt;</v>
      </c>
      <c r="G77" s="1" t="str">
        <f t="shared" si="15"/>
        <v>&lt;img src="../img/FS23_header_DE.png" alt=""&gt;</v>
      </c>
      <c r="H77" s="1" t="str">
        <f t="shared" si="15"/>
        <v>&lt;img src="../img/AD22_header_DE.png" alt=""&gt;</v>
      </c>
      <c r="I77" s="1" t="str">
        <f t="shared" si="15"/>
        <v>&lt;img src="../img/FS22_header_DE.png" alt=""&gt;</v>
      </c>
      <c r="J77" s="1" t="str">
        <f t="shared" ref="J77:Z77" si="16">"&lt;img src=""../"&amp;J6&amp;""" alt=""""&gt;"</f>
        <v>&lt;img src="../img/AD21_header_DE.png" alt=""&gt;</v>
      </c>
      <c r="K77" s="1" t="str">
        <f>"&lt;img src=""../"&amp;K6&amp;""" alt=""Header-Bild zur Exerzitien""&gt;"</f>
        <v>&lt;img src="../img/FS21_header_DE.png" alt="Header-Bild zur Exerzitien"&gt;</v>
      </c>
      <c r="L77" s="1" t="str">
        <f t="shared" ref="L77:AG77" si="17">"&lt;img src=""../"&amp;L6&amp;""" alt=""Header-Bild zur Exerzitien""&gt;"</f>
        <v>&lt;img src="../img/AD20_header_DE.png" alt="Header-Bild zur Exerzitien"&gt;</v>
      </c>
      <c r="M77" s="1" t="str">
        <f>"&lt;img src=""/de/"&amp;M6&amp;""" alt=""Header-Bild zur Exerzitien""&gt;"</f>
        <v>&lt;img src="/de/img/FS20_header_DE.png" alt="Header-Bild zur Exerzitien"&gt;</v>
      </c>
      <c r="N77" s="1" t="str">
        <f t="shared" ref="N77:AG77" si="18">"&lt;img src=""/de/"&amp;N6&amp;""" alt=""Header-Bild zur Exerzitien""&gt;"</f>
        <v>&lt;img src="/de/img/AD19_header_DE.png" alt="Header-Bild zur Exerzitien"&gt;</v>
      </c>
      <c r="O77" s="1" t="str">
        <f t="shared" si="18"/>
        <v>&lt;img src="/de/img/FS19_header_DE.png" alt="Header-Bild zur Exerzitien"&gt;</v>
      </c>
      <c r="P77" s="1" t="str">
        <f t="shared" si="18"/>
        <v>&lt;img src="/de/img/AD18_header_DE.png" alt="Header-Bild zur Exerzitien"&gt;</v>
      </c>
      <c r="Q77" s="1" t="str">
        <f t="shared" si="18"/>
        <v>&lt;img src="/de/img/FS18_header_DE.png" alt="Header-Bild zur Exerzitien"&gt;</v>
      </c>
      <c r="R77" s="1" t="str">
        <f t="shared" si="18"/>
        <v>&lt;img src="/de/img/AD17_header_DE.png" alt="Header-Bild zur Exerzitien"&gt;</v>
      </c>
      <c r="S77" s="1" t="str">
        <f t="shared" si="18"/>
        <v>&lt;img src="/de/img/FS17_header_DE.png" alt="Header-Bild zur Exerzitien"&gt;</v>
      </c>
      <c r="T77" s="1" t="str">
        <f t="shared" si="18"/>
        <v>&lt;img src="/de/img/AD16_header_DE.png" alt="Header-Bild zur Exerzitien"&gt;</v>
      </c>
      <c r="U77" s="1" t="str">
        <f t="shared" si="18"/>
        <v>&lt;img src="/de/img/FS16_header_DE.png" alt="Header-Bild zur Exerzitien"&gt;</v>
      </c>
      <c r="V77" s="1" t="str">
        <f t="shared" si="18"/>
        <v>&lt;img src="/de/img/AD15_header_DE.png" alt="Header-Bild zur Exerzitien"&gt;</v>
      </c>
      <c r="W77" s="1" t="str">
        <f t="shared" si="18"/>
        <v>&lt;img src="/de/img/FS15_header_DE.png" alt="Header-Bild zur Exerzitien"&gt;</v>
      </c>
      <c r="X77" s="1" t="str">
        <f t="shared" si="18"/>
        <v>&lt;img src="/de/img/AD14_header_DE.png" alt="Header-Bild zur Exerzitien"&gt;</v>
      </c>
      <c r="Y77" s="1" t="str">
        <f t="shared" si="18"/>
        <v>&lt;img src="/de/img/FS14_header_DE.png" alt="Header-Bild zur Exerzitien"&gt;</v>
      </c>
      <c r="Z77" s="1" t="str">
        <f t="shared" si="18"/>
        <v>&lt;img src="/de/img/AD13_header_DE.png" alt="Header-Bild zur Exerzitien"&gt;</v>
      </c>
      <c r="AA77" s="1" t="str">
        <f t="shared" si="18"/>
        <v>&lt;img src="/de/img/FS13_header_DE.png" alt="Header-Bild zur Exerzitien"&gt;</v>
      </c>
      <c r="AB77" s="1" t="str">
        <f t="shared" si="18"/>
        <v>&lt;img src="/de/img/AD12_header_DE.png" alt="Header-Bild zur Exerzitien"&gt;</v>
      </c>
      <c r="AC77" s="1" t="str">
        <f t="shared" si="18"/>
        <v>&lt;img src="/de/0" alt="Header-Bild zur Exerzitien"&gt;</v>
      </c>
      <c r="AD77" s="1" t="str">
        <f t="shared" si="18"/>
        <v>&lt;img src="/de/0" alt="Header-Bild zur Exerzitien"&gt;</v>
      </c>
      <c r="AE77" s="1" t="str">
        <f t="shared" si="18"/>
        <v>&lt;img src="/de/0" alt="Header-Bild zur Exerzitien"&gt;</v>
      </c>
      <c r="AF77" s="1" t="str">
        <f t="shared" si="18"/>
        <v>&lt;img src="/de/" alt="Header-Bild zur Exerzitien"&gt;</v>
      </c>
      <c r="AG77" s="1" t="str">
        <f t="shared" si="18"/>
        <v>&lt;img src="/de/" alt="Header-Bild zur Exerzitien"&gt;</v>
      </c>
    </row>
    <row r="78" spans="2:33" x14ac:dyDescent="0.25">
      <c r="B78" s="4" t="s">
        <v>117</v>
      </c>
      <c r="C78" t="s">
        <v>117</v>
      </c>
      <c r="D78" t="s">
        <v>117</v>
      </c>
      <c r="E78" s="1" t="s">
        <v>117</v>
      </c>
      <c r="F78" s="2" t="s">
        <v>117</v>
      </c>
      <c r="G78" s="1" t="s">
        <v>117</v>
      </c>
      <c r="H78" s="1" t="s">
        <v>117</v>
      </c>
      <c r="I78" s="1" t="s">
        <v>117</v>
      </c>
      <c r="J78" s="1" t="s">
        <v>117</v>
      </c>
      <c r="K78" s="1" t="s">
        <v>117</v>
      </c>
      <c r="L78" s="1" t="s">
        <v>117</v>
      </c>
      <c r="M78" s="1" t="s">
        <v>117</v>
      </c>
      <c r="N78" s="1" t="s">
        <v>117</v>
      </c>
      <c r="O78" s="1" t="s">
        <v>117</v>
      </c>
      <c r="P78" s="1" t="s">
        <v>117</v>
      </c>
      <c r="Q78" s="1" t="s">
        <v>117</v>
      </c>
      <c r="R78" s="1" t="s">
        <v>117</v>
      </c>
      <c r="S78" s="1" t="s">
        <v>117</v>
      </c>
      <c r="T78" s="1" t="s">
        <v>117</v>
      </c>
      <c r="U78" s="1" t="s">
        <v>117</v>
      </c>
      <c r="V78" s="1" t="s">
        <v>117</v>
      </c>
      <c r="W78" s="1" t="s">
        <v>117</v>
      </c>
      <c r="X78" s="1" t="s">
        <v>117</v>
      </c>
      <c r="Y78" s="1" t="s">
        <v>117</v>
      </c>
      <c r="Z78" s="1" t="s">
        <v>117</v>
      </c>
      <c r="AA78" s="1" t="s">
        <v>117</v>
      </c>
      <c r="AB78" s="1" t="s">
        <v>117</v>
      </c>
      <c r="AC78" s="1" t="s">
        <v>117</v>
      </c>
      <c r="AD78" s="1" t="s">
        <v>117</v>
      </c>
      <c r="AE78" s="1" t="s">
        <v>117</v>
      </c>
      <c r="AF78" s="1" t="s">
        <v>117</v>
      </c>
      <c r="AG78" s="1" t="s">
        <v>117</v>
      </c>
    </row>
    <row r="79" spans="2:33" x14ac:dyDescent="0.25">
      <c r="B79" s="3" t="s">
        <v>116</v>
      </c>
      <c r="C79" t="s">
        <v>117</v>
      </c>
      <c r="D79" t="s">
        <v>117</v>
      </c>
      <c r="E79" s="1" t="s">
        <v>117</v>
      </c>
      <c r="F79" s="2" t="s">
        <v>117</v>
      </c>
      <c r="G79" s="1" t="s">
        <v>117</v>
      </c>
      <c r="H79" s="1" t="s">
        <v>117</v>
      </c>
      <c r="I79" s="1" t="s">
        <v>117</v>
      </c>
      <c r="J79" s="1" t="s">
        <v>117</v>
      </c>
      <c r="K79" s="1" t="s">
        <v>117</v>
      </c>
      <c r="L79" s="1" t="s">
        <v>117</v>
      </c>
      <c r="M79" s="1" t="s">
        <v>117</v>
      </c>
      <c r="N79" s="1" t="s">
        <v>117</v>
      </c>
      <c r="O79" s="1" t="s">
        <v>117</v>
      </c>
      <c r="P79" s="1" t="s">
        <v>117</v>
      </c>
      <c r="Q79" s="1" t="s">
        <v>117</v>
      </c>
      <c r="R79" s="1" t="s">
        <v>117</v>
      </c>
      <c r="S79" s="1" t="s">
        <v>117</v>
      </c>
      <c r="T79" s="1" t="s">
        <v>117</v>
      </c>
      <c r="U79" s="1" t="s">
        <v>117</v>
      </c>
      <c r="V79" s="1" t="s">
        <v>117</v>
      </c>
      <c r="W79" s="1" t="s">
        <v>117</v>
      </c>
      <c r="X79" s="1" t="s">
        <v>117</v>
      </c>
      <c r="Y79" s="1" t="s">
        <v>117</v>
      </c>
      <c r="Z79" s="1" t="s">
        <v>117</v>
      </c>
      <c r="AA79" s="1" t="s">
        <v>117</v>
      </c>
      <c r="AB79" s="1" t="s">
        <v>117</v>
      </c>
      <c r="AC79" s="1" t="s">
        <v>117</v>
      </c>
      <c r="AD79" s="1" t="s">
        <v>117</v>
      </c>
      <c r="AE79" s="1" t="s">
        <v>117</v>
      </c>
      <c r="AF79" s="1" t="s">
        <v>117</v>
      </c>
      <c r="AG79" s="1" t="s">
        <v>117</v>
      </c>
    </row>
    <row r="80" spans="2:33" x14ac:dyDescent="0.25">
      <c r="B80" s="4" t="s">
        <v>688</v>
      </c>
      <c r="C80" t="s">
        <v>688</v>
      </c>
      <c r="D80" t="s">
        <v>688</v>
      </c>
      <c r="E80" s="1" t="s">
        <v>688</v>
      </c>
      <c r="F80" s="2" t="s">
        <v>688</v>
      </c>
      <c r="G80" s="1" t="s">
        <v>688</v>
      </c>
      <c r="H80" s="1" t="s">
        <v>688</v>
      </c>
      <c r="I80" s="1" t="s">
        <v>688</v>
      </c>
      <c r="J80" s="1" t="s">
        <v>688</v>
      </c>
      <c r="K80" s="1" t="s">
        <v>688</v>
      </c>
      <c r="L80" s="1" t="s">
        <v>688</v>
      </c>
      <c r="M80" s="1" t="s">
        <v>688</v>
      </c>
      <c r="N80" s="1" t="s">
        <v>688</v>
      </c>
      <c r="O80" s="1" t="s">
        <v>688</v>
      </c>
      <c r="P80" s="1" t="s">
        <v>688</v>
      </c>
      <c r="Q80" s="1" t="s">
        <v>688</v>
      </c>
      <c r="R80" s="1" t="s">
        <v>688</v>
      </c>
      <c r="S80" s="1" t="s">
        <v>688</v>
      </c>
      <c r="T80" s="1" t="s">
        <v>688</v>
      </c>
      <c r="U80" s="1" t="s">
        <v>688</v>
      </c>
      <c r="V80" s="1" t="s">
        <v>688</v>
      </c>
      <c r="W80" s="1" t="s">
        <v>688</v>
      </c>
      <c r="X80" s="1" t="s">
        <v>688</v>
      </c>
      <c r="Y80" s="1" t="s">
        <v>688</v>
      </c>
      <c r="Z80" s="1" t="s">
        <v>688</v>
      </c>
      <c r="AA80" s="1" t="s">
        <v>688</v>
      </c>
      <c r="AB80" s="1" t="s">
        <v>688</v>
      </c>
      <c r="AC80" s="1" t="s">
        <v>688</v>
      </c>
      <c r="AD80" s="1" t="s">
        <v>688</v>
      </c>
      <c r="AE80" s="1" t="s">
        <v>688</v>
      </c>
      <c r="AF80" s="1" t="s">
        <v>688</v>
      </c>
      <c r="AG80" s="1" t="s">
        <v>688</v>
      </c>
    </row>
    <row r="81" spans="2:33" x14ac:dyDescent="0.25">
      <c r="B81" s="4" t="s">
        <v>689</v>
      </c>
      <c r="C81" t="s">
        <v>689</v>
      </c>
      <c r="D81" t="s">
        <v>689</v>
      </c>
      <c r="G81" s="1"/>
      <c r="H81" s="1"/>
      <c r="I81" s="1"/>
      <c r="J81" s="1"/>
      <c r="K81" s="1"/>
      <c r="L81" s="1"/>
      <c r="M81" s="1"/>
      <c r="N81" s="1"/>
      <c r="O81" s="1"/>
      <c r="P81" s="1"/>
      <c r="Q81" s="1"/>
      <c r="R81" s="1"/>
      <c r="S81" s="1"/>
      <c r="T81" s="1"/>
      <c r="U81" s="1"/>
      <c r="V81" s="1"/>
      <c r="W81" s="1"/>
      <c r="X81" s="1"/>
      <c r="Y81" s="1"/>
      <c r="Z81" s="1"/>
      <c r="AA81" s="1"/>
      <c r="AB81" s="1"/>
      <c r="AC81" s="1"/>
      <c r="AD81" s="1"/>
      <c r="AE81" s="1"/>
      <c r="AF81" s="1"/>
      <c r="AG81" s="1"/>
    </row>
    <row r="82" spans="2:33" x14ac:dyDescent="0.25">
      <c r="B82" s="4" t="s">
        <v>680</v>
      </c>
      <c r="C82" t="s">
        <v>680</v>
      </c>
      <c r="D82" t="s">
        <v>680</v>
      </c>
      <c r="G82" s="1"/>
      <c r="H82" s="1"/>
      <c r="I82" s="1"/>
      <c r="J82" s="1"/>
      <c r="K82" s="1"/>
      <c r="L82" s="1"/>
      <c r="M82" s="1"/>
      <c r="N82" s="1"/>
      <c r="O82" s="1"/>
      <c r="P82" s="1"/>
      <c r="Q82" s="1"/>
      <c r="R82" s="1"/>
      <c r="S82" s="1"/>
      <c r="T82" s="1"/>
      <c r="U82" s="1"/>
      <c r="V82" s="1"/>
      <c r="W82" s="1"/>
      <c r="X82" s="1"/>
      <c r="Y82" s="1"/>
      <c r="Z82" s="1"/>
      <c r="AA82" s="1"/>
      <c r="AB82" s="1"/>
      <c r="AC82" s="1"/>
      <c r="AD82" s="1"/>
      <c r="AE82" s="1"/>
      <c r="AF82" s="1"/>
      <c r="AG82" s="1"/>
    </row>
    <row r="83" spans="2:33" x14ac:dyDescent="0.25">
      <c r="B83" s="3" t="s">
        <v>122</v>
      </c>
      <c r="C83" t="s">
        <v>123</v>
      </c>
      <c r="D83" t="s">
        <v>123</v>
      </c>
      <c r="E83" s="1" t="s">
        <v>690</v>
      </c>
      <c r="F83" s="2" t="s">
        <v>690</v>
      </c>
      <c r="G83" s="1" t="s">
        <v>690</v>
      </c>
      <c r="H83" s="1" t="s">
        <v>690</v>
      </c>
      <c r="I83" s="1" t="s">
        <v>690</v>
      </c>
      <c r="J83" s="1" t="s">
        <v>690</v>
      </c>
      <c r="K83" s="1" t="s">
        <v>690</v>
      </c>
      <c r="L83" s="1" t="s">
        <v>690</v>
      </c>
      <c r="M83" s="1" t="s">
        <v>690</v>
      </c>
      <c r="N83" s="1" t="s">
        <v>690</v>
      </c>
      <c r="O83" s="1" t="s">
        <v>690</v>
      </c>
      <c r="P83" s="1" t="s">
        <v>690</v>
      </c>
      <c r="Q83" s="1" t="s">
        <v>690</v>
      </c>
      <c r="R83" s="1" t="s">
        <v>690</v>
      </c>
      <c r="S83" s="1" t="s">
        <v>690</v>
      </c>
      <c r="T83" s="1" t="s">
        <v>690</v>
      </c>
      <c r="U83" s="1" t="s">
        <v>690</v>
      </c>
      <c r="V83" s="1" t="s">
        <v>690</v>
      </c>
      <c r="W83" s="1" t="s">
        <v>690</v>
      </c>
      <c r="X83" s="1" t="s">
        <v>690</v>
      </c>
      <c r="Y83" s="1" t="s">
        <v>690</v>
      </c>
      <c r="Z83" s="1" t="s">
        <v>690</v>
      </c>
      <c r="AA83" s="1" t="s">
        <v>690</v>
      </c>
      <c r="AB83" s="1" t="s">
        <v>690</v>
      </c>
      <c r="AC83" s="1" t="s">
        <v>690</v>
      </c>
      <c r="AD83" s="1" t="s">
        <v>690</v>
      </c>
      <c r="AE83" s="1" t="s">
        <v>690</v>
      </c>
      <c r="AF83" s="1" t="s">
        <v>690</v>
      </c>
      <c r="AG83" s="1" t="s">
        <v>690</v>
      </c>
    </row>
    <row r="84" spans="2:33" x14ac:dyDescent="0.25">
      <c r="B84" s="4" t="s">
        <v>691</v>
      </c>
      <c r="C84" t="s">
        <v>691</v>
      </c>
      <c r="D84" t="s">
        <v>691</v>
      </c>
      <c r="E84" s="1" t="s">
        <v>692</v>
      </c>
      <c r="F84" s="2" t="s">
        <v>692</v>
      </c>
      <c r="G84" s="1" t="s">
        <v>692</v>
      </c>
      <c r="H84" s="1" t="s">
        <v>692</v>
      </c>
      <c r="I84" s="1" t="s">
        <v>692</v>
      </c>
      <c r="J84" s="1" t="s">
        <v>692</v>
      </c>
      <c r="K84" s="1" t="s">
        <v>692</v>
      </c>
      <c r="L84" s="1" t="s">
        <v>692</v>
      </c>
      <c r="M84" s="1" t="s">
        <v>692</v>
      </c>
      <c r="N84" s="1" t="s">
        <v>692</v>
      </c>
      <c r="O84" s="1" t="s">
        <v>692</v>
      </c>
      <c r="P84" s="1" t="s">
        <v>692</v>
      </c>
      <c r="Q84" s="1" t="s">
        <v>692</v>
      </c>
      <c r="R84" s="1" t="s">
        <v>692</v>
      </c>
      <c r="S84" s="1" t="s">
        <v>692</v>
      </c>
      <c r="T84" s="1" t="s">
        <v>692</v>
      </c>
      <c r="U84" s="1" t="s">
        <v>692</v>
      </c>
      <c r="V84" s="1" t="s">
        <v>692</v>
      </c>
      <c r="W84" s="1" t="s">
        <v>692</v>
      </c>
      <c r="X84" s="1" t="s">
        <v>692</v>
      </c>
      <c r="Y84" s="1" t="s">
        <v>692</v>
      </c>
      <c r="Z84" s="1" t="s">
        <v>692</v>
      </c>
      <c r="AA84" s="1" t="s">
        <v>692</v>
      </c>
      <c r="AB84" s="1" t="s">
        <v>692</v>
      </c>
      <c r="AC84" s="1" t="s">
        <v>692</v>
      </c>
      <c r="AD84" s="1" t="s">
        <v>692</v>
      </c>
      <c r="AE84" s="1" t="s">
        <v>692</v>
      </c>
      <c r="AF84" s="1" t="s">
        <v>692</v>
      </c>
      <c r="AG84" s="1" t="s">
        <v>692</v>
      </c>
    </row>
    <row r="85" spans="2:33" x14ac:dyDescent="0.25">
      <c r="B85" s="4" t="s">
        <v>693</v>
      </c>
      <c r="C85" t="s">
        <v>693</v>
      </c>
      <c r="D85" t="s">
        <v>693</v>
      </c>
      <c r="E85" s="1" t="s">
        <v>694</v>
      </c>
      <c r="F85" s="2" t="s">
        <v>694</v>
      </c>
      <c r="G85" s="1" t="s">
        <v>694</v>
      </c>
      <c r="H85" s="1" t="s">
        <v>694</v>
      </c>
      <c r="I85" s="1" t="s">
        <v>694</v>
      </c>
      <c r="J85" s="1" t="s">
        <v>694</v>
      </c>
      <c r="K85" s="1" t="s">
        <v>694</v>
      </c>
      <c r="L85" s="1" t="s">
        <v>694</v>
      </c>
      <c r="M85" s="1" t="s">
        <v>694</v>
      </c>
      <c r="N85" s="1" t="s">
        <v>694</v>
      </c>
      <c r="O85" s="1" t="s">
        <v>694</v>
      </c>
      <c r="P85" s="1" t="s">
        <v>694</v>
      </c>
      <c r="Q85" s="1" t="s">
        <v>694</v>
      </c>
      <c r="R85" s="1" t="s">
        <v>694</v>
      </c>
      <c r="S85" s="1" t="s">
        <v>694</v>
      </c>
      <c r="T85" s="1" t="s">
        <v>694</v>
      </c>
      <c r="U85" s="1" t="s">
        <v>694</v>
      </c>
      <c r="V85" s="1" t="s">
        <v>694</v>
      </c>
      <c r="W85" s="1" t="s">
        <v>694</v>
      </c>
      <c r="X85" s="1" t="s">
        <v>694</v>
      </c>
      <c r="Y85" s="1" t="s">
        <v>694</v>
      </c>
      <c r="Z85" s="1" t="s">
        <v>694</v>
      </c>
      <c r="AA85" s="1" t="s">
        <v>694</v>
      </c>
      <c r="AB85" s="1" t="s">
        <v>694</v>
      </c>
      <c r="AC85" s="1" t="s">
        <v>694</v>
      </c>
      <c r="AD85" s="1" t="s">
        <v>694</v>
      </c>
      <c r="AE85" s="1" t="s">
        <v>694</v>
      </c>
      <c r="AF85" s="1" t="s">
        <v>694</v>
      </c>
      <c r="AG85" s="1" t="s">
        <v>694</v>
      </c>
    </row>
    <row r="86" spans="2:33" x14ac:dyDescent="0.25">
      <c r="B86" s="4" t="s">
        <v>695</v>
      </c>
      <c r="C86" t="s">
        <v>695</v>
      </c>
      <c r="D86" t="s">
        <v>695</v>
      </c>
      <c r="E86" s="1" t="s">
        <v>696</v>
      </c>
      <c r="F86" s="2" t="s">
        <v>696</v>
      </c>
      <c r="G86" s="1" t="s">
        <v>696</v>
      </c>
      <c r="H86" s="1" t="s">
        <v>696</v>
      </c>
      <c r="I86" s="1" t="s">
        <v>696</v>
      </c>
      <c r="J86" s="1" t="s">
        <v>696</v>
      </c>
      <c r="K86" s="1" t="s">
        <v>696</v>
      </c>
      <c r="L86" s="1" t="s">
        <v>696</v>
      </c>
      <c r="M86" s="1" t="s">
        <v>696</v>
      </c>
      <c r="N86" s="1" t="s">
        <v>696</v>
      </c>
      <c r="O86" s="1" t="s">
        <v>696</v>
      </c>
      <c r="P86" s="1" t="s">
        <v>696</v>
      </c>
      <c r="Q86" s="1" t="s">
        <v>696</v>
      </c>
      <c r="R86" s="1" t="s">
        <v>696</v>
      </c>
      <c r="S86" s="1" t="s">
        <v>696</v>
      </c>
      <c r="T86" s="1" t="s">
        <v>696</v>
      </c>
      <c r="U86" s="1" t="s">
        <v>696</v>
      </c>
      <c r="V86" s="1" t="s">
        <v>696</v>
      </c>
      <c r="W86" s="1" t="s">
        <v>696</v>
      </c>
      <c r="X86" s="1" t="s">
        <v>696</v>
      </c>
      <c r="Y86" s="1" t="s">
        <v>696</v>
      </c>
      <c r="Z86" s="1" t="s">
        <v>696</v>
      </c>
      <c r="AA86" s="1" t="s">
        <v>696</v>
      </c>
      <c r="AB86" s="1" t="s">
        <v>696</v>
      </c>
      <c r="AC86" s="1" t="s">
        <v>696</v>
      </c>
      <c r="AD86" s="1" t="s">
        <v>696</v>
      </c>
      <c r="AE86" s="1" t="s">
        <v>696</v>
      </c>
      <c r="AF86" s="1" t="s">
        <v>696</v>
      </c>
      <c r="AG86" s="1" t="s">
        <v>696</v>
      </c>
    </row>
    <row r="87" spans="2:33" x14ac:dyDescent="0.25">
      <c r="B87" s="4" t="s">
        <v>697</v>
      </c>
      <c r="C87" t="s">
        <v>697</v>
      </c>
      <c r="D87" t="s">
        <v>697</v>
      </c>
      <c r="E87" s="1" t="s">
        <v>698</v>
      </c>
      <c r="F87" s="2" t="s">
        <v>698</v>
      </c>
      <c r="G87" s="1" t="s">
        <v>698</v>
      </c>
      <c r="H87" s="1" t="s">
        <v>698</v>
      </c>
      <c r="I87" s="1" t="s">
        <v>698</v>
      </c>
      <c r="J87" s="1" t="s">
        <v>698</v>
      </c>
      <c r="K87" s="1" t="s">
        <v>698</v>
      </c>
      <c r="L87" s="1" t="s">
        <v>698</v>
      </c>
      <c r="M87" s="1" t="s">
        <v>698</v>
      </c>
      <c r="N87" s="1" t="s">
        <v>698</v>
      </c>
      <c r="O87" s="1" t="s">
        <v>698</v>
      </c>
      <c r="P87" s="1" t="s">
        <v>698</v>
      </c>
      <c r="Q87" s="1" t="s">
        <v>698</v>
      </c>
      <c r="R87" s="1" t="s">
        <v>698</v>
      </c>
      <c r="S87" s="1" t="s">
        <v>698</v>
      </c>
      <c r="T87" s="1" t="s">
        <v>698</v>
      </c>
      <c r="U87" s="1" t="s">
        <v>698</v>
      </c>
      <c r="V87" s="1" t="s">
        <v>698</v>
      </c>
      <c r="W87" s="1" t="s">
        <v>698</v>
      </c>
      <c r="X87" s="1" t="s">
        <v>698</v>
      </c>
      <c r="Y87" s="1" t="s">
        <v>698</v>
      </c>
      <c r="Z87" s="1" t="s">
        <v>698</v>
      </c>
      <c r="AA87" s="1" t="s">
        <v>698</v>
      </c>
      <c r="AB87" s="1" t="s">
        <v>698</v>
      </c>
      <c r="AC87" s="1" t="s">
        <v>698</v>
      </c>
      <c r="AD87" s="1" t="s">
        <v>698</v>
      </c>
      <c r="AE87" s="1" t="s">
        <v>698</v>
      </c>
      <c r="AF87" s="1" t="s">
        <v>698</v>
      </c>
      <c r="AG87" s="1" t="s">
        <v>698</v>
      </c>
    </row>
    <row r="88" spans="2:33" x14ac:dyDescent="0.25">
      <c r="B88" s="4" t="s">
        <v>699</v>
      </c>
      <c r="C88" t="s">
        <v>699</v>
      </c>
      <c r="D88" t="s">
        <v>699</v>
      </c>
      <c r="E88" s="1" t="s">
        <v>117</v>
      </c>
      <c r="F88" s="2" t="s">
        <v>117</v>
      </c>
      <c r="G88" s="1" t="s">
        <v>117</v>
      </c>
      <c r="H88" s="1" t="s">
        <v>117</v>
      </c>
      <c r="I88" s="1" t="s">
        <v>117</v>
      </c>
      <c r="J88" s="1" t="s">
        <v>117</v>
      </c>
      <c r="K88" s="1" t="s">
        <v>117</v>
      </c>
      <c r="L88" s="1" t="s">
        <v>117</v>
      </c>
      <c r="M88" s="1" t="s">
        <v>117</v>
      </c>
      <c r="N88" s="1" t="s">
        <v>117</v>
      </c>
      <c r="O88" s="1" t="s">
        <v>117</v>
      </c>
      <c r="P88" s="1" t="s">
        <v>117</v>
      </c>
      <c r="Q88" s="1" t="s">
        <v>117</v>
      </c>
      <c r="R88" s="1" t="s">
        <v>117</v>
      </c>
      <c r="S88" s="1" t="s">
        <v>117</v>
      </c>
      <c r="T88" s="1" t="s">
        <v>117</v>
      </c>
      <c r="U88" s="1" t="s">
        <v>117</v>
      </c>
      <c r="V88" s="1" t="s">
        <v>117</v>
      </c>
      <c r="W88" s="1" t="s">
        <v>117</v>
      </c>
      <c r="X88" s="1" t="s">
        <v>117</v>
      </c>
      <c r="Y88" s="1" t="s">
        <v>117</v>
      </c>
      <c r="Z88" s="1" t="s">
        <v>117</v>
      </c>
      <c r="AA88" s="1" t="s">
        <v>117</v>
      </c>
      <c r="AB88" s="1" t="s">
        <v>117</v>
      </c>
      <c r="AC88" s="1" t="s">
        <v>117</v>
      </c>
      <c r="AD88" s="1" t="s">
        <v>117</v>
      </c>
      <c r="AE88" s="1" t="s">
        <v>117</v>
      </c>
      <c r="AF88" s="1" t="s">
        <v>117</v>
      </c>
      <c r="AG88" s="1" t="s">
        <v>117</v>
      </c>
    </row>
    <row r="89" spans="2:33" x14ac:dyDescent="0.25">
      <c r="B89" s="4" t="s">
        <v>700</v>
      </c>
      <c r="C89" t="s">
        <v>700</v>
      </c>
      <c r="D89" t="s">
        <v>700</v>
      </c>
      <c r="G89" s="1"/>
      <c r="H89" s="1"/>
      <c r="I89" s="1"/>
      <c r="J89" s="1"/>
      <c r="K89" s="1"/>
      <c r="L89" s="1"/>
      <c r="M89" s="1"/>
      <c r="N89" s="1"/>
      <c r="O89" s="1"/>
      <c r="P89" s="1"/>
      <c r="Q89" s="1"/>
      <c r="R89" s="1"/>
      <c r="S89" s="1"/>
      <c r="T89" s="1"/>
      <c r="U89" s="1"/>
      <c r="V89" s="1"/>
      <c r="W89" s="1"/>
      <c r="X89" s="1"/>
      <c r="Y89" s="1"/>
      <c r="Z89" s="1"/>
      <c r="AA89" s="1"/>
      <c r="AB89" s="1"/>
      <c r="AC89" s="1"/>
      <c r="AD89" s="1"/>
      <c r="AE89" s="1"/>
      <c r="AF89" s="1"/>
      <c r="AG89" s="1"/>
    </row>
    <row r="90" spans="2:33" x14ac:dyDescent="0.25">
      <c r="B90" s="4" t="s">
        <v>317</v>
      </c>
      <c r="C90" t="s">
        <v>317</v>
      </c>
      <c r="D90" t="s">
        <v>317</v>
      </c>
      <c r="E90" s="1" t="str">
        <f t="shared" ref="E90" si="19">"&lt;div class=""archive-grid"" id=""weeks-grid"" data-json=""../data/exerzitien/inhalt/"&amp;E2&amp;"_de-inhalt.json""&gt;"</f>
        <v>&lt;div class="archive-grid" id="weeks-grid" data-json="../data/exerzitien/inhalt/2024_advent_de-inhalt.json"&gt;</v>
      </c>
      <c r="F90" s="2" t="str">
        <f t="shared" ref="F90:I90" si="20">"&lt;div class=""archive-grid"" id=""weeks-grid"" data-json=""../data/exerzitien/inhalt/"&amp;F2&amp;"_de-inhalt.json""&gt;"</f>
        <v>&lt;div class="archive-grid" id="weeks-grid" data-json="../data/exerzitien/inhalt/2023_advent_de-inhalt.json"&gt;</v>
      </c>
      <c r="G90" s="1" t="str">
        <f t="shared" si="20"/>
        <v>&lt;div class="archive-grid" id="weeks-grid" data-json="../data/exerzitien/inhalt/2023_lent_de-inhalt.json"&gt;</v>
      </c>
      <c r="H90" s="1" t="str">
        <f t="shared" si="20"/>
        <v>&lt;div class="archive-grid" id="weeks-grid" data-json="../data/exerzitien/inhalt/2023_fs_de-inhalt.json"&gt;</v>
      </c>
      <c r="I90" s="1" t="str">
        <f t="shared" si="20"/>
        <v>&lt;div class="archive-grid" id="weeks-grid" data-json="../data/exerzitien/inhalt/_de-inhalt.json"&gt;</v>
      </c>
      <c r="J90" s="1" t="str">
        <f t="shared" ref="J90:Z90" si="21">"&lt;div class=""archive-grid"" id=""weeks-grid"" data-json=""../data/exerzitien/inhalt/"&amp;J2&amp;"_de-inhalt.json""&gt;"</f>
        <v>&lt;div class="archive-grid" id="weeks-grid" data-json="../data/exerzitien/inhalt/_de-inhalt.json"&gt;</v>
      </c>
      <c r="K90" s="1" t="str">
        <f t="shared" si="21"/>
        <v>&lt;div class="archive-grid" id="weeks-grid" data-json="../data/exerzitien/inhalt/_de-inhalt.json"&gt;</v>
      </c>
      <c r="L90" s="1" t="str">
        <f t="shared" ref="L90:AG90" si="22">"&lt;div class=""archive-grid"" id=""weeks-grid"" data-json=""../data/exerzitien/inhalt/"&amp;L2&amp;"_de-inhalt.json""&gt;"</f>
        <v>&lt;div class="archive-grid" id="weeks-grid" data-json="../data/exerzitien/inhalt/_de-inhalt.json"&gt;</v>
      </c>
      <c r="M90" s="1" t="str">
        <f t="shared" si="22"/>
        <v>&lt;div class="archive-grid" id="weeks-grid" data-json="../data/exerzitien/inhalt/_de-inhalt.json"&gt;</v>
      </c>
      <c r="N90" s="1" t="str">
        <f t="shared" si="22"/>
        <v>&lt;div class="archive-grid" id="weeks-grid" data-json="../data/exerzitien/inhalt/_de-inhalt.json"&gt;</v>
      </c>
      <c r="O90" s="1" t="str">
        <f t="shared" si="22"/>
        <v>&lt;div class="archive-grid" id="weeks-grid" data-json="../data/exerzitien/inhalt/_de-inhalt.json"&gt;</v>
      </c>
      <c r="P90" s="1" t="str">
        <f t="shared" si="22"/>
        <v>&lt;div class="archive-grid" id="weeks-grid" data-json="../data/exerzitien/inhalt/_de-inhalt.json"&gt;</v>
      </c>
      <c r="Q90" s="1" t="str">
        <f t="shared" si="22"/>
        <v>&lt;div class="archive-grid" id="weeks-grid" data-json="../data/exerzitien/inhalt/_de-inhalt.json"&gt;</v>
      </c>
      <c r="R90" s="1" t="str">
        <f t="shared" si="22"/>
        <v>&lt;div class="archive-grid" id="weeks-grid" data-json="../data/exerzitien/inhalt/_de-inhalt.json"&gt;</v>
      </c>
      <c r="S90" s="1" t="str">
        <f t="shared" si="22"/>
        <v>&lt;div class="archive-grid" id="weeks-grid" data-json="../data/exerzitien/inhalt/_de-inhalt.json"&gt;</v>
      </c>
      <c r="T90" s="1" t="str">
        <f t="shared" si="22"/>
        <v>&lt;div class="archive-grid" id="weeks-grid" data-json="../data/exerzitien/inhalt/_de-inhalt.json"&gt;</v>
      </c>
      <c r="U90" s="1" t="str">
        <f t="shared" si="22"/>
        <v>&lt;div class="archive-grid" id="weeks-grid" data-json="../data/exerzitien/inhalt/_de-inhalt.json"&gt;</v>
      </c>
      <c r="V90" s="1" t="str">
        <f t="shared" si="22"/>
        <v>&lt;div class="archive-grid" id="weeks-grid" data-json="../data/exerzitien/inhalt/_de-inhalt.json"&gt;</v>
      </c>
      <c r="W90" s="1" t="str">
        <f t="shared" si="22"/>
        <v>&lt;div class="archive-grid" id="weeks-grid" data-json="../data/exerzitien/inhalt/_de-inhalt.json"&gt;</v>
      </c>
      <c r="X90" s="1" t="str">
        <f t="shared" si="22"/>
        <v>&lt;div class="archive-grid" id="weeks-grid" data-json="../data/exerzitien/inhalt/_de-inhalt.json"&gt;</v>
      </c>
      <c r="Y90" s="1" t="str">
        <f t="shared" si="22"/>
        <v>&lt;div class="archive-grid" id="weeks-grid" data-json="../data/exerzitien/inhalt/_de-inhalt.json"&gt;</v>
      </c>
      <c r="Z90" s="1" t="str">
        <f t="shared" si="22"/>
        <v>&lt;div class="archive-grid" id="weeks-grid" data-json="../data/exerzitien/inhalt/_de-inhalt.json"&gt;</v>
      </c>
      <c r="AA90" s="1" t="str">
        <f t="shared" si="22"/>
        <v>&lt;div class="archive-grid" id="weeks-grid" data-json="../data/exerzitien/inhalt/_de-inhalt.json"&gt;</v>
      </c>
      <c r="AB90" s="1" t="str">
        <f t="shared" si="22"/>
        <v>&lt;div class="archive-grid" id="weeks-grid" data-json="../data/exerzitien/inhalt/_de-inhalt.json"&gt;</v>
      </c>
      <c r="AC90" s="1" t="str">
        <f t="shared" si="22"/>
        <v>&lt;div class="archive-grid" id="weeks-grid" data-json="../data/exerzitien/inhalt/_de-inhalt.json"&gt;</v>
      </c>
      <c r="AD90" s="1" t="str">
        <f t="shared" si="22"/>
        <v>&lt;div class="archive-grid" id="weeks-grid" data-json="../data/exerzitien/inhalt/_de-inhalt.json"&gt;</v>
      </c>
      <c r="AE90" s="1" t="str">
        <f t="shared" si="22"/>
        <v>&lt;div class="archive-grid" id="weeks-grid" data-json="../data/exerzitien/inhalt/_de-inhalt.json"&gt;</v>
      </c>
      <c r="AF90" s="1" t="str">
        <f t="shared" si="22"/>
        <v>&lt;div class="archive-grid" id="weeks-grid" data-json="../data/exerzitien/inhalt/_de-inhalt.json"&gt;</v>
      </c>
      <c r="AG90" s="1" t="str">
        <f t="shared" si="22"/>
        <v>&lt;div class="archive-grid" id="weeks-grid" data-json="../data/exerzitien/inhalt/_de-inhalt.json"&gt;</v>
      </c>
    </row>
    <row r="91" spans="2:33" x14ac:dyDescent="0.25">
      <c r="B91" s="5"/>
      <c r="E91" s="1" t="s">
        <v>701</v>
      </c>
      <c r="F91" s="2" t="s">
        <v>701</v>
      </c>
      <c r="G91" s="1" t="s">
        <v>701</v>
      </c>
      <c r="H91" s="1" t="s">
        <v>701</v>
      </c>
      <c r="I91" s="1" t="s">
        <v>701</v>
      </c>
      <c r="J91" s="1" t="s">
        <v>701</v>
      </c>
      <c r="K91" s="1" t="s">
        <v>701</v>
      </c>
      <c r="L91" s="1" t="s">
        <v>701</v>
      </c>
      <c r="M91" s="1" t="s">
        <v>701</v>
      </c>
      <c r="N91" s="1" t="s">
        <v>701</v>
      </c>
      <c r="O91" s="1" t="s">
        <v>701</v>
      </c>
      <c r="P91" s="1" t="s">
        <v>701</v>
      </c>
      <c r="Q91" s="1" t="s">
        <v>701</v>
      </c>
      <c r="R91" s="1" t="s">
        <v>701</v>
      </c>
      <c r="S91" s="1" t="s">
        <v>701</v>
      </c>
      <c r="T91" s="1" t="s">
        <v>701</v>
      </c>
      <c r="U91" s="1" t="s">
        <v>701</v>
      </c>
      <c r="V91" s="1" t="s">
        <v>701</v>
      </c>
      <c r="W91" s="1" t="s">
        <v>701</v>
      </c>
      <c r="X91" s="1" t="s">
        <v>701</v>
      </c>
      <c r="Y91" s="1" t="s">
        <v>701</v>
      </c>
      <c r="Z91" s="1" t="s">
        <v>701</v>
      </c>
      <c r="AA91" s="1" t="s">
        <v>701</v>
      </c>
      <c r="AB91" s="1" t="s">
        <v>701</v>
      </c>
      <c r="AC91" s="1" t="s">
        <v>701</v>
      </c>
      <c r="AD91" s="1" t="s">
        <v>701</v>
      </c>
      <c r="AE91" s="1" t="s">
        <v>701</v>
      </c>
      <c r="AF91" s="1" t="s">
        <v>701</v>
      </c>
      <c r="AG91" s="1" t="s">
        <v>701</v>
      </c>
    </row>
    <row r="92" spans="2:33" x14ac:dyDescent="0.25">
      <c r="B92" s="4" t="s">
        <v>702</v>
      </c>
      <c r="C92" t="s">
        <v>702</v>
      </c>
      <c r="D92" t="s">
        <v>702</v>
      </c>
      <c r="E92" s="1" t="s">
        <v>703</v>
      </c>
      <c r="F92" s="2" t="s">
        <v>703</v>
      </c>
      <c r="G92" s="1" t="s">
        <v>703</v>
      </c>
      <c r="H92" s="1" t="s">
        <v>703</v>
      </c>
      <c r="I92" s="1" t="s">
        <v>703</v>
      </c>
      <c r="J92" s="1" t="s">
        <v>703</v>
      </c>
      <c r="K92" s="1" t="s">
        <v>703</v>
      </c>
      <c r="L92" s="1" t="s">
        <v>703</v>
      </c>
      <c r="M92" s="1" t="s">
        <v>703</v>
      </c>
      <c r="N92" s="1" t="s">
        <v>703</v>
      </c>
      <c r="O92" s="1" t="s">
        <v>703</v>
      </c>
      <c r="P92" s="1" t="s">
        <v>703</v>
      </c>
      <c r="Q92" s="1" t="s">
        <v>703</v>
      </c>
      <c r="R92" s="1" t="s">
        <v>703</v>
      </c>
      <c r="S92" s="1" t="s">
        <v>703</v>
      </c>
      <c r="T92" s="1" t="s">
        <v>703</v>
      </c>
      <c r="U92" s="1" t="s">
        <v>703</v>
      </c>
      <c r="V92" s="1" t="s">
        <v>703</v>
      </c>
      <c r="W92" s="1" t="s">
        <v>703</v>
      </c>
      <c r="X92" s="1" t="s">
        <v>703</v>
      </c>
      <c r="Y92" s="1" t="s">
        <v>703</v>
      </c>
      <c r="Z92" s="1" t="s">
        <v>703</v>
      </c>
      <c r="AA92" s="1" t="s">
        <v>703</v>
      </c>
      <c r="AB92" s="1" t="s">
        <v>703</v>
      </c>
      <c r="AC92" s="1" t="s">
        <v>703</v>
      </c>
      <c r="AD92" s="1" t="s">
        <v>703</v>
      </c>
      <c r="AE92" s="1" t="s">
        <v>703</v>
      </c>
      <c r="AF92" s="1" t="s">
        <v>703</v>
      </c>
      <c r="AG92" s="1" t="s">
        <v>703</v>
      </c>
    </row>
    <row r="93" spans="2:33" x14ac:dyDescent="0.25">
      <c r="B93" s="4" t="s">
        <v>704</v>
      </c>
      <c r="C93" t="s">
        <v>704</v>
      </c>
      <c r="D93" t="s">
        <v>704</v>
      </c>
      <c r="E93" s="1" t="s">
        <v>117</v>
      </c>
      <c r="F93" s="2" t="s">
        <v>117</v>
      </c>
      <c r="G93" s="1" t="s">
        <v>117</v>
      </c>
      <c r="H93" s="1" t="s">
        <v>117</v>
      </c>
      <c r="I93" s="1" t="s">
        <v>117</v>
      </c>
      <c r="J93" s="1" t="s">
        <v>117</v>
      </c>
      <c r="K93" s="1" t="s">
        <v>117</v>
      </c>
      <c r="L93" s="1" t="s">
        <v>117</v>
      </c>
      <c r="M93" s="1" t="s">
        <v>117</v>
      </c>
      <c r="N93" s="1" t="s">
        <v>117</v>
      </c>
      <c r="O93" s="1" t="s">
        <v>117</v>
      </c>
      <c r="P93" s="1" t="s">
        <v>117</v>
      </c>
      <c r="Q93" s="1" t="s">
        <v>117</v>
      </c>
      <c r="R93" s="1" t="s">
        <v>117</v>
      </c>
      <c r="S93" s="1" t="s">
        <v>117</v>
      </c>
      <c r="T93" s="1" t="s">
        <v>117</v>
      </c>
      <c r="U93" s="1" t="s">
        <v>117</v>
      </c>
      <c r="V93" s="1" t="s">
        <v>117</v>
      </c>
      <c r="W93" s="1" t="s">
        <v>117</v>
      </c>
      <c r="X93" s="1" t="s">
        <v>117</v>
      </c>
      <c r="Y93" s="1" t="s">
        <v>117</v>
      </c>
      <c r="Z93" s="1" t="s">
        <v>117</v>
      </c>
      <c r="AA93" s="1" t="s">
        <v>117</v>
      </c>
      <c r="AB93" s="1" t="s">
        <v>117</v>
      </c>
      <c r="AC93" s="1" t="s">
        <v>117</v>
      </c>
      <c r="AD93" s="1" t="s">
        <v>117</v>
      </c>
      <c r="AE93" s="1" t="s">
        <v>117</v>
      </c>
      <c r="AF93" s="1" t="s">
        <v>117</v>
      </c>
      <c r="AG93" s="1" t="s">
        <v>117</v>
      </c>
    </row>
    <row r="94" spans="2:33" x14ac:dyDescent="0.25">
      <c r="B94" s="4" t="s">
        <v>705</v>
      </c>
      <c r="C94" t="s">
        <v>705</v>
      </c>
      <c r="D94" t="s">
        <v>705</v>
      </c>
      <c r="E94" s="1" t="s">
        <v>117</v>
      </c>
      <c r="F94" s="2" t="s">
        <v>117</v>
      </c>
      <c r="G94" s="1" t="s">
        <v>117</v>
      </c>
      <c r="H94" s="1" t="s">
        <v>117</v>
      </c>
      <c r="I94" s="1" t="s">
        <v>117</v>
      </c>
      <c r="J94" s="1" t="s">
        <v>117</v>
      </c>
      <c r="K94" s="1" t="s">
        <v>117</v>
      </c>
      <c r="L94" s="1" t="s">
        <v>117</v>
      </c>
      <c r="M94" s="1" t="s">
        <v>117</v>
      </c>
      <c r="N94" s="1" t="s">
        <v>117</v>
      </c>
      <c r="O94" s="1" t="s">
        <v>117</v>
      </c>
      <c r="P94" s="1" t="s">
        <v>117</v>
      </c>
      <c r="Q94" s="1" t="s">
        <v>117</v>
      </c>
      <c r="R94" s="1" t="s">
        <v>117</v>
      </c>
      <c r="S94" s="1" t="s">
        <v>117</v>
      </c>
      <c r="T94" s="1" t="s">
        <v>117</v>
      </c>
      <c r="U94" s="1" t="s">
        <v>117</v>
      </c>
      <c r="V94" s="1" t="s">
        <v>117</v>
      </c>
      <c r="W94" s="1" t="s">
        <v>117</v>
      </c>
      <c r="X94" s="1" t="s">
        <v>117</v>
      </c>
      <c r="Y94" s="1" t="s">
        <v>117</v>
      </c>
      <c r="Z94" s="1" t="s">
        <v>117</v>
      </c>
      <c r="AA94" s="1" t="s">
        <v>117</v>
      </c>
      <c r="AB94" s="1" t="s">
        <v>117</v>
      </c>
      <c r="AC94" s="1" t="s">
        <v>117</v>
      </c>
      <c r="AD94" s="1" t="s">
        <v>117</v>
      </c>
      <c r="AE94" s="1" t="s">
        <v>117</v>
      </c>
      <c r="AF94" s="1" t="s">
        <v>117</v>
      </c>
      <c r="AG94" s="1" t="s">
        <v>117</v>
      </c>
    </row>
    <row r="95" spans="2:33" x14ac:dyDescent="0.25">
      <c r="B95" s="4" t="s">
        <v>675</v>
      </c>
      <c r="C95" t="s">
        <v>675</v>
      </c>
      <c r="D95" t="s">
        <v>675</v>
      </c>
      <c r="E95" s="1" t="s">
        <v>688</v>
      </c>
      <c r="F95" s="2" t="s">
        <v>688</v>
      </c>
      <c r="G95" s="1" t="s">
        <v>688</v>
      </c>
      <c r="H95" s="1" t="s">
        <v>688</v>
      </c>
      <c r="I95" s="1" t="s">
        <v>688</v>
      </c>
      <c r="J95" s="1" t="s">
        <v>688</v>
      </c>
      <c r="K95" s="1" t="s">
        <v>688</v>
      </c>
      <c r="L95" s="1" t="s">
        <v>688</v>
      </c>
      <c r="M95" s="1" t="s">
        <v>688</v>
      </c>
      <c r="N95" s="1" t="s">
        <v>688</v>
      </c>
      <c r="O95" s="1" t="s">
        <v>688</v>
      </c>
      <c r="P95" s="1" t="s">
        <v>688</v>
      </c>
      <c r="Q95" s="1" t="s">
        <v>688</v>
      </c>
      <c r="R95" s="1" t="s">
        <v>688</v>
      </c>
      <c r="S95" s="1" t="s">
        <v>688</v>
      </c>
      <c r="T95" s="1" t="s">
        <v>688</v>
      </c>
      <c r="U95" s="1" t="s">
        <v>688</v>
      </c>
      <c r="V95" s="1" t="s">
        <v>688</v>
      </c>
      <c r="W95" s="1" t="s">
        <v>688</v>
      </c>
      <c r="X95" s="1" t="s">
        <v>688</v>
      </c>
      <c r="Y95" s="1" t="s">
        <v>688</v>
      </c>
      <c r="Z95" s="1" t="s">
        <v>688</v>
      </c>
      <c r="AA95" s="1" t="s">
        <v>688</v>
      </c>
      <c r="AB95" s="1" t="s">
        <v>688</v>
      </c>
      <c r="AC95" s="1" t="s">
        <v>688</v>
      </c>
      <c r="AD95" s="1" t="s">
        <v>688</v>
      </c>
      <c r="AE95" s="1" t="s">
        <v>688</v>
      </c>
      <c r="AF95" s="1" t="s">
        <v>688</v>
      </c>
      <c r="AG95" s="1" t="s">
        <v>688</v>
      </c>
    </row>
    <row r="96" spans="2:33" x14ac:dyDescent="0.25">
      <c r="B96" s="4" t="s">
        <v>706</v>
      </c>
      <c r="C96" t="s">
        <v>706</v>
      </c>
      <c r="D96" t="s">
        <v>706</v>
      </c>
      <c r="E96" s="1" t="s">
        <v>689</v>
      </c>
      <c r="F96" s="2" t="s">
        <v>689</v>
      </c>
      <c r="G96" s="1" t="s">
        <v>689</v>
      </c>
      <c r="H96" s="1" t="s">
        <v>689</v>
      </c>
      <c r="I96" s="1" t="s">
        <v>689</v>
      </c>
      <c r="J96" s="1" t="s">
        <v>689</v>
      </c>
      <c r="K96" s="1" t="s">
        <v>689</v>
      </c>
      <c r="L96" s="1" t="s">
        <v>689</v>
      </c>
      <c r="M96" s="1" t="s">
        <v>689</v>
      </c>
      <c r="N96" s="1" t="s">
        <v>689</v>
      </c>
      <c r="O96" s="1" t="s">
        <v>689</v>
      </c>
      <c r="P96" s="1" t="s">
        <v>689</v>
      </c>
      <c r="Q96" s="1" t="s">
        <v>689</v>
      </c>
      <c r="R96" s="1" t="s">
        <v>689</v>
      </c>
      <c r="S96" s="1" t="s">
        <v>689</v>
      </c>
      <c r="T96" s="1" t="s">
        <v>689</v>
      </c>
      <c r="U96" s="1" t="s">
        <v>689</v>
      </c>
      <c r="V96" s="1" t="s">
        <v>689</v>
      </c>
      <c r="W96" s="1" t="s">
        <v>689</v>
      </c>
      <c r="X96" s="1" t="s">
        <v>689</v>
      </c>
      <c r="Y96" s="1" t="s">
        <v>689</v>
      </c>
      <c r="Z96" s="1" t="s">
        <v>689</v>
      </c>
      <c r="AA96" s="1" t="s">
        <v>689</v>
      </c>
      <c r="AB96" s="1" t="s">
        <v>689</v>
      </c>
      <c r="AC96" s="1" t="s">
        <v>689</v>
      </c>
      <c r="AD96" s="1" t="s">
        <v>689</v>
      </c>
      <c r="AE96" s="1" t="s">
        <v>689</v>
      </c>
      <c r="AF96" s="1" t="s">
        <v>689</v>
      </c>
      <c r="AG96" s="1" t="s">
        <v>689</v>
      </c>
    </row>
    <row r="97" spans="2:33" x14ac:dyDescent="0.25">
      <c r="B97" s="4" t="s">
        <v>707</v>
      </c>
      <c r="C97" t="s">
        <v>707</v>
      </c>
      <c r="D97" t="s">
        <v>707</v>
      </c>
      <c r="E97" s="1" t="s">
        <v>680</v>
      </c>
      <c r="F97" s="2" t="s">
        <v>680</v>
      </c>
      <c r="G97" s="1" t="s">
        <v>680</v>
      </c>
      <c r="H97" s="1" t="s">
        <v>680</v>
      </c>
      <c r="I97" s="1" t="s">
        <v>680</v>
      </c>
      <c r="J97" s="1" t="s">
        <v>680</v>
      </c>
      <c r="K97" s="1" t="s">
        <v>680</v>
      </c>
      <c r="L97" s="1" t="s">
        <v>680</v>
      </c>
      <c r="M97" s="1" t="s">
        <v>680</v>
      </c>
      <c r="N97" s="1" t="s">
        <v>680</v>
      </c>
      <c r="O97" s="1" t="s">
        <v>680</v>
      </c>
      <c r="P97" s="1" t="s">
        <v>680</v>
      </c>
      <c r="Q97" s="1" t="s">
        <v>680</v>
      </c>
      <c r="R97" s="1" t="s">
        <v>680</v>
      </c>
      <c r="S97" s="1" t="s">
        <v>680</v>
      </c>
      <c r="T97" s="1" t="s">
        <v>680</v>
      </c>
      <c r="U97" s="1" t="s">
        <v>680</v>
      </c>
      <c r="V97" s="1" t="s">
        <v>680</v>
      </c>
      <c r="W97" s="1" t="s">
        <v>680</v>
      </c>
      <c r="X97" s="1" t="s">
        <v>680</v>
      </c>
      <c r="Y97" s="1" t="s">
        <v>680</v>
      </c>
      <c r="Z97" s="1" t="s">
        <v>680</v>
      </c>
      <c r="AA97" s="1" t="s">
        <v>680</v>
      </c>
      <c r="AB97" s="1" t="s">
        <v>680</v>
      </c>
      <c r="AC97" s="1" t="s">
        <v>680</v>
      </c>
      <c r="AD97" s="1" t="s">
        <v>680</v>
      </c>
      <c r="AE97" s="1" t="s">
        <v>680</v>
      </c>
      <c r="AF97" s="1" t="s">
        <v>680</v>
      </c>
      <c r="AG97" s="1" t="s">
        <v>680</v>
      </c>
    </row>
    <row r="98" spans="2:33" x14ac:dyDescent="0.25">
      <c r="B98" s="4" t="s">
        <v>708</v>
      </c>
      <c r="C98" t="s">
        <v>708</v>
      </c>
      <c r="D98" t="s">
        <v>708</v>
      </c>
      <c r="E98" s="1" t="s">
        <v>123</v>
      </c>
      <c r="F98" s="2" t="s">
        <v>123</v>
      </c>
      <c r="G98" s="1" t="s">
        <v>123</v>
      </c>
      <c r="H98" s="1" t="s">
        <v>123</v>
      </c>
      <c r="I98" s="1" t="s">
        <v>123</v>
      </c>
      <c r="J98" s="1" t="s">
        <v>123</v>
      </c>
      <c r="K98" s="1" t="s">
        <v>123</v>
      </c>
      <c r="L98" s="1" t="s">
        <v>123</v>
      </c>
      <c r="M98" s="1" t="s">
        <v>123</v>
      </c>
      <c r="N98" s="1" t="s">
        <v>123</v>
      </c>
      <c r="O98" s="1" t="s">
        <v>123</v>
      </c>
      <c r="P98" s="1" t="s">
        <v>123</v>
      </c>
      <c r="Q98" s="1" t="s">
        <v>123</v>
      </c>
      <c r="R98" s="1" t="s">
        <v>123</v>
      </c>
      <c r="S98" s="1" t="s">
        <v>123</v>
      </c>
      <c r="T98" s="1" t="s">
        <v>123</v>
      </c>
      <c r="U98" s="1" t="s">
        <v>123</v>
      </c>
      <c r="V98" s="1" t="s">
        <v>123</v>
      </c>
      <c r="W98" s="1" t="s">
        <v>123</v>
      </c>
      <c r="X98" s="1" t="s">
        <v>123</v>
      </c>
      <c r="Y98" s="1" t="s">
        <v>123</v>
      </c>
      <c r="Z98" s="1" t="s">
        <v>123</v>
      </c>
      <c r="AA98" s="1" t="s">
        <v>123</v>
      </c>
      <c r="AB98" s="1" t="s">
        <v>123</v>
      </c>
      <c r="AC98" s="1" t="s">
        <v>123</v>
      </c>
      <c r="AD98" s="1" t="s">
        <v>123</v>
      </c>
      <c r="AE98" s="1" t="s">
        <v>123</v>
      </c>
      <c r="AF98" s="1" t="s">
        <v>123</v>
      </c>
      <c r="AG98" s="1" t="s">
        <v>123</v>
      </c>
    </row>
    <row r="99" spans="2:33" x14ac:dyDescent="0.25">
      <c r="B99" s="3" t="s">
        <v>155</v>
      </c>
      <c r="C99" t="s">
        <v>156</v>
      </c>
      <c r="D99" t="s">
        <v>156</v>
      </c>
      <c r="E99" s="1" t="s">
        <v>691</v>
      </c>
      <c r="F99" s="2" t="s">
        <v>691</v>
      </c>
      <c r="G99" s="1" t="s">
        <v>691</v>
      </c>
      <c r="H99" s="1" t="s">
        <v>691</v>
      </c>
      <c r="I99" s="1" t="s">
        <v>691</v>
      </c>
      <c r="J99" s="1" t="s">
        <v>691</v>
      </c>
      <c r="K99" s="1" t="s">
        <v>691</v>
      </c>
      <c r="L99" s="1" t="s">
        <v>691</v>
      </c>
      <c r="M99" s="1" t="s">
        <v>691</v>
      </c>
      <c r="N99" s="1" t="s">
        <v>691</v>
      </c>
      <c r="O99" s="1" t="s">
        <v>691</v>
      </c>
      <c r="P99" s="1" t="s">
        <v>691</v>
      </c>
      <c r="Q99" s="1" t="s">
        <v>691</v>
      </c>
      <c r="R99" s="1" t="s">
        <v>691</v>
      </c>
      <c r="S99" s="1" t="s">
        <v>691</v>
      </c>
      <c r="T99" s="1" t="s">
        <v>691</v>
      </c>
      <c r="U99" s="1" t="s">
        <v>691</v>
      </c>
      <c r="V99" s="1" t="s">
        <v>691</v>
      </c>
      <c r="W99" s="1" t="s">
        <v>691</v>
      </c>
      <c r="X99" s="1" t="s">
        <v>691</v>
      </c>
      <c r="Y99" s="1" t="s">
        <v>691</v>
      </c>
      <c r="Z99" s="1" t="s">
        <v>691</v>
      </c>
      <c r="AA99" s="1" t="s">
        <v>691</v>
      </c>
      <c r="AB99" s="1" t="s">
        <v>691</v>
      </c>
      <c r="AC99" s="1" t="s">
        <v>691</v>
      </c>
      <c r="AD99" s="1" t="s">
        <v>691</v>
      </c>
      <c r="AE99" s="1" t="s">
        <v>691</v>
      </c>
      <c r="AF99" s="1" t="s">
        <v>691</v>
      </c>
      <c r="AG99" s="1" t="s">
        <v>691</v>
      </c>
    </row>
    <row r="100" spans="2:33" x14ac:dyDescent="0.25">
      <c r="B100" s="3" t="s">
        <v>157</v>
      </c>
      <c r="C100" t="s">
        <v>158</v>
      </c>
      <c r="D100" t="s">
        <v>158</v>
      </c>
      <c r="E100" s="1" t="s">
        <v>693</v>
      </c>
      <c r="F100" s="2" t="s">
        <v>693</v>
      </c>
      <c r="G100" s="1" t="s">
        <v>693</v>
      </c>
      <c r="H100" s="1" t="s">
        <v>693</v>
      </c>
      <c r="I100" s="1" t="s">
        <v>693</v>
      </c>
      <c r="J100" s="1" t="s">
        <v>693</v>
      </c>
      <c r="K100" s="1" t="s">
        <v>693</v>
      </c>
      <c r="L100" s="1" t="s">
        <v>693</v>
      </c>
      <c r="M100" s="1" t="s">
        <v>693</v>
      </c>
      <c r="N100" s="1" t="s">
        <v>693</v>
      </c>
      <c r="O100" s="1" t="s">
        <v>693</v>
      </c>
      <c r="P100" s="1" t="s">
        <v>693</v>
      </c>
      <c r="Q100" s="1" t="s">
        <v>693</v>
      </c>
      <c r="R100" s="1" t="s">
        <v>693</v>
      </c>
      <c r="S100" s="1" t="s">
        <v>693</v>
      </c>
      <c r="T100" s="1" t="s">
        <v>693</v>
      </c>
      <c r="U100" s="1" t="s">
        <v>693</v>
      </c>
      <c r="V100" s="1" t="s">
        <v>693</v>
      </c>
      <c r="W100" s="1" t="s">
        <v>693</v>
      </c>
      <c r="X100" s="1" t="s">
        <v>693</v>
      </c>
      <c r="Y100" s="1" t="s">
        <v>693</v>
      </c>
      <c r="Z100" s="1" t="s">
        <v>693</v>
      </c>
      <c r="AA100" s="1" t="s">
        <v>693</v>
      </c>
      <c r="AB100" s="1" t="s">
        <v>693</v>
      </c>
      <c r="AC100" s="1" t="s">
        <v>693</v>
      </c>
      <c r="AD100" s="1" t="s">
        <v>693</v>
      </c>
      <c r="AE100" s="1" t="s">
        <v>693</v>
      </c>
      <c r="AF100" s="1" t="s">
        <v>693</v>
      </c>
      <c r="AG100" s="1" t="s">
        <v>693</v>
      </c>
    </row>
    <row r="101" spans="2:33" x14ac:dyDescent="0.25">
      <c r="B101" s="4" t="s">
        <v>191</v>
      </c>
      <c r="C101" t="s">
        <v>191</v>
      </c>
      <c r="D101" t="s">
        <v>191</v>
      </c>
      <c r="E101" s="1" t="s">
        <v>695</v>
      </c>
      <c r="F101" s="2" t="s">
        <v>695</v>
      </c>
      <c r="G101" s="1" t="s">
        <v>695</v>
      </c>
      <c r="H101" s="1" t="s">
        <v>695</v>
      </c>
      <c r="I101" s="1" t="s">
        <v>695</v>
      </c>
      <c r="J101" s="1" t="s">
        <v>695</v>
      </c>
      <c r="K101" s="1" t="s">
        <v>695</v>
      </c>
      <c r="L101" s="1" t="s">
        <v>695</v>
      </c>
      <c r="M101" s="1" t="s">
        <v>695</v>
      </c>
      <c r="N101" s="1" t="s">
        <v>695</v>
      </c>
      <c r="O101" s="1" t="s">
        <v>695</v>
      </c>
      <c r="P101" s="1" t="s">
        <v>695</v>
      </c>
      <c r="Q101" s="1" t="s">
        <v>695</v>
      </c>
      <c r="R101" s="1" t="s">
        <v>695</v>
      </c>
      <c r="S101" s="1" t="s">
        <v>695</v>
      </c>
      <c r="T101" s="1" t="s">
        <v>695</v>
      </c>
      <c r="U101" s="1" t="s">
        <v>695</v>
      </c>
      <c r="V101" s="1" t="s">
        <v>695</v>
      </c>
      <c r="W101" s="1" t="s">
        <v>695</v>
      </c>
      <c r="X101" s="1" t="s">
        <v>695</v>
      </c>
      <c r="Y101" s="1" t="s">
        <v>695</v>
      </c>
      <c r="Z101" s="1" t="s">
        <v>695</v>
      </c>
      <c r="AA101" s="1" t="s">
        <v>695</v>
      </c>
      <c r="AB101" s="1" t="s">
        <v>695</v>
      </c>
      <c r="AC101" s="1" t="s">
        <v>695</v>
      </c>
      <c r="AD101" s="1" t="s">
        <v>695</v>
      </c>
      <c r="AE101" s="1" t="s">
        <v>695</v>
      </c>
      <c r="AF101" s="1" t="s">
        <v>695</v>
      </c>
      <c r="AG101" s="1" t="s">
        <v>695</v>
      </c>
    </row>
    <row r="102" spans="2:33" x14ac:dyDescent="0.25">
      <c r="B102" s="4" t="s">
        <v>709</v>
      </c>
      <c r="C102" t="s">
        <v>709</v>
      </c>
      <c r="D102" t="s">
        <v>709</v>
      </c>
      <c r="E102" s="1" t="s">
        <v>697</v>
      </c>
      <c r="F102" s="2" t="s">
        <v>697</v>
      </c>
      <c r="G102" s="1" t="s">
        <v>697</v>
      </c>
      <c r="H102" s="1" t="s">
        <v>697</v>
      </c>
      <c r="I102" s="1" t="s">
        <v>697</v>
      </c>
      <c r="J102" s="1" t="s">
        <v>697</v>
      </c>
      <c r="K102" s="1" t="s">
        <v>697</v>
      </c>
      <c r="L102" s="1" t="s">
        <v>697</v>
      </c>
      <c r="M102" s="1" t="s">
        <v>697</v>
      </c>
      <c r="N102" s="1" t="s">
        <v>697</v>
      </c>
      <c r="O102" s="1" t="s">
        <v>697</v>
      </c>
      <c r="P102" s="1" t="s">
        <v>697</v>
      </c>
      <c r="Q102" s="1" t="s">
        <v>697</v>
      </c>
      <c r="R102" s="1" t="s">
        <v>697</v>
      </c>
      <c r="S102" s="1" t="s">
        <v>697</v>
      </c>
      <c r="T102" s="1" t="s">
        <v>697</v>
      </c>
      <c r="U102" s="1" t="s">
        <v>697</v>
      </c>
      <c r="V102" s="1" t="s">
        <v>697</v>
      </c>
      <c r="W102" s="1" t="s">
        <v>697</v>
      </c>
      <c r="X102" s="1" t="s">
        <v>697</v>
      </c>
      <c r="Y102" s="1" t="s">
        <v>697</v>
      </c>
      <c r="Z102" s="1" t="s">
        <v>697</v>
      </c>
      <c r="AA102" s="1" t="s">
        <v>697</v>
      </c>
      <c r="AB102" s="1" t="s">
        <v>697</v>
      </c>
      <c r="AC102" s="1" t="s">
        <v>697</v>
      </c>
      <c r="AD102" s="1" t="s">
        <v>697</v>
      </c>
      <c r="AE102" s="1" t="s">
        <v>697</v>
      </c>
      <c r="AF102" s="1" t="s">
        <v>697</v>
      </c>
      <c r="AG102" s="1" t="s">
        <v>697</v>
      </c>
    </row>
    <row r="103" spans="2:33" x14ac:dyDescent="0.25">
      <c r="B103" s="4" t="s">
        <v>710</v>
      </c>
      <c r="C103" t="s">
        <v>710</v>
      </c>
      <c r="D103" t="s">
        <v>710</v>
      </c>
      <c r="E103" s="1" t="s">
        <v>699</v>
      </c>
      <c r="F103" s="2" t="s">
        <v>699</v>
      </c>
      <c r="G103" s="1" t="s">
        <v>699</v>
      </c>
      <c r="H103" s="1" t="s">
        <v>699</v>
      </c>
      <c r="I103" s="1" t="s">
        <v>699</v>
      </c>
      <c r="J103" s="1" t="s">
        <v>699</v>
      </c>
      <c r="K103" s="1" t="s">
        <v>699</v>
      </c>
      <c r="L103" s="1" t="s">
        <v>699</v>
      </c>
      <c r="M103" s="1" t="s">
        <v>699</v>
      </c>
      <c r="N103" s="1" t="s">
        <v>699</v>
      </c>
      <c r="O103" s="1" t="s">
        <v>699</v>
      </c>
      <c r="P103" s="1" t="s">
        <v>699</v>
      </c>
      <c r="Q103" s="1" t="s">
        <v>699</v>
      </c>
      <c r="R103" s="1" t="s">
        <v>699</v>
      </c>
      <c r="S103" s="1" t="s">
        <v>699</v>
      </c>
      <c r="T103" s="1" t="s">
        <v>699</v>
      </c>
      <c r="U103" s="1" t="s">
        <v>699</v>
      </c>
      <c r="V103" s="1" t="s">
        <v>699</v>
      </c>
      <c r="W103" s="1" t="s">
        <v>699</v>
      </c>
      <c r="X103" s="1" t="s">
        <v>699</v>
      </c>
      <c r="Y103" s="1" t="s">
        <v>699</v>
      </c>
      <c r="Z103" s="1" t="s">
        <v>699</v>
      </c>
      <c r="AA103" s="1" t="s">
        <v>699</v>
      </c>
      <c r="AB103" s="1" t="s">
        <v>699</v>
      </c>
      <c r="AC103" s="1" t="s">
        <v>699</v>
      </c>
      <c r="AD103" s="1" t="s">
        <v>699</v>
      </c>
      <c r="AE103" s="1" t="s">
        <v>699</v>
      </c>
      <c r="AF103" s="1" t="s">
        <v>699</v>
      </c>
      <c r="AG103" s="1" t="s">
        <v>699</v>
      </c>
    </row>
    <row r="104" spans="2:33" x14ac:dyDescent="0.25">
      <c r="B104" s="4" t="s">
        <v>711</v>
      </c>
      <c r="C104" t="s">
        <v>711</v>
      </c>
      <c r="D104" t="s">
        <v>711</v>
      </c>
      <c r="E104" s="1" t="s">
        <v>700</v>
      </c>
      <c r="F104" s="2" t="s">
        <v>700</v>
      </c>
      <c r="G104" s="1" t="s">
        <v>700</v>
      </c>
      <c r="H104" s="1" t="s">
        <v>700</v>
      </c>
      <c r="I104" s="1" t="s">
        <v>700</v>
      </c>
      <c r="J104" s="1" t="s">
        <v>700</v>
      </c>
      <c r="K104" s="1" t="s">
        <v>700</v>
      </c>
      <c r="L104" s="1" t="s">
        <v>700</v>
      </c>
      <c r="M104" s="1" t="s">
        <v>700</v>
      </c>
      <c r="N104" s="1" t="s">
        <v>700</v>
      </c>
      <c r="O104" s="1" t="s">
        <v>700</v>
      </c>
      <c r="P104" s="1" t="s">
        <v>700</v>
      </c>
      <c r="Q104" s="1" t="s">
        <v>700</v>
      </c>
      <c r="R104" s="1" t="s">
        <v>700</v>
      </c>
      <c r="S104" s="1" t="s">
        <v>700</v>
      </c>
      <c r="T104" s="1" t="s">
        <v>700</v>
      </c>
      <c r="U104" s="1" t="s">
        <v>700</v>
      </c>
      <c r="V104" s="1" t="s">
        <v>700</v>
      </c>
      <c r="W104" s="1" t="s">
        <v>700</v>
      </c>
      <c r="X104" s="1" t="s">
        <v>700</v>
      </c>
      <c r="Y104" s="1" t="s">
        <v>700</v>
      </c>
      <c r="Z104" s="1" t="s">
        <v>700</v>
      </c>
      <c r="AA104" s="1" t="s">
        <v>700</v>
      </c>
      <c r="AB104" s="1" t="s">
        <v>700</v>
      </c>
      <c r="AC104" s="1" t="s">
        <v>700</v>
      </c>
      <c r="AD104" s="1" t="s">
        <v>700</v>
      </c>
      <c r="AE104" s="1" t="s">
        <v>700</v>
      </c>
      <c r="AF104" s="1" t="s">
        <v>700</v>
      </c>
      <c r="AG104" s="1" t="s">
        <v>700</v>
      </c>
    </row>
    <row r="105" spans="2:33" x14ac:dyDescent="0.25">
      <c r="B105" s="4" t="s">
        <v>712</v>
      </c>
      <c r="C105" t="s">
        <v>712</v>
      </c>
      <c r="D105" t="s">
        <v>712</v>
      </c>
      <c r="E105" s="1" t="s">
        <v>317</v>
      </c>
      <c r="F105" s="2" t="s">
        <v>317</v>
      </c>
      <c r="G105" s="1" t="s">
        <v>317</v>
      </c>
      <c r="H105" s="1" t="s">
        <v>317</v>
      </c>
      <c r="I105" s="1" t="s">
        <v>317</v>
      </c>
      <c r="J105" s="1" t="s">
        <v>317</v>
      </c>
      <c r="K105" s="1" t="s">
        <v>317</v>
      </c>
      <c r="L105" s="1" t="s">
        <v>317</v>
      </c>
      <c r="M105" s="1" t="s">
        <v>317</v>
      </c>
      <c r="N105" s="1" t="s">
        <v>317</v>
      </c>
      <c r="O105" s="1" t="s">
        <v>317</v>
      </c>
      <c r="P105" s="1" t="s">
        <v>317</v>
      </c>
      <c r="Q105" s="1" t="s">
        <v>317</v>
      </c>
      <c r="R105" s="1" t="s">
        <v>317</v>
      </c>
      <c r="S105" s="1" t="s">
        <v>317</v>
      </c>
      <c r="T105" s="1" t="s">
        <v>317</v>
      </c>
      <c r="U105" s="1" t="s">
        <v>317</v>
      </c>
      <c r="V105" s="1" t="s">
        <v>317</v>
      </c>
      <c r="W105" s="1" t="s">
        <v>317</v>
      </c>
      <c r="X105" s="1" t="s">
        <v>317</v>
      </c>
      <c r="Y105" s="1" t="s">
        <v>317</v>
      </c>
      <c r="Z105" s="1" t="s">
        <v>317</v>
      </c>
      <c r="AA105" s="1" t="s">
        <v>317</v>
      </c>
      <c r="AB105" s="1" t="s">
        <v>317</v>
      </c>
      <c r="AC105" s="1" t="s">
        <v>317</v>
      </c>
      <c r="AD105" s="1" t="s">
        <v>317</v>
      </c>
      <c r="AE105" s="1" t="s">
        <v>317</v>
      </c>
      <c r="AF105" s="1" t="s">
        <v>317</v>
      </c>
      <c r="AG105" s="1" t="s">
        <v>317</v>
      </c>
    </row>
    <row r="106" spans="2:33" x14ac:dyDescent="0.25">
      <c r="B106" s="4" t="s">
        <v>713</v>
      </c>
      <c r="C106" t="s">
        <v>713</v>
      </c>
      <c r="D106" t="s">
        <v>713</v>
      </c>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row>
    <row r="107" spans="2:33" x14ac:dyDescent="0.25">
      <c r="B107" s="4" t="s">
        <v>714</v>
      </c>
      <c r="C107" t="s">
        <v>714</v>
      </c>
      <c r="D107" t="s">
        <v>714</v>
      </c>
      <c r="E107" s="1" t="s">
        <v>702</v>
      </c>
      <c r="F107" s="2" t="s">
        <v>702</v>
      </c>
      <c r="G107" s="1" t="s">
        <v>702</v>
      </c>
      <c r="H107" s="1" t="s">
        <v>702</v>
      </c>
      <c r="I107" s="1" t="s">
        <v>702</v>
      </c>
      <c r="J107" s="1" t="s">
        <v>702</v>
      </c>
      <c r="K107" s="1" t="s">
        <v>702</v>
      </c>
      <c r="L107" s="1" t="s">
        <v>702</v>
      </c>
      <c r="M107" s="1" t="s">
        <v>702</v>
      </c>
      <c r="N107" s="1" t="s">
        <v>702</v>
      </c>
      <c r="O107" s="1" t="s">
        <v>702</v>
      </c>
      <c r="P107" s="1" t="s">
        <v>702</v>
      </c>
      <c r="Q107" s="1" t="s">
        <v>702</v>
      </c>
      <c r="R107" s="1" t="s">
        <v>702</v>
      </c>
      <c r="S107" s="1" t="s">
        <v>702</v>
      </c>
      <c r="T107" s="1" t="s">
        <v>702</v>
      </c>
      <c r="U107" s="1" t="s">
        <v>702</v>
      </c>
      <c r="V107" s="1" t="s">
        <v>702</v>
      </c>
      <c r="W107" s="1" t="s">
        <v>702</v>
      </c>
      <c r="X107" s="1" t="s">
        <v>702</v>
      </c>
      <c r="Y107" s="1" t="s">
        <v>702</v>
      </c>
      <c r="Z107" s="1" t="s">
        <v>702</v>
      </c>
      <c r="AA107" s="1" t="s">
        <v>702</v>
      </c>
      <c r="AB107" s="1" t="s">
        <v>702</v>
      </c>
      <c r="AC107" s="1" t="s">
        <v>702</v>
      </c>
      <c r="AD107" s="1" t="s">
        <v>702</v>
      </c>
      <c r="AE107" s="1" t="s">
        <v>702</v>
      </c>
      <c r="AF107" s="1" t="s">
        <v>702</v>
      </c>
      <c r="AG107" s="1" t="s">
        <v>702</v>
      </c>
    </row>
    <row r="108" spans="2:33" x14ac:dyDescent="0.25">
      <c r="B108" s="4" t="s">
        <v>715</v>
      </c>
      <c r="C108" t="s">
        <v>715</v>
      </c>
      <c r="D108" t="s">
        <v>715</v>
      </c>
      <c r="E108" s="1" t="s">
        <v>704</v>
      </c>
      <c r="F108" s="2" t="s">
        <v>704</v>
      </c>
      <c r="G108" s="1" t="s">
        <v>704</v>
      </c>
      <c r="H108" s="1" t="s">
        <v>704</v>
      </c>
      <c r="I108" s="1" t="s">
        <v>704</v>
      </c>
      <c r="J108" s="1" t="s">
        <v>704</v>
      </c>
      <c r="K108" s="1" t="s">
        <v>704</v>
      </c>
      <c r="L108" s="1" t="s">
        <v>704</v>
      </c>
      <c r="M108" s="1" t="s">
        <v>704</v>
      </c>
      <c r="N108" s="1" t="s">
        <v>704</v>
      </c>
      <c r="O108" s="1" t="s">
        <v>704</v>
      </c>
      <c r="P108" s="1" t="s">
        <v>704</v>
      </c>
      <c r="Q108" s="1" t="s">
        <v>704</v>
      </c>
      <c r="R108" s="1" t="s">
        <v>704</v>
      </c>
      <c r="S108" s="1" t="s">
        <v>704</v>
      </c>
      <c r="T108" s="1" t="s">
        <v>704</v>
      </c>
      <c r="U108" s="1" t="s">
        <v>704</v>
      </c>
      <c r="V108" s="1" t="s">
        <v>704</v>
      </c>
      <c r="W108" s="1" t="s">
        <v>704</v>
      </c>
      <c r="X108" s="1" t="s">
        <v>704</v>
      </c>
      <c r="Y108" s="1" t="s">
        <v>704</v>
      </c>
      <c r="Z108" s="1" t="s">
        <v>704</v>
      </c>
      <c r="AA108" s="1" t="s">
        <v>704</v>
      </c>
      <c r="AB108" s="1" t="s">
        <v>704</v>
      </c>
      <c r="AC108" s="1" t="s">
        <v>704</v>
      </c>
      <c r="AD108" s="1" t="s">
        <v>704</v>
      </c>
      <c r="AE108" s="1" t="s">
        <v>704</v>
      </c>
      <c r="AF108" s="1" t="s">
        <v>704</v>
      </c>
      <c r="AG108" s="1" t="s">
        <v>704</v>
      </c>
    </row>
    <row r="109" spans="2:33" x14ac:dyDescent="0.25">
      <c r="B109" s="4" t="s">
        <v>716</v>
      </c>
      <c r="C109" t="s">
        <v>716</v>
      </c>
      <c r="D109" t="s">
        <v>716</v>
      </c>
      <c r="E109" s="1" t="s">
        <v>705</v>
      </c>
      <c r="F109" s="2" t="s">
        <v>705</v>
      </c>
      <c r="G109" s="1" t="s">
        <v>705</v>
      </c>
      <c r="H109" s="1" t="s">
        <v>705</v>
      </c>
      <c r="I109" s="1" t="s">
        <v>705</v>
      </c>
      <c r="J109" s="1" t="s">
        <v>705</v>
      </c>
      <c r="K109" s="1" t="s">
        <v>705</v>
      </c>
      <c r="L109" s="1" t="s">
        <v>705</v>
      </c>
      <c r="M109" s="1" t="s">
        <v>705</v>
      </c>
      <c r="N109" s="1" t="s">
        <v>705</v>
      </c>
      <c r="O109" s="1" t="s">
        <v>705</v>
      </c>
      <c r="P109" s="1" t="s">
        <v>705</v>
      </c>
      <c r="Q109" s="1" t="s">
        <v>705</v>
      </c>
      <c r="R109" s="1" t="s">
        <v>705</v>
      </c>
      <c r="S109" s="1" t="s">
        <v>705</v>
      </c>
      <c r="T109" s="1" t="s">
        <v>705</v>
      </c>
      <c r="U109" s="1" t="s">
        <v>705</v>
      </c>
      <c r="V109" s="1" t="s">
        <v>705</v>
      </c>
      <c r="W109" s="1" t="s">
        <v>705</v>
      </c>
      <c r="X109" s="1" t="s">
        <v>705</v>
      </c>
      <c r="Y109" s="1" t="s">
        <v>705</v>
      </c>
      <c r="Z109" s="1" t="s">
        <v>705</v>
      </c>
      <c r="AA109" s="1" t="s">
        <v>705</v>
      </c>
      <c r="AB109" s="1" t="s">
        <v>705</v>
      </c>
      <c r="AC109" s="1" t="s">
        <v>705</v>
      </c>
      <c r="AD109" s="1" t="s">
        <v>705</v>
      </c>
      <c r="AE109" s="1" t="s">
        <v>705</v>
      </c>
      <c r="AF109" s="1" t="s">
        <v>705</v>
      </c>
      <c r="AG109" s="1" t="s">
        <v>705</v>
      </c>
    </row>
    <row r="110" spans="2:33" x14ac:dyDescent="0.25">
      <c r="B110" s="4" t="s">
        <v>717</v>
      </c>
      <c r="C110" t="s">
        <v>717</v>
      </c>
      <c r="D110" t="s">
        <v>717</v>
      </c>
      <c r="E110" s="1" t="s">
        <v>675</v>
      </c>
      <c r="F110" s="2" t="s">
        <v>675</v>
      </c>
      <c r="G110" s="1" t="s">
        <v>675</v>
      </c>
      <c r="H110" s="1" t="s">
        <v>675</v>
      </c>
      <c r="I110" s="1" t="s">
        <v>675</v>
      </c>
      <c r="J110" s="1" t="s">
        <v>675</v>
      </c>
      <c r="K110" s="1" t="s">
        <v>675</v>
      </c>
      <c r="L110" s="1" t="s">
        <v>675</v>
      </c>
      <c r="M110" s="1" t="s">
        <v>675</v>
      </c>
      <c r="N110" s="1" t="s">
        <v>675</v>
      </c>
      <c r="O110" s="1" t="s">
        <v>675</v>
      </c>
      <c r="P110" s="1" t="s">
        <v>675</v>
      </c>
      <c r="Q110" s="1" t="s">
        <v>675</v>
      </c>
      <c r="R110" s="1" t="s">
        <v>675</v>
      </c>
      <c r="S110" s="1" t="s">
        <v>675</v>
      </c>
      <c r="T110" s="1" t="s">
        <v>675</v>
      </c>
      <c r="U110" s="1" t="s">
        <v>675</v>
      </c>
      <c r="V110" s="1" t="s">
        <v>675</v>
      </c>
      <c r="W110" s="1" t="s">
        <v>675</v>
      </c>
      <c r="X110" s="1" t="s">
        <v>675</v>
      </c>
      <c r="Y110" s="1" t="s">
        <v>675</v>
      </c>
      <c r="Z110" s="1" t="s">
        <v>675</v>
      </c>
      <c r="AA110" s="1" t="s">
        <v>675</v>
      </c>
      <c r="AB110" s="1" t="s">
        <v>675</v>
      </c>
      <c r="AC110" s="1" t="s">
        <v>675</v>
      </c>
      <c r="AD110" s="1" t="s">
        <v>675</v>
      </c>
      <c r="AE110" s="1" t="s">
        <v>675</v>
      </c>
      <c r="AF110" s="1" t="s">
        <v>675</v>
      </c>
      <c r="AG110" s="1" t="s">
        <v>675</v>
      </c>
    </row>
    <row r="111" spans="2:33" x14ac:dyDescent="0.25">
      <c r="B111" s="4" t="s">
        <v>718</v>
      </c>
      <c r="C111" t="s">
        <v>718</v>
      </c>
      <c r="D111" t="s">
        <v>718</v>
      </c>
      <c r="E111" s="1" t="s">
        <v>706</v>
      </c>
      <c r="F111" s="2" t="s">
        <v>706</v>
      </c>
      <c r="G111" s="1" t="s">
        <v>706</v>
      </c>
      <c r="H111" s="1" t="s">
        <v>706</v>
      </c>
      <c r="I111" s="1" t="s">
        <v>706</v>
      </c>
      <c r="J111" s="1" t="s">
        <v>706</v>
      </c>
      <c r="K111" s="1" t="s">
        <v>706</v>
      </c>
      <c r="L111" s="1" t="s">
        <v>706</v>
      </c>
      <c r="M111" s="1" t="s">
        <v>706</v>
      </c>
      <c r="N111" s="1" t="s">
        <v>706</v>
      </c>
      <c r="O111" s="1" t="s">
        <v>706</v>
      </c>
      <c r="P111" s="1" t="s">
        <v>706</v>
      </c>
      <c r="Q111" s="1" t="s">
        <v>706</v>
      </c>
      <c r="R111" s="1" t="s">
        <v>706</v>
      </c>
      <c r="S111" s="1" t="s">
        <v>706</v>
      </c>
      <c r="T111" s="1" t="s">
        <v>706</v>
      </c>
      <c r="U111" s="1" t="s">
        <v>706</v>
      </c>
      <c r="V111" s="1" t="s">
        <v>706</v>
      </c>
      <c r="W111" s="1" t="s">
        <v>706</v>
      </c>
      <c r="X111" s="1" t="s">
        <v>706</v>
      </c>
      <c r="Y111" s="1" t="s">
        <v>706</v>
      </c>
      <c r="Z111" s="1" t="s">
        <v>706</v>
      </c>
      <c r="AA111" s="1" t="s">
        <v>706</v>
      </c>
      <c r="AB111" s="1" t="s">
        <v>706</v>
      </c>
      <c r="AC111" s="1" t="s">
        <v>706</v>
      </c>
      <c r="AD111" s="1" t="s">
        <v>706</v>
      </c>
      <c r="AE111" s="1" t="s">
        <v>706</v>
      </c>
      <c r="AF111" s="1" t="s">
        <v>706</v>
      </c>
      <c r="AG111" s="1" t="s">
        <v>706</v>
      </c>
    </row>
    <row r="112" spans="2:33" x14ac:dyDescent="0.25">
      <c r="B112" s="4" t="s">
        <v>719</v>
      </c>
      <c r="C112" t="s">
        <v>719</v>
      </c>
      <c r="D112" t="s">
        <v>719</v>
      </c>
      <c r="E112" s="1" t="s">
        <v>707</v>
      </c>
      <c r="F112" s="2" t="s">
        <v>707</v>
      </c>
      <c r="G112" s="1" t="s">
        <v>707</v>
      </c>
      <c r="H112" s="1" t="s">
        <v>707</v>
      </c>
      <c r="I112" s="1" t="s">
        <v>707</v>
      </c>
      <c r="J112" s="1" t="s">
        <v>707</v>
      </c>
      <c r="K112" s="1" t="s">
        <v>707</v>
      </c>
      <c r="L112" s="1" t="s">
        <v>707</v>
      </c>
      <c r="M112" s="1" t="s">
        <v>707</v>
      </c>
      <c r="N112" s="1" t="s">
        <v>707</v>
      </c>
      <c r="O112" s="1" t="s">
        <v>707</v>
      </c>
      <c r="P112" s="1" t="s">
        <v>707</v>
      </c>
      <c r="Q112" s="1" t="s">
        <v>707</v>
      </c>
      <c r="R112" s="1" t="s">
        <v>707</v>
      </c>
      <c r="S112" s="1" t="s">
        <v>707</v>
      </c>
      <c r="T112" s="1" t="s">
        <v>707</v>
      </c>
      <c r="U112" s="1" t="s">
        <v>707</v>
      </c>
      <c r="V112" s="1" t="s">
        <v>707</v>
      </c>
      <c r="W112" s="1" t="s">
        <v>707</v>
      </c>
      <c r="X112" s="1" t="s">
        <v>707</v>
      </c>
      <c r="Y112" s="1" t="s">
        <v>707</v>
      </c>
      <c r="Z112" s="1" t="s">
        <v>707</v>
      </c>
      <c r="AA112" s="1" t="s">
        <v>707</v>
      </c>
      <c r="AB112" s="1" t="s">
        <v>707</v>
      </c>
      <c r="AC112" s="1" t="s">
        <v>707</v>
      </c>
      <c r="AD112" s="1" t="s">
        <v>707</v>
      </c>
      <c r="AE112" s="1" t="s">
        <v>707</v>
      </c>
      <c r="AF112" s="1" t="s">
        <v>707</v>
      </c>
      <c r="AG112" s="1" t="s">
        <v>707</v>
      </c>
    </row>
    <row r="113" spans="2:33" ht="409.5" x14ac:dyDescent="0.25">
      <c r="B113" s="4" t="s">
        <v>720</v>
      </c>
      <c r="C113" t="s">
        <v>720</v>
      </c>
      <c r="D113" t="s">
        <v>720</v>
      </c>
      <c r="E113" s="6" t="str">
        <f>form_block_de!$A1</f>
        <v>&lt;section class="section-intro" id="abonniere"&gt;
&lt;div id="mc_embed_shell"&gt;  
&lt;div id="mc_embed_signup"&gt;
    &lt;form action="https://karmel.us6.list-manage.com/subscribe/post?u=7c9d2aa0ecc1fde64fd44bc67&amp;amp;id=10430a5833&amp;amp;f_id=009254e3f0" method="post" id="mc-embedded-subscribe-form" name="mc-embedded-subscribe-form" class="validate" target="_self" novalidate=""&gt;
        &lt;div id="mc_embed_signup_scroll"&gt;
            &lt;div class="mc-field-group"&gt;&lt;label for="mce-EMAIL"&gt;eMail Adresse&lt;span class="asterisk"&gt;* (erforderlich)&lt;/span&gt;&lt;/label&gt;
              &lt;input type="email" name="EMAIL" class="required email" id="mce-EMAIL" required="" value=""&gt;&lt;/div&gt;
              &lt;div class="mc-field-group"&gt;&lt;label for="mce-FNAME"&gt;Vorname &lt;/label&gt;
                &lt;input type="text" name="FNAME" class=" text" id="mce-FNAME" value=""&gt;&lt;/div&gt;
                &lt;div class="mc-field-group"&gt;&lt;label for="mce-LNAME"&gt;Nachname &lt;/label&gt;
                  &lt;input type="text" name="LNAME" class=" text" id="mce-LNAME" value=""&gt;&lt;/div&gt;
                                        &lt;div class="mc-field-group"&gt;&lt;label for="mce-AUFMERKS01"&gt;Wie sind Sie auf uns aufmerksam geworden? &lt;/label&gt;
                        &lt;select name="AUFMERKS01" class="" id="mce-AUFMERKS01"&gt;
                        &lt;option value="Bitte auswahlen..."&gt;Bitte auswahlen...&lt;/option&gt;
                        &lt;option value="Karmeliten in Wien"&gt;Karmeliten in Wien&lt;/option&gt;
                        &lt;option value="Karmeliten in Linz"&gt;Karmeliten in Linz&lt;/option&gt;
                        &lt;option value="Karmeliten in Graz"&gt;Karmeliten in Graz&lt;/option&gt;
                        &lt;option value="Persönliche Empfehlung"&gt;Persönliche Empfehlung&lt;/option&gt;
                        &lt;option value="Plakat"&gt;Plakat&lt;/option&gt;
                        &lt;option value="Internetsuche"&gt;Internetsuche&lt;/option&gt;
                        &lt;option value="YouTube"&gt;YouTube&lt;/option&gt;
                        &lt;option value="Facebook"&gt;Facebook&lt;/option&gt;
                        &lt;option value="Instagram"&gt;Instagram&lt;/option&gt;
                        &lt;option value="Sonstiges"&gt;Sonstiges&lt;/option&gt;&lt;/select&gt;&lt;/div&gt;
                      &lt;div class="mc-field-group" id="sonstiges-field" style="display:none"&gt;&lt;label for="mce-AUFMERKS02"&gt;Sonstiges&lt;/label&gt;
                        &lt;input type="text" name="AUFMERKS02" class=" text" id="mce-AUFMERKS02" value="" disabled&gt;&lt;span id="mce-AUFMERKS02-HELPERTEXT" class="help-block" hidden&gt;Wenn Sie „Sonstiges“ ausgewählt haben, geben Sie bitte hier &lt;/span&gt;
                      &lt;/div&gt;
                  &lt;div class="mc-field-group"&gt;&lt;label for="mce-LNAME"&gt; &lt;/label&gt;
                  &lt;/div&gt;
                    &lt;div class="mc-field-group input-group"&gt;
                      &lt;details class="interest-details"&gt;
                        &lt;summary&gt;Weitere Angebote der Karmeliten&lt;/summary&gt;
                        &lt;ul class="interest-group" style="text-align: left;"&gt;
                        &lt;li&gt;&lt;input type="checkbox" name="group[16777][64]" id="mce-group[16777]-16777-0" value=""&gt;&lt;label for="mce-group[16777]-16777-0"&gt;alle Veranstaltungen des Karmel in Österreich&lt;/label&gt;&lt;/li&gt;
                          &lt;details class="interest-details" style="padding-left: 1rem"&gt;&lt;summary&gt;Orte und Formate einschränken&lt;/summary&gt;
                            &lt;ul&gt;
                        &lt;li&gt;&lt;input type="checkbox" name="group[16777][512]" id="mce-group[16777]-16777-1" value="" &gt;&lt;label for="mce-group[16777]-16777-1"&gt;in Wien&lt;/label&gt;&lt;/li&gt;
                        &lt;li&gt;&lt;input type="checkbox" name="group[16777][1024]" id="mce-group[16777]-16777-2" value="" &gt;&lt;label for="mce-group[16777]-16777-2"&gt;in Linz&lt;/label&gt;&lt;/li&gt;
                        &lt;li&gt;&lt;input type="checkbox" name="group[16777][2048]" id="mce-group[16777]-16777-3" value="" &gt;&lt;label for="mce-group[16777]-16777-3"&gt;in Graz&lt;/label&gt;&lt;/li&gt;
                        &lt;li&gt;&lt;input type="checkbox" name="group[16777][524288]" id="mce-group[16777]-16777-4" value=""&gt;&lt;label for="mce-group[16777]-16777-4"&gt;online&lt;/label&gt;&lt;/li&gt;
                      &lt;/ul&gt;
                      &lt;/details&gt;
                        &lt;li&gt;&lt;input type="checkbox" name="group[16777][256]" id="mce-group[16777]-16777-5" value=""&gt;&lt;label for="mce-group[16777]-16777-5"&gt;Infos/Veranstaltungen der Edith Stein Gesellschaft&lt;/label&gt;&lt;/li&gt;
                        &lt;details class="interest-details" &gt;&lt;summary&gt;Novenen und Exerzitien auswählen&lt;/summary&gt;
                          &lt;ul&gt;
                        &lt;li&gt;&lt;input type="checkbox" name="group[16777][128]" id="mce-group[16777]-16777-6" value=""&gt;&lt;label for="mce-group[16777]-16777-6"&gt;Friedensgebet/Novene Hl. Edith Stein&lt;/label&gt;&lt;/li&gt;
                        &lt;li style="display:none"&gt;&lt;input type="checkbox" name="group[16777][32]" id="mce-group[16777]-16777-7" value="" checked&gt;&lt;label for="mce-group[16777]-16777-7"&gt;Exerzitien Online in Advent/Fastenzeit&lt;/label&gt;&lt;/li&gt;
                        &lt;li&gt;&lt;input type="checkbox" name="group[16777][16]" id="mce-group[16777]-16777-8" value=""&gt;&lt;label for="mce-group[16777]-16777-8"&gt;Novene Online zum Skapulierfest&lt;/label&gt;&lt;/li&gt;
                        &lt;li&gt;&lt;input type="checkbox" name="group[16777][8192]" id="mce-group[16777]-16777-9" value=""&gt;&lt;label for="mce-group[16777]-16777-9"&gt;33 Schritte mit Maria zu Jesus&lt;/label&gt;&lt;/li&gt;
                        &lt;li&gt;&lt;input type="checkbox" name="group[16777][4096]" id="mce-group[16777]-16777-10" value=""&gt;&lt;label for="mce-group[16777]-16777-10"&gt;Jesus-Gebet&lt;/label&gt;&lt;/li&gt;                      
                          &lt;/ul&gt;
                        &lt;/details&gt;
&lt;!--                                    &lt;div class="card-links"&gt;
              &lt;a href="#angebote-cards"&gt;Mehr Informationen zur Angebote nach unten&lt;/a&gt;
            &lt;/div&gt; --&gt;
                      &lt;/ul&gt;
                      &lt;/details&gt;
                      &lt;div hidden=""&gt;&lt;input type="hidden" name="tags" value="8501"&gt;&lt;/div&gt;
                    &lt;/div&gt;
        &lt;div id="mce-responses" class="clear"&gt;
            &lt;div class="response" id="mce-error-response" style="display: none;"&gt;&lt;/div&gt;
            &lt;div class="response" id="mce-success-response" style="display: none;"&gt;&lt;/div&gt;
        &lt;/div&gt;&lt;div style="position: absolute; left: -5000px;" aria-hidden="true"&gt;&lt;input type="text" name="b_7c9d2aa0ecc1fde64fd44bc67_10430a5833" tabindex="-1" value=""&gt;&lt;/div&gt;
        &lt;div class="clear"&gt;&lt;input type="submit" name="subscribe" id="mc-embedded-subscribe" class="button-signup" value="Anmelden"&gt;&lt;/div&gt;
&lt;/form&gt;
      &lt;/section&gt;
                &lt;/div&gt;
            &lt;/div&gt;
                      &lt;div class="datenschutz-toggle"&gt;
          &lt;a href="#datenschutz-wrap" id="datenschutz-toggle" aria-expanded="false" aria-controls="datenschutz-wrap"&gt;Datenschutz&lt;/a&gt;
                      &lt;div id="datenschutz-wrap" hidden&gt;
          &lt;p style="font-size: 14px;"&gt;Die Karmeliten in Österreich werden die Informationen, die Sie in diesem Formular angeben, dazu verwenden, mit Ihnen in Kontakt zu bleiben und Ihnen Informationen über Internet-Aktivitäten wie Exerzitien Online o.ä. zu übermitteln – je nach Ihrer Auswahl im obigen Formular.
            Sie können Ihre Meinung jederzeit ändern, indem Sie auf den Abbestellungs-Link klicken, den Sie in der Fußzeile jeder E-Mail, die Sie von uns erhalten, finden können, oder indem Sie uns unter online-exerzitien@karmel.at kontaktieren. Wir werden Ihre Informationen mit Sorgfalt und Respekt behandeln. Weitere Informationen zu unseren Datenschutzpraktiken finden Sie auf unserer Website www.karmel.at. Indem Sie unten klicken, erklären Sie sich damit einverstanden, dass wir Ihre Informationen in Übereinstimmung mit diesen Bedingungen verarbeiten dürfen.
          &lt;/p&gt;
          &lt;p style="font-size: 14px;"&gt;
  Wir nutzen Mailchimp als unsere Marketing-Plattform. Mit einem Klick auf den untenstehenden Button zum Abonnieren erklären Sie sich damit einverstanden, dass Ihre Daten zur Verarbeitung an Mailchimp übermittelt werden.&lt;/p&gt;
  &lt;a class="plain-link" href="https://mailchimp.com/legal/terms/" target="_blank" rel="noopener noreferrer" style="display:inline-block; font-size: 14px; font-weight: 200; text-decoration:none;"&gt;
      Mehr über die Datenschutzpraktiken von Mailchimp erfahren Sie hier.
  &lt;/a&gt;&lt;/div&gt;&lt;/div&gt;
          &lt;/div&gt;
        &lt;/div&gt;
      &lt;/section&gt;</v>
      </c>
      <c r="F113" s="2" t="str">
        <f>form_block_de!$A1</f>
        <v>&lt;section class="section-intro" id="abonniere"&gt;
&lt;div id="mc_embed_shell"&gt;  
&lt;div id="mc_embed_signup"&gt;
    &lt;form action="https://karmel.us6.list-manage.com/subscribe/post?u=7c9d2aa0ecc1fde64fd44bc67&amp;amp;id=10430a5833&amp;amp;f_id=009254e3f0" method="post" id="mc-embedded-subscribe-form" name="mc-embedded-subscribe-form" class="validate" target="_self" novalidate=""&gt;
        &lt;div id="mc_embed_signup_scroll"&gt;
            &lt;div class="mc-field-group"&gt;&lt;label for="mce-EMAIL"&gt;eMail Adresse&lt;span class="asterisk"&gt;* (erforderlich)&lt;/span&gt;&lt;/label&gt;
              &lt;input type="email" name="EMAIL" class="required email" id="mce-EMAIL" required="" value=""&gt;&lt;/div&gt;
              &lt;div class="mc-field-group"&gt;&lt;label for="mce-FNAME"&gt;Vorname &lt;/label&gt;
                &lt;input type="text" name="FNAME" class=" text" id="mce-FNAME" value=""&gt;&lt;/div&gt;
                &lt;div class="mc-field-group"&gt;&lt;label for="mce-LNAME"&gt;Nachname &lt;/label&gt;
                  &lt;input type="text" name="LNAME" class=" text" id="mce-LNAME" value=""&gt;&lt;/div&gt;
                                        &lt;div class="mc-field-group"&gt;&lt;label for="mce-AUFMERKS01"&gt;Wie sind Sie auf uns aufmerksam geworden? &lt;/label&gt;
                        &lt;select name="AUFMERKS01" class="" id="mce-AUFMERKS01"&gt;
                        &lt;option value="Bitte auswahlen..."&gt;Bitte auswahlen...&lt;/option&gt;
                        &lt;option value="Karmeliten in Wien"&gt;Karmeliten in Wien&lt;/option&gt;
                        &lt;option value="Karmeliten in Linz"&gt;Karmeliten in Linz&lt;/option&gt;
                        &lt;option value="Karmeliten in Graz"&gt;Karmeliten in Graz&lt;/option&gt;
                        &lt;option value="Persönliche Empfehlung"&gt;Persönliche Empfehlung&lt;/option&gt;
                        &lt;option value="Plakat"&gt;Plakat&lt;/option&gt;
                        &lt;option value="Internetsuche"&gt;Internetsuche&lt;/option&gt;
                        &lt;option value="YouTube"&gt;YouTube&lt;/option&gt;
                        &lt;option value="Facebook"&gt;Facebook&lt;/option&gt;
                        &lt;option value="Instagram"&gt;Instagram&lt;/option&gt;
                        &lt;option value="Sonstiges"&gt;Sonstiges&lt;/option&gt;&lt;/select&gt;&lt;/div&gt;
                      &lt;div class="mc-field-group" id="sonstiges-field" style="display:none"&gt;&lt;label for="mce-AUFMERKS02"&gt;Sonstiges&lt;/label&gt;
                        &lt;input type="text" name="AUFMERKS02" class=" text" id="mce-AUFMERKS02" value="" disabled&gt;&lt;span id="mce-AUFMERKS02-HELPERTEXT" class="help-block" hidden&gt;Wenn Sie „Sonstiges“ ausgewählt haben, geben Sie bitte hier &lt;/span&gt;
                      &lt;/div&gt;
                  &lt;div class="mc-field-group"&gt;&lt;label for="mce-LNAME"&gt; &lt;/label&gt;
                  &lt;/div&gt;
                    &lt;div class="mc-field-group input-group"&gt;
                      &lt;details class="interest-details"&gt;
                        &lt;summary&gt;Weitere Angebote der Karmeliten&lt;/summary&gt;
                        &lt;ul class="interest-group" style="text-align: left;"&gt;
                        &lt;li&gt;&lt;input type="checkbox" name="group[16777][64]" id="mce-group[16777]-16777-0" value=""&gt;&lt;label for="mce-group[16777]-16777-0"&gt;alle Veranstaltungen des Karmel in Österreich&lt;/label&gt;&lt;/li&gt;
                          &lt;details class="interest-details" style="padding-left: 1rem"&gt;&lt;summary&gt;Orte und Formate einschränken&lt;/summary&gt;
                            &lt;ul&gt;
                        &lt;li&gt;&lt;input type="checkbox" name="group[16777][512]" id="mce-group[16777]-16777-1" value="" &gt;&lt;label for="mce-group[16777]-16777-1"&gt;in Wien&lt;/label&gt;&lt;/li&gt;
                        &lt;li&gt;&lt;input type="checkbox" name="group[16777][1024]" id="mce-group[16777]-16777-2" value="" &gt;&lt;label for="mce-group[16777]-16777-2"&gt;in Linz&lt;/label&gt;&lt;/li&gt;
                        &lt;li&gt;&lt;input type="checkbox" name="group[16777][2048]" id="mce-group[16777]-16777-3" value="" &gt;&lt;label for="mce-group[16777]-16777-3"&gt;in Graz&lt;/label&gt;&lt;/li&gt;
                        &lt;li&gt;&lt;input type="checkbox" name="group[16777][524288]" id="mce-group[16777]-16777-4" value=""&gt;&lt;label for="mce-group[16777]-16777-4"&gt;online&lt;/label&gt;&lt;/li&gt;
                      &lt;/ul&gt;
                      &lt;/details&gt;
                        &lt;li&gt;&lt;input type="checkbox" name="group[16777][256]" id="mce-group[16777]-16777-5" value=""&gt;&lt;label for="mce-group[16777]-16777-5"&gt;Infos/Veranstaltungen der Edith Stein Gesellschaft&lt;/label&gt;&lt;/li&gt;
                        &lt;details class="interest-details" &gt;&lt;summary&gt;Novenen und Exerzitien auswählen&lt;/summary&gt;
                          &lt;ul&gt;
                        &lt;li&gt;&lt;input type="checkbox" name="group[16777][128]" id="mce-group[16777]-16777-6" value=""&gt;&lt;label for="mce-group[16777]-16777-6"&gt;Friedensgebet/Novene Hl. Edith Stein&lt;/label&gt;&lt;/li&gt;
                        &lt;li style="display:none"&gt;&lt;input type="checkbox" name="group[16777][32]" id="mce-group[16777]-16777-7" value="" checked&gt;&lt;label for="mce-group[16777]-16777-7"&gt;Exerzitien Online in Advent/Fastenzeit&lt;/label&gt;&lt;/li&gt;
                        &lt;li&gt;&lt;input type="checkbox" name="group[16777][16]" id="mce-group[16777]-16777-8" value=""&gt;&lt;label for="mce-group[16777]-16777-8"&gt;Novene Online zum Skapulierfest&lt;/label&gt;&lt;/li&gt;
                        &lt;li&gt;&lt;input type="checkbox" name="group[16777][8192]" id="mce-group[16777]-16777-9" value=""&gt;&lt;label for="mce-group[16777]-16777-9"&gt;33 Schritte mit Maria zu Jesus&lt;/label&gt;&lt;/li&gt;
                        &lt;li&gt;&lt;input type="checkbox" name="group[16777][4096]" id="mce-group[16777]-16777-10" value=""&gt;&lt;label for="mce-group[16777]-16777-10"&gt;Jesus-Gebet&lt;/label&gt;&lt;/li&gt;                      
                          &lt;/ul&gt;
                        &lt;/details&gt;
&lt;!--                                    &lt;div class="card-links"&gt;
              &lt;a href="#angebote-cards"&gt;Mehr Informationen zur Angebote nach unten&lt;/a&gt;
            &lt;/div&gt; --&gt;
                      &lt;/ul&gt;
                      &lt;/details&gt;
                      &lt;div hidden=""&gt;&lt;input type="hidden" name="tags" value="8501"&gt;&lt;/div&gt;
                    &lt;/div&gt;
        &lt;div id="mce-responses" class="clear"&gt;
            &lt;div class="response" id="mce-error-response" style="display: none;"&gt;&lt;/div&gt;
            &lt;div class="response" id="mce-success-response" style="display: none;"&gt;&lt;/div&gt;
        &lt;/div&gt;&lt;div style="position: absolute; left: -5000px;" aria-hidden="true"&gt;&lt;input type="text" name="b_7c9d2aa0ecc1fde64fd44bc67_10430a5833" tabindex="-1" value=""&gt;&lt;/div&gt;
        &lt;div class="clear"&gt;&lt;input type="submit" name="subscribe" id="mc-embedded-subscribe" class="button-signup" value="Anmelden"&gt;&lt;/div&gt;
&lt;/form&gt;
      &lt;/section&gt;
                &lt;/div&gt;
            &lt;/div&gt;
                      &lt;div class="datenschutz-toggle"&gt;
          &lt;a href="#datenschutz-wrap" id="datenschutz-toggle" aria-expanded="false" aria-controls="datenschutz-wrap"&gt;Datenschutz&lt;/a&gt;
                      &lt;div id="datenschutz-wrap" hidden&gt;
          &lt;p style="font-size: 14px;"&gt;Die Karmeliten in Österreich werden die Informationen, die Sie in diesem Formular angeben, dazu verwenden, mit Ihnen in Kontakt zu bleiben und Ihnen Informationen über Internet-Aktivitäten wie Exerzitien Online o.ä. zu übermitteln – je nach Ihrer Auswahl im obigen Formular.
            Sie können Ihre Meinung jederzeit ändern, indem Sie auf den Abbestellungs-Link klicken, den Sie in der Fußzeile jeder E-Mail, die Sie von uns erhalten, finden können, oder indem Sie uns unter online-exerzitien@karmel.at kontaktieren. Wir werden Ihre Informationen mit Sorgfalt und Respekt behandeln. Weitere Informationen zu unseren Datenschutzpraktiken finden Sie auf unserer Website www.karmel.at. Indem Sie unten klicken, erklären Sie sich damit einverstanden, dass wir Ihre Informationen in Übereinstimmung mit diesen Bedingungen verarbeiten dürfen.
          &lt;/p&gt;
          &lt;p style="font-size: 14px;"&gt;
  Wir nutzen Mailchimp als unsere Marketing-Plattform. Mit einem Klick auf den untenstehenden Button zum Abonnieren erklären Sie sich damit einverstanden, dass Ihre Daten zur Verarbeitung an Mailchimp übermittelt werden.&lt;/p&gt;
  &lt;a class="plain-link" href="https://mailchimp.com/legal/terms/" target="_blank" rel="noopener noreferrer" style="display:inline-block; font-size: 14px; font-weight: 200; text-decoration:none;"&gt;
      Mehr über die Datenschutzpraktiken von Mailchimp erfahren Sie hier.
  &lt;/a&gt;&lt;/div&gt;&lt;/div&gt;
          &lt;/div&gt;
        &lt;/div&gt;
      &lt;/section&gt;</v>
      </c>
      <c r="G113" s="1" t="str">
        <f>form_block_de!$A1</f>
        <v>&lt;section class="section-intro" id="abonniere"&gt;
&lt;div id="mc_embed_shell"&gt;  
&lt;div id="mc_embed_signup"&gt;
    &lt;form action="https://karmel.us6.list-manage.com/subscribe/post?u=7c9d2aa0ecc1fde64fd44bc67&amp;amp;id=10430a5833&amp;amp;f_id=009254e3f0" method="post" id="mc-embedded-subscribe-form" name="mc-embedded-subscribe-form" class="validate" target="_self" novalidate=""&gt;
        &lt;div id="mc_embed_signup_scroll"&gt;
            &lt;div class="mc-field-group"&gt;&lt;label for="mce-EMAIL"&gt;eMail Adresse&lt;span class="asterisk"&gt;* (erforderlich)&lt;/span&gt;&lt;/label&gt;
              &lt;input type="email" name="EMAIL" class="required email" id="mce-EMAIL" required="" value=""&gt;&lt;/div&gt;
              &lt;div class="mc-field-group"&gt;&lt;label for="mce-FNAME"&gt;Vorname &lt;/label&gt;
                &lt;input type="text" name="FNAME" class=" text" id="mce-FNAME" value=""&gt;&lt;/div&gt;
                &lt;div class="mc-field-group"&gt;&lt;label for="mce-LNAME"&gt;Nachname &lt;/label&gt;
                  &lt;input type="text" name="LNAME" class=" text" id="mce-LNAME" value=""&gt;&lt;/div&gt;
                                        &lt;div class="mc-field-group"&gt;&lt;label for="mce-AUFMERKS01"&gt;Wie sind Sie auf uns aufmerksam geworden? &lt;/label&gt;
                        &lt;select name="AUFMERKS01" class="" id="mce-AUFMERKS01"&gt;
                        &lt;option value="Bitte auswahlen..."&gt;Bitte auswahlen...&lt;/option&gt;
                        &lt;option value="Karmeliten in Wien"&gt;Karmeliten in Wien&lt;/option&gt;
                        &lt;option value="Karmeliten in Linz"&gt;Karmeliten in Linz&lt;/option&gt;
                        &lt;option value="Karmeliten in Graz"&gt;Karmeliten in Graz&lt;/option&gt;
                        &lt;option value="Persönliche Empfehlung"&gt;Persönliche Empfehlung&lt;/option&gt;
                        &lt;option value="Plakat"&gt;Plakat&lt;/option&gt;
                        &lt;option value="Internetsuche"&gt;Internetsuche&lt;/option&gt;
                        &lt;option value="YouTube"&gt;YouTube&lt;/option&gt;
                        &lt;option value="Facebook"&gt;Facebook&lt;/option&gt;
                        &lt;option value="Instagram"&gt;Instagram&lt;/option&gt;
                        &lt;option value="Sonstiges"&gt;Sonstiges&lt;/option&gt;&lt;/select&gt;&lt;/div&gt;
                      &lt;div class="mc-field-group" id="sonstiges-field" style="display:none"&gt;&lt;label for="mce-AUFMERKS02"&gt;Sonstiges&lt;/label&gt;
                        &lt;input type="text" name="AUFMERKS02" class=" text" id="mce-AUFMERKS02" value="" disabled&gt;&lt;span id="mce-AUFMERKS02-HELPERTEXT" class="help-block" hidden&gt;Wenn Sie „Sonstiges“ ausgewählt haben, geben Sie bitte hier &lt;/span&gt;
                      &lt;/div&gt;
                  &lt;div class="mc-field-group"&gt;&lt;label for="mce-LNAME"&gt; &lt;/label&gt;
                  &lt;/div&gt;
                    &lt;div class="mc-field-group input-group"&gt;
                      &lt;details class="interest-details"&gt;
                        &lt;summary&gt;Weitere Angebote der Karmeliten&lt;/summary&gt;
                        &lt;ul class="interest-group" style="text-align: left;"&gt;
                        &lt;li&gt;&lt;input type="checkbox" name="group[16777][64]" id="mce-group[16777]-16777-0" value=""&gt;&lt;label for="mce-group[16777]-16777-0"&gt;alle Veranstaltungen des Karmel in Österreich&lt;/label&gt;&lt;/li&gt;
                          &lt;details class="interest-details" style="padding-left: 1rem"&gt;&lt;summary&gt;Orte und Formate einschränken&lt;/summary&gt;
                            &lt;ul&gt;
                        &lt;li&gt;&lt;input type="checkbox" name="group[16777][512]" id="mce-group[16777]-16777-1" value="" &gt;&lt;label for="mce-group[16777]-16777-1"&gt;in Wien&lt;/label&gt;&lt;/li&gt;
                        &lt;li&gt;&lt;input type="checkbox" name="group[16777][1024]" id="mce-group[16777]-16777-2" value="" &gt;&lt;label for="mce-group[16777]-16777-2"&gt;in Linz&lt;/label&gt;&lt;/li&gt;
                        &lt;li&gt;&lt;input type="checkbox" name="group[16777][2048]" id="mce-group[16777]-16777-3" value="" &gt;&lt;label for="mce-group[16777]-16777-3"&gt;in Graz&lt;/label&gt;&lt;/li&gt;
                        &lt;li&gt;&lt;input type="checkbox" name="group[16777][524288]" id="mce-group[16777]-16777-4" value=""&gt;&lt;label for="mce-group[16777]-16777-4"&gt;online&lt;/label&gt;&lt;/li&gt;
                      &lt;/ul&gt;
                      &lt;/details&gt;
                        &lt;li&gt;&lt;input type="checkbox" name="group[16777][256]" id="mce-group[16777]-16777-5" value=""&gt;&lt;label for="mce-group[16777]-16777-5"&gt;Infos/Veranstaltungen der Edith Stein Gesellschaft&lt;/label&gt;&lt;/li&gt;
                        &lt;details class="interest-details" &gt;&lt;summary&gt;Novenen und Exerzitien auswählen&lt;/summary&gt;
                          &lt;ul&gt;
                        &lt;li&gt;&lt;input type="checkbox" name="group[16777][128]" id="mce-group[16777]-16777-6" value=""&gt;&lt;label for="mce-group[16777]-16777-6"&gt;Friedensgebet/Novene Hl. Edith Stein&lt;/label&gt;&lt;/li&gt;
                        &lt;li style="display:none"&gt;&lt;input type="checkbox" name="group[16777][32]" id="mce-group[16777]-16777-7" value="" checked&gt;&lt;label for="mce-group[16777]-16777-7"&gt;Exerzitien Online in Advent/Fastenzeit&lt;/label&gt;&lt;/li&gt;
                        &lt;li&gt;&lt;input type="checkbox" name="group[16777][16]" id="mce-group[16777]-16777-8" value=""&gt;&lt;label for="mce-group[16777]-16777-8"&gt;Novene Online zum Skapulierfest&lt;/label&gt;&lt;/li&gt;
                        &lt;li&gt;&lt;input type="checkbox" name="group[16777][8192]" id="mce-group[16777]-16777-9" value=""&gt;&lt;label for="mce-group[16777]-16777-9"&gt;33 Schritte mit Maria zu Jesus&lt;/label&gt;&lt;/li&gt;
                        &lt;li&gt;&lt;input type="checkbox" name="group[16777][4096]" id="mce-group[16777]-16777-10" value=""&gt;&lt;label for="mce-group[16777]-16777-10"&gt;Jesus-Gebet&lt;/label&gt;&lt;/li&gt;                      
                          &lt;/ul&gt;
                        &lt;/details&gt;
&lt;!--                                    &lt;div class="card-links"&gt;
              &lt;a href="#angebote-cards"&gt;Mehr Informationen zur Angebote nach unten&lt;/a&gt;
            &lt;/div&gt; --&gt;
                      &lt;/ul&gt;
                      &lt;/details&gt;
                      &lt;div hidden=""&gt;&lt;input type="hidden" name="tags" value="8501"&gt;&lt;/div&gt;
                    &lt;/div&gt;
        &lt;div id="mce-responses" class="clear"&gt;
            &lt;div class="response" id="mce-error-response" style="display: none;"&gt;&lt;/div&gt;
            &lt;div class="response" id="mce-success-response" style="display: none;"&gt;&lt;/div&gt;
        &lt;/div&gt;&lt;div style="position: absolute; left: -5000px;" aria-hidden="true"&gt;&lt;input type="text" name="b_7c9d2aa0ecc1fde64fd44bc67_10430a5833" tabindex="-1" value=""&gt;&lt;/div&gt;
        &lt;div class="clear"&gt;&lt;input type="submit" name="subscribe" id="mc-embedded-subscribe" class="button-signup" value="Anmelden"&gt;&lt;/div&gt;
&lt;/form&gt;
      &lt;/section&gt;
                &lt;/div&gt;
            &lt;/div&gt;
                      &lt;div class="datenschutz-toggle"&gt;
          &lt;a href="#datenschutz-wrap" id="datenschutz-toggle" aria-expanded="false" aria-controls="datenschutz-wrap"&gt;Datenschutz&lt;/a&gt;
                      &lt;div id="datenschutz-wrap" hidden&gt;
          &lt;p style="font-size: 14px;"&gt;Die Karmeliten in Österreich werden die Informationen, die Sie in diesem Formular angeben, dazu verwenden, mit Ihnen in Kontakt zu bleiben und Ihnen Informationen über Internet-Aktivitäten wie Exerzitien Online o.ä. zu übermitteln – je nach Ihrer Auswahl im obigen Formular.
            Sie können Ihre Meinung jederzeit ändern, indem Sie auf den Abbestellungs-Link klicken, den Sie in der Fußzeile jeder E-Mail, die Sie von uns erhalten, finden können, oder indem Sie uns unter online-exerzitien@karmel.at kontaktieren. Wir werden Ihre Informationen mit Sorgfalt und Respekt behandeln. Weitere Informationen zu unseren Datenschutzpraktiken finden Sie auf unserer Website www.karmel.at. Indem Sie unten klicken, erklären Sie sich damit einverstanden, dass wir Ihre Informationen in Übereinstimmung mit diesen Bedingungen verarbeiten dürfen.
          &lt;/p&gt;
          &lt;p style="font-size: 14px;"&gt;
  Wir nutzen Mailchimp als unsere Marketing-Plattform. Mit einem Klick auf den untenstehenden Button zum Abonnieren erklären Sie sich damit einverstanden, dass Ihre Daten zur Verarbeitung an Mailchimp übermittelt werden.&lt;/p&gt;
  &lt;a class="plain-link" href="https://mailchimp.com/legal/terms/" target="_blank" rel="noopener noreferrer" style="display:inline-block; font-size: 14px; font-weight: 200; text-decoration:none;"&gt;
      Mehr über die Datenschutzpraktiken von Mailchimp erfahren Sie hier.
  &lt;/a&gt;&lt;/div&gt;&lt;/div&gt;
          &lt;/div&gt;
        &lt;/div&gt;
      &lt;/section&gt;</v>
      </c>
      <c r="H113" s="1" t="str">
        <f>form_block_de!$A1</f>
        <v>&lt;section class="section-intro" id="abonniere"&gt;
&lt;div id="mc_embed_shell"&gt;  
&lt;div id="mc_embed_signup"&gt;
    &lt;form action="https://karmel.us6.list-manage.com/subscribe/post?u=7c9d2aa0ecc1fde64fd44bc67&amp;amp;id=10430a5833&amp;amp;f_id=009254e3f0" method="post" id="mc-embedded-subscribe-form" name="mc-embedded-subscribe-form" class="validate" target="_self" novalidate=""&gt;
        &lt;div id="mc_embed_signup_scroll"&gt;
            &lt;div class="mc-field-group"&gt;&lt;label for="mce-EMAIL"&gt;eMail Adresse&lt;span class="asterisk"&gt;* (erforderlich)&lt;/span&gt;&lt;/label&gt;
              &lt;input type="email" name="EMAIL" class="required email" id="mce-EMAIL" required="" value=""&gt;&lt;/div&gt;
              &lt;div class="mc-field-group"&gt;&lt;label for="mce-FNAME"&gt;Vorname &lt;/label&gt;
                &lt;input type="text" name="FNAME" class=" text" id="mce-FNAME" value=""&gt;&lt;/div&gt;
                &lt;div class="mc-field-group"&gt;&lt;label for="mce-LNAME"&gt;Nachname &lt;/label&gt;
                  &lt;input type="text" name="LNAME" class=" text" id="mce-LNAME" value=""&gt;&lt;/div&gt;
                                        &lt;div class="mc-field-group"&gt;&lt;label for="mce-AUFMERKS01"&gt;Wie sind Sie auf uns aufmerksam geworden? &lt;/label&gt;
                        &lt;select name="AUFMERKS01" class="" id="mce-AUFMERKS01"&gt;
                        &lt;option value="Bitte auswahlen..."&gt;Bitte auswahlen...&lt;/option&gt;
                        &lt;option value="Karmeliten in Wien"&gt;Karmeliten in Wien&lt;/option&gt;
                        &lt;option value="Karmeliten in Linz"&gt;Karmeliten in Linz&lt;/option&gt;
                        &lt;option value="Karmeliten in Graz"&gt;Karmeliten in Graz&lt;/option&gt;
                        &lt;option value="Persönliche Empfehlung"&gt;Persönliche Empfehlung&lt;/option&gt;
                        &lt;option value="Plakat"&gt;Plakat&lt;/option&gt;
                        &lt;option value="Internetsuche"&gt;Internetsuche&lt;/option&gt;
                        &lt;option value="YouTube"&gt;YouTube&lt;/option&gt;
                        &lt;option value="Facebook"&gt;Facebook&lt;/option&gt;
                        &lt;option value="Instagram"&gt;Instagram&lt;/option&gt;
                        &lt;option value="Sonstiges"&gt;Sonstiges&lt;/option&gt;&lt;/select&gt;&lt;/div&gt;
                      &lt;div class="mc-field-group" id="sonstiges-field" style="display:none"&gt;&lt;label for="mce-AUFMERKS02"&gt;Sonstiges&lt;/label&gt;
                        &lt;input type="text" name="AUFMERKS02" class=" text" id="mce-AUFMERKS02" value="" disabled&gt;&lt;span id="mce-AUFMERKS02-HELPERTEXT" class="help-block" hidden&gt;Wenn Sie „Sonstiges“ ausgewählt haben, geben Sie bitte hier &lt;/span&gt;
                      &lt;/div&gt;
                  &lt;div class="mc-field-group"&gt;&lt;label for="mce-LNAME"&gt; &lt;/label&gt;
                  &lt;/div&gt;
                    &lt;div class="mc-field-group input-group"&gt;
                      &lt;details class="interest-details"&gt;
                        &lt;summary&gt;Weitere Angebote der Karmeliten&lt;/summary&gt;
                        &lt;ul class="interest-group" style="text-align: left;"&gt;
                        &lt;li&gt;&lt;input type="checkbox" name="group[16777][64]" id="mce-group[16777]-16777-0" value=""&gt;&lt;label for="mce-group[16777]-16777-0"&gt;alle Veranstaltungen des Karmel in Österreich&lt;/label&gt;&lt;/li&gt;
                          &lt;details class="interest-details" style="padding-left: 1rem"&gt;&lt;summary&gt;Orte und Formate einschränken&lt;/summary&gt;
                            &lt;ul&gt;
                        &lt;li&gt;&lt;input type="checkbox" name="group[16777][512]" id="mce-group[16777]-16777-1" value="" &gt;&lt;label for="mce-group[16777]-16777-1"&gt;in Wien&lt;/label&gt;&lt;/li&gt;
                        &lt;li&gt;&lt;input type="checkbox" name="group[16777][1024]" id="mce-group[16777]-16777-2" value="" &gt;&lt;label for="mce-group[16777]-16777-2"&gt;in Linz&lt;/label&gt;&lt;/li&gt;
                        &lt;li&gt;&lt;input type="checkbox" name="group[16777][2048]" id="mce-group[16777]-16777-3" value="" &gt;&lt;label for="mce-group[16777]-16777-3"&gt;in Graz&lt;/label&gt;&lt;/li&gt;
                        &lt;li&gt;&lt;input type="checkbox" name="group[16777][524288]" id="mce-group[16777]-16777-4" value=""&gt;&lt;label for="mce-group[16777]-16777-4"&gt;online&lt;/label&gt;&lt;/li&gt;
                      &lt;/ul&gt;
                      &lt;/details&gt;
                        &lt;li&gt;&lt;input type="checkbox" name="group[16777][256]" id="mce-group[16777]-16777-5" value=""&gt;&lt;label for="mce-group[16777]-16777-5"&gt;Infos/Veranstaltungen der Edith Stein Gesellschaft&lt;/label&gt;&lt;/li&gt;
                        &lt;details class="interest-details" &gt;&lt;summary&gt;Novenen und Exerzitien auswählen&lt;/summary&gt;
                          &lt;ul&gt;
                        &lt;li&gt;&lt;input type="checkbox" name="group[16777][128]" id="mce-group[16777]-16777-6" value=""&gt;&lt;label for="mce-group[16777]-16777-6"&gt;Friedensgebet/Novene Hl. Edith Stein&lt;/label&gt;&lt;/li&gt;
                        &lt;li style="display:none"&gt;&lt;input type="checkbox" name="group[16777][32]" id="mce-group[16777]-16777-7" value="" checked&gt;&lt;label for="mce-group[16777]-16777-7"&gt;Exerzitien Online in Advent/Fastenzeit&lt;/label&gt;&lt;/li&gt;
                        &lt;li&gt;&lt;input type="checkbox" name="group[16777][16]" id="mce-group[16777]-16777-8" value=""&gt;&lt;label for="mce-group[16777]-16777-8"&gt;Novene Online zum Skapulierfest&lt;/label&gt;&lt;/li&gt;
                        &lt;li&gt;&lt;input type="checkbox" name="group[16777][8192]" id="mce-group[16777]-16777-9" value=""&gt;&lt;label for="mce-group[16777]-16777-9"&gt;33 Schritte mit Maria zu Jesus&lt;/label&gt;&lt;/li&gt;
                        &lt;li&gt;&lt;input type="checkbox" name="group[16777][4096]" id="mce-group[16777]-16777-10" value=""&gt;&lt;label for="mce-group[16777]-16777-10"&gt;Jesus-Gebet&lt;/label&gt;&lt;/li&gt;                      
                          &lt;/ul&gt;
                        &lt;/details&gt;
&lt;!--                                    &lt;div class="card-links"&gt;
              &lt;a href="#angebote-cards"&gt;Mehr Informationen zur Angebote nach unten&lt;/a&gt;
            &lt;/div&gt; --&gt;
                      &lt;/ul&gt;
                      &lt;/details&gt;
                      &lt;div hidden=""&gt;&lt;input type="hidden" name="tags" value="8501"&gt;&lt;/div&gt;
                    &lt;/div&gt;
        &lt;div id="mce-responses" class="clear"&gt;
            &lt;div class="response" id="mce-error-response" style="display: none;"&gt;&lt;/div&gt;
            &lt;div class="response" id="mce-success-response" style="display: none;"&gt;&lt;/div&gt;
        &lt;/div&gt;&lt;div style="position: absolute; left: -5000px;" aria-hidden="true"&gt;&lt;input type="text" name="b_7c9d2aa0ecc1fde64fd44bc67_10430a5833" tabindex="-1" value=""&gt;&lt;/div&gt;
        &lt;div class="clear"&gt;&lt;input type="submit" name="subscribe" id="mc-embedded-subscribe" class="button-signup" value="Anmelden"&gt;&lt;/div&gt;
&lt;/form&gt;
      &lt;/section&gt;
                &lt;/div&gt;
            &lt;/div&gt;
                      &lt;div class="datenschutz-toggle"&gt;
          &lt;a href="#datenschutz-wrap" id="datenschutz-toggle" aria-expanded="false" aria-controls="datenschutz-wrap"&gt;Datenschutz&lt;/a&gt;
                      &lt;div id="datenschutz-wrap" hidden&gt;
          &lt;p style="font-size: 14px;"&gt;Die Karmeliten in Österreich werden die Informationen, die Sie in diesem Formular angeben, dazu verwenden, mit Ihnen in Kontakt zu bleiben und Ihnen Informationen über Internet-Aktivitäten wie Exerzitien Online o.ä. zu übermitteln – je nach Ihrer Auswahl im obigen Formular.
            Sie können Ihre Meinung jederzeit ändern, indem Sie auf den Abbestellungs-Link klicken, den Sie in der Fußzeile jeder E-Mail, die Sie von uns erhalten, finden können, oder indem Sie uns unter online-exerzitien@karmel.at kontaktieren. Wir werden Ihre Informationen mit Sorgfalt und Respekt behandeln. Weitere Informationen zu unseren Datenschutzpraktiken finden Sie auf unserer Website www.karmel.at. Indem Sie unten klicken, erklären Sie sich damit einverstanden, dass wir Ihre Informationen in Übereinstimmung mit diesen Bedingungen verarbeiten dürfen.
          &lt;/p&gt;
          &lt;p style="font-size: 14px;"&gt;
  Wir nutzen Mailchimp als unsere Marketing-Plattform. Mit einem Klick auf den untenstehenden Button zum Abonnieren erklären Sie sich damit einverstanden, dass Ihre Daten zur Verarbeitung an Mailchimp übermittelt werden.&lt;/p&gt;
  &lt;a class="plain-link" href="https://mailchimp.com/legal/terms/" target="_blank" rel="noopener noreferrer" style="display:inline-block; font-size: 14px; font-weight: 200; text-decoration:none;"&gt;
      Mehr über die Datenschutzpraktiken von Mailchimp erfahren Sie hier.
  &lt;/a&gt;&lt;/div&gt;&lt;/div&gt;
          &lt;/div&gt;
        &lt;/div&gt;
      &lt;/section&gt;</v>
      </c>
      <c r="I113" s="1" t="str">
        <f>form_block_de!$A1</f>
        <v>&lt;section class="section-intro" id="abonniere"&gt;
&lt;div id="mc_embed_shell"&gt;  
&lt;div id="mc_embed_signup"&gt;
    &lt;form action="https://karmel.us6.list-manage.com/subscribe/post?u=7c9d2aa0ecc1fde64fd44bc67&amp;amp;id=10430a5833&amp;amp;f_id=009254e3f0" method="post" id="mc-embedded-subscribe-form" name="mc-embedded-subscribe-form" class="validate" target="_self" novalidate=""&gt;
        &lt;div id="mc_embed_signup_scroll"&gt;
            &lt;div class="mc-field-group"&gt;&lt;label for="mce-EMAIL"&gt;eMail Adresse&lt;span class="asterisk"&gt;* (erforderlich)&lt;/span&gt;&lt;/label&gt;
              &lt;input type="email" name="EMAIL" class="required email" id="mce-EMAIL" required="" value=""&gt;&lt;/div&gt;
              &lt;div class="mc-field-group"&gt;&lt;label for="mce-FNAME"&gt;Vorname &lt;/label&gt;
                &lt;input type="text" name="FNAME" class=" text" id="mce-FNAME" value=""&gt;&lt;/div&gt;
                &lt;div class="mc-field-group"&gt;&lt;label for="mce-LNAME"&gt;Nachname &lt;/label&gt;
                  &lt;input type="text" name="LNAME" class=" text" id="mce-LNAME" value=""&gt;&lt;/div&gt;
                                        &lt;div class="mc-field-group"&gt;&lt;label for="mce-AUFMERKS01"&gt;Wie sind Sie auf uns aufmerksam geworden? &lt;/label&gt;
                        &lt;select name="AUFMERKS01" class="" id="mce-AUFMERKS01"&gt;
                        &lt;option value="Bitte auswahlen..."&gt;Bitte auswahlen...&lt;/option&gt;
                        &lt;option value="Karmeliten in Wien"&gt;Karmeliten in Wien&lt;/option&gt;
                        &lt;option value="Karmeliten in Linz"&gt;Karmeliten in Linz&lt;/option&gt;
                        &lt;option value="Karmeliten in Graz"&gt;Karmeliten in Graz&lt;/option&gt;
                        &lt;option value="Persönliche Empfehlung"&gt;Persönliche Empfehlung&lt;/option&gt;
                        &lt;option value="Plakat"&gt;Plakat&lt;/option&gt;
                        &lt;option value="Internetsuche"&gt;Internetsuche&lt;/option&gt;
                        &lt;option value="YouTube"&gt;YouTube&lt;/option&gt;
                        &lt;option value="Facebook"&gt;Facebook&lt;/option&gt;
                        &lt;option value="Instagram"&gt;Instagram&lt;/option&gt;
                        &lt;option value="Sonstiges"&gt;Sonstiges&lt;/option&gt;&lt;/select&gt;&lt;/div&gt;
                      &lt;div class="mc-field-group" id="sonstiges-field" style="display:none"&gt;&lt;label for="mce-AUFMERKS02"&gt;Sonstiges&lt;/label&gt;
                        &lt;input type="text" name="AUFMERKS02" class=" text" id="mce-AUFMERKS02" value="" disabled&gt;&lt;span id="mce-AUFMERKS02-HELPERTEXT" class="help-block" hidden&gt;Wenn Sie „Sonstiges“ ausgewählt haben, geben Sie bitte hier &lt;/span&gt;
                      &lt;/div&gt;
                  &lt;div class="mc-field-group"&gt;&lt;label for="mce-LNAME"&gt; &lt;/label&gt;
                  &lt;/div&gt;
                    &lt;div class="mc-field-group input-group"&gt;
                      &lt;details class="interest-details"&gt;
                        &lt;summary&gt;Weitere Angebote der Karmeliten&lt;/summary&gt;
                        &lt;ul class="interest-group" style="text-align: left;"&gt;
                        &lt;li&gt;&lt;input type="checkbox" name="group[16777][64]" id="mce-group[16777]-16777-0" value=""&gt;&lt;label for="mce-group[16777]-16777-0"&gt;alle Veranstaltungen des Karmel in Österreich&lt;/label&gt;&lt;/li&gt;
                          &lt;details class="interest-details" style="padding-left: 1rem"&gt;&lt;summary&gt;Orte und Formate einschränken&lt;/summary&gt;
                            &lt;ul&gt;
                        &lt;li&gt;&lt;input type="checkbox" name="group[16777][512]" id="mce-group[16777]-16777-1" value="" &gt;&lt;label for="mce-group[16777]-16777-1"&gt;in Wien&lt;/label&gt;&lt;/li&gt;
                        &lt;li&gt;&lt;input type="checkbox" name="group[16777][1024]" id="mce-group[16777]-16777-2" value="" &gt;&lt;label for="mce-group[16777]-16777-2"&gt;in Linz&lt;/label&gt;&lt;/li&gt;
                        &lt;li&gt;&lt;input type="checkbox" name="group[16777][2048]" id="mce-group[16777]-16777-3" value="" &gt;&lt;label for="mce-group[16777]-16777-3"&gt;in Graz&lt;/label&gt;&lt;/li&gt;
                        &lt;li&gt;&lt;input type="checkbox" name="group[16777][524288]" id="mce-group[16777]-16777-4" value=""&gt;&lt;label for="mce-group[16777]-16777-4"&gt;online&lt;/label&gt;&lt;/li&gt;
                      &lt;/ul&gt;
                      &lt;/details&gt;
                        &lt;li&gt;&lt;input type="checkbox" name="group[16777][256]" id="mce-group[16777]-16777-5" value=""&gt;&lt;label for="mce-group[16777]-16777-5"&gt;Infos/Veranstaltungen der Edith Stein Gesellschaft&lt;/label&gt;&lt;/li&gt;
                        &lt;details class="interest-details" &gt;&lt;summary&gt;Novenen und Exerzitien auswählen&lt;/summary&gt;
                          &lt;ul&gt;
                        &lt;li&gt;&lt;input type="checkbox" name="group[16777][128]" id="mce-group[16777]-16777-6" value=""&gt;&lt;label for="mce-group[16777]-16777-6"&gt;Friedensgebet/Novene Hl. Edith Stein&lt;/label&gt;&lt;/li&gt;
                        &lt;li style="display:none"&gt;&lt;input type="checkbox" name="group[16777][32]" id="mce-group[16777]-16777-7" value="" checked&gt;&lt;label for="mce-group[16777]-16777-7"&gt;Exerzitien Online in Advent/Fastenzeit&lt;/label&gt;&lt;/li&gt;
                        &lt;li&gt;&lt;input type="checkbox" name="group[16777][16]" id="mce-group[16777]-16777-8" value=""&gt;&lt;label for="mce-group[16777]-16777-8"&gt;Novene Online zum Skapulierfest&lt;/label&gt;&lt;/li&gt;
                        &lt;li&gt;&lt;input type="checkbox" name="group[16777][8192]" id="mce-group[16777]-16777-9" value=""&gt;&lt;label for="mce-group[16777]-16777-9"&gt;33 Schritte mit Maria zu Jesus&lt;/label&gt;&lt;/li&gt;
                        &lt;li&gt;&lt;input type="checkbox" name="group[16777][4096]" id="mce-group[16777]-16777-10" value=""&gt;&lt;label for="mce-group[16777]-16777-10"&gt;Jesus-Gebet&lt;/label&gt;&lt;/li&gt;                      
                          &lt;/ul&gt;
                        &lt;/details&gt;
&lt;!--                                    &lt;div class="card-links"&gt;
              &lt;a href="#angebote-cards"&gt;Mehr Informationen zur Angebote nach unten&lt;/a&gt;
            &lt;/div&gt; --&gt;
                      &lt;/ul&gt;
                      &lt;/details&gt;
                      &lt;div hidden=""&gt;&lt;input type="hidden" name="tags" value="8501"&gt;&lt;/div&gt;
                    &lt;/div&gt;
        &lt;div id="mce-responses" class="clear"&gt;
            &lt;div class="response" id="mce-error-response" style="display: none;"&gt;&lt;/div&gt;
            &lt;div class="response" id="mce-success-response" style="display: none;"&gt;&lt;/div&gt;
        &lt;/div&gt;&lt;div style="position: absolute; left: -5000px;" aria-hidden="true"&gt;&lt;input type="text" name="b_7c9d2aa0ecc1fde64fd44bc67_10430a5833" tabindex="-1" value=""&gt;&lt;/div&gt;
        &lt;div class="clear"&gt;&lt;input type="submit" name="subscribe" id="mc-embedded-subscribe" class="button-signup" value="Anmelden"&gt;&lt;/div&gt;
&lt;/form&gt;
      &lt;/section&gt;
                &lt;/div&gt;
            &lt;/div&gt;
                      &lt;div class="datenschutz-toggle"&gt;
          &lt;a href="#datenschutz-wrap" id="datenschutz-toggle" aria-expanded="false" aria-controls="datenschutz-wrap"&gt;Datenschutz&lt;/a&gt;
                      &lt;div id="datenschutz-wrap" hidden&gt;
          &lt;p style="font-size: 14px;"&gt;Die Karmeliten in Österreich werden die Informationen, die Sie in diesem Formular angeben, dazu verwenden, mit Ihnen in Kontakt zu bleiben und Ihnen Informationen über Internet-Aktivitäten wie Exerzitien Online o.ä. zu übermitteln – je nach Ihrer Auswahl im obigen Formular.
            Sie können Ihre Meinung jederzeit ändern, indem Sie auf den Abbestellungs-Link klicken, den Sie in der Fußzeile jeder E-Mail, die Sie von uns erhalten, finden können, oder indem Sie uns unter online-exerzitien@karmel.at kontaktieren. Wir werden Ihre Informationen mit Sorgfalt und Respekt behandeln. Weitere Informationen zu unseren Datenschutzpraktiken finden Sie auf unserer Website www.karmel.at. Indem Sie unten klicken, erklären Sie sich damit einverstanden, dass wir Ihre Informationen in Übereinstimmung mit diesen Bedingungen verarbeiten dürfen.
          &lt;/p&gt;
          &lt;p style="font-size: 14px;"&gt;
  Wir nutzen Mailchimp als unsere Marketing-Plattform. Mit einem Klick auf den untenstehenden Button zum Abonnieren erklären Sie sich damit einverstanden, dass Ihre Daten zur Verarbeitung an Mailchimp übermittelt werden.&lt;/p&gt;
  &lt;a class="plain-link" href="https://mailchimp.com/legal/terms/" target="_blank" rel="noopener noreferrer" style="display:inline-block; font-size: 14px; font-weight: 200; text-decoration:none;"&gt;
      Mehr über die Datenschutzpraktiken von Mailchimp erfahren Sie hier.
  &lt;/a&gt;&lt;/div&gt;&lt;/div&gt;
          &lt;/div&gt;
        &lt;/div&gt;
      &lt;/section&gt;</v>
      </c>
      <c r="J113" s="1" t="str">
        <f>form_block_de!$A1</f>
        <v>&lt;section class="section-intro" id="abonniere"&gt;
&lt;div id="mc_embed_shell"&gt;  
&lt;div id="mc_embed_signup"&gt;
    &lt;form action="https://karmel.us6.list-manage.com/subscribe/post?u=7c9d2aa0ecc1fde64fd44bc67&amp;amp;id=10430a5833&amp;amp;f_id=009254e3f0" method="post" id="mc-embedded-subscribe-form" name="mc-embedded-subscribe-form" class="validate" target="_self" novalidate=""&gt;
        &lt;div id="mc_embed_signup_scroll"&gt;
            &lt;div class="mc-field-group"&gt;&lt;label for="mce-EMAIL"&gt;eMail Adresse&lt;span class="asterisk"&gt;* (erforderlich)&lt;/span&gt;&lt;/label&gt;
              &lt;input type="email" name="EMAIL" class="required email" id="mce-EMAIL" required="" value=""&gt;&lt;/div&gt;
              &lt;div class="mc-field-group"&gt;&lt;label for="mce-FNAME"&gt;Vorname &lt;/label&gt;
                &lt;input type="text" name="FNAME" class=" text" id="mce-FNAME" value=""&gt;&lt;/div&gt;
                &lt;div class="mc-field-group"&gt;&lt;label for="mce-LNAME"&gt;Nachname &lt;/label&gt;
                  &lt;input type="text" name="LNAME" class=" text" id="mce-LNAME" value=""&gt;&lt;/div&gt;
                                        &lt;div class="mc-field-group"&gt;&lt;label for="mce-AUFMERKS01"&gt;Wie sind Sie auf uns aufmerksam geworden? &lt;/label&gt;
                        &lt;select name="AUFMERKS01" class="" id="mce-AUFMERKS01"&gt;
                        &lt;option value="Bitte auswahlen..."&gt;Bitte auswahlen...&lt;/option&gt;
                        &lt;option value="Karmeliten in Wien"&gt;Karmeliten in Wien&lt;/option&gt;
                        &lt;option value="Karmeliten in Linz"&gt;Karmeliten in Linz&lt;/option&gt;
                        &lt;option value="Karmeliten in Graz"&gt;Karmeliten in Graz&lt;/option&gt;
                        &lt;option value="Persönliche Empfehlung"&gt;Persönliche Empfehlung&lt;/option&gt;
                        &lt;option value="Plakat"&gt;Plakat&lt;/option&gt;
                        &lt;option value="Internetsuche"&gt;Internetsuche&lt;/option&gt;
                        &lt;option value="YouTube"&gt;YouTube&lt;/option&gt;
                        &lt;option value="Facebook"&gt;Facebook&lt;/option&gt;
                        &lt;option value="Instagram"&gt;Instagram&lt;/option&gt;
                        &lt;option value="Sonstiges"&gt;Sonstiges&lt;/option&gt;&lt;/select&gt;&lt;/div&gt;
                      &lt;div class="mc-field-group" id="sonstiges-field" style="display:none"&gt;&lt;label for="mce-AUFMERKS02"&gt;Sonstiges&lt;/label&gt;
                        &lt;input type="text" name="AUFMERKS02" class=" text" id="mce-AUFMERKS02" value="" disabled&gt;&lt;span id="mce-AUFMERKS02-HELPERTEXT" class="help-block" hidden&gt;Wenn Sie „Sonstiges“ ausgewählt haben, geben Sie bitte hier &lt;/span&gt;
                      &lt;/div&gt;
                  &lt;div class="mc-field-group"&gt;&lt;label for="mce-LNAME"&gt; &lt;/label&gt;
                  &lt;/div&gt;
                    &lt;div class="mc-field-group input-group"&gt;
                      &lt;details class="interest-details"&gt;
                        &lt;summary&gt;Weitere Angebote der Karmeliten&lt;/summary&gt;
                        &lt;ul class="interest-group" style="text-align: left;"&gt;
                        &lt;li&gt;&lt;input type="checkbox" name="group[16777][64]" id="mce-group[16777]-16777-0" value=""&gt;&lt;label for="mce-group[16777]-16777-0"&gt;alle Veranstaltungen des Karmel in Österreich&lt;/label&gt;&lt;/li&gt;
                          &lt;details class="interest-details" style="padding-left: 1rem"&gt;&lt;summary&gt;Orte und Formate einschränken&lt;/summary&gt;
                            &lt;ul&gt;
                        &lt;li&gt;&lt;input type="checkbox" name="group[16777][512]" id="mce-group[16777]-16777-1" value="" &gt;&lt;label for="mce-group[16777]-16777-1"&gt;in Wien&lt;/label&gt;&lt;/li&gt;
                        &lt;li&gt;&lt;input type="checkbox" name="group[16777][1024]" id="mce-group[16777]-16777-2" value="" &gt;&lt;label for="mce-group[16777]-16777-2"&gt;in Linz&lt;/label&gt;&lt;/li&gt;
                        &lt;li&gt;&lt;input type="checkbox" name="group[16777][2048]" id="mce-group[16777]-16777-3" value="" &gt;&lt;label for="mce-group[16777]-16777-3"&gt;in Graz&lt;/label&gt;&lt;/li&gt;
                        &lt;li&gt;&lt;input type="checkbox" name="group[16777][524288]" id="mce-group[16777]-16777-4" value=""&gt;&lt;label for="mce-group[16777]-16777-4"&gt;online&lt;/label&gt;&lt;/li&gt;
                      &lt;/ul&gt;
                      &lt;/details&gt;
                        &lt;li&gt;&lt;input type="checkbox" name="group[16777][256]" id="mce-group[16777]-16777-5" value=""&gt;&lt;label for="mce-group[16777]-16777-5"&gt;Infos/Veranstaltungen der Edith Stein Gesellschaft&lt;/label&gt;&lt;/li&gt;
                        &lt;details class="interest-details" &gt;&lt;summary&gt;Novenen und Exerzitien auswählen&lt;/summary&gt;
                          &lt;ul&gt;
                        &lt;li&gt;&lt;input type="checkbox" name="group[16777][128]" id="mce-group[16777]-16777-6" value=""&gt;&lt;label for="mce-group[16777]-16777-6"&gt;Friedensgebet/Novene Hl. Edith Stein&lt;/label&gt;&lt;/li&gt;
                        &lt;li style="display:none"&gt;&lt;input type="checkbox" name="group[16777][32]" id="mce-group[16777]-16777-7" value="" checked&gt;&lt;label for="mce-group[16777]-16777-7"&gt;Exerzitien Online in Advent/Fastenzeit&lt;/label&gt;&lt;/li&gt;
                        &lt;li&gt;&lt;input type="checkbox" name="group[16777][16]" id="mce-group[16777]-16777-8" value=""&gt;&lt;label for="mce-group[16777]-16777-8"&gt;Novene Online zum Skapulierfest&lt;/label&gt;&lt;/li&gt;
                        &lt;li&gt;&lt;input type="checkbox" name="group[16777][8192]" id="mce-group[16777]-16777-9" value=""&gt;&lt;label for="mce-group[16777]-16777-9"&gt;33 Schritte mit Maria zu Jesus&lt;/label&gt;&lt;/li&gt;
                        &lt;li&gt;&lt;input type="checkbox" name="group[16777][4096]" id="mce-group[16777]-16777-10" value=""&gt;&lt;label for="mce-group[16777]-16777-10"&gt;Jesus-Gebet&lt;/label&gt;&lt;/li&gt;                      
                          &lt;/ul&gt;
                        &lt;/details&gt;
&lt;!--                                    &lt;div class="card-links"&gt;
              &lt;a href="#angebote-cards"&gt;Mehr Informationen zur Angebote nach unten&lt;/a&gt;
            &lt;/div&gt; --&gt;
                      &lt;/ul&gt;
                      &lt;/details&gt;
                      &lt;div hidden=""&gt;&lt;input type="hidden" name="tags" value="8501"&gt;&lt;/div&gt;
                    &lt;/div&gt;
        &lt;div id="mce-responses" class="clear"&gt;
            &lt;div class="response" id="mce-error-response" style="display: none;"&gt;&lt;/div&gt;
            &lt;div class="response" id="mce-success-response" style="display: none;"&gt;&lt;/div&gt;
        &lt;/div&gt;&lt;div style="position: absolute; left: -5000px;" aria-hidden="true"&gt;&lt;input type="text" name="b_7c9d2aa0ecc1fde64fd44bc67_10430a5833" tabindex="-1" value=""&gt;&lt;/div&gt;
        &lt;div class="clear"&gt;&lt;input type="submit" name="subscribe" id="mc-embedded-subscribe" class="button-signup" value="Anmelden"&gt;&lt;/div&gt;
&lt;/form&gt;
      &lt;/section&gt;
                &lt;/div&gt;
            &lt;/div&gt;
                      &lt;div class="datenschutz-toggle"&gt;
          &lt;a href="#datenschutz-wrap" id="datenschutz-toggle" aria-expanded="false" aria-controls="datenschutz-wrap"&gt;Datenschutz&lt;/a&gt;
                      &lt;div id="datenschutz-wrap" hidden&gt;
          &lt;p style="font-size: 14px;"&gt;Die Karmeliten in Österreich werden die Informationen, die Sie in diesem Formular angeben, dazu verwenden, mit Ihnen in Kontakt zu bleiben und Ihnen Informationen über Internet-Aktivitäten wie Exerzitien Online o.ä. zu übermitteln – je nach Ihrer Auswahl im obigen Formular.
            Sie können Ihre Meinung jederzeit ändern, indem Sie auf den Abbestellungs-Link klicken, den Sie in der Fußzeile jeder E-Mail, die Sie von uns erhalten, finden können, oder indem Sie uns unter online-exerzitien@karmel.at kontaktieren. Wir werden Ihre Informationen mit Sorgfalt und Respekt behandeln. Weitere Informationen zu unseren Datenschutzpraktiken finden Sie auf unserer Website www.karmel.at. Indem Sie unten klicken, erklären Sie sich damit einverstanden, dass wir Ihre Informationen in Übereinstimmung mit diesen Bedingungen verarbeiten dürfen.
          &lt;/p&gt;
          &lt;p style="font-size: 14px;"&gt;
  Wir nutzen Mailchimp als unsere Marketing-Plattform. Mit einem Klick auf den untenstehenden Button zum Abonnieren erklären Sie sich damit einverstanden, dass Ihre Daten zur Verarbeitung an Mailchimp übermittelt werden.&lt;/p&gt;
  &lt;a class="plain-link" href="https://mailchimp.com/legal/terms/" target="_blank" rel="noopener noreferrer" style="display:inline-block; font-size: 14px; font-weight: 200; text-decoration:none;"&gt;
      Mehr über die Datenschutzpraktiken von Mailchimp erfahren Sie hier.
  &lt;/a&gt;&lt;/div&gt;&lt;/div&gt;
          &lt;/div&gt;
        &lt;/div&gt;
      &lt;/section&gt;</v>
      </c>
      <c r="K113" s="1" t="str">
        <f>form_block_de!$A1</f>
        <v>&lt;section class="section-intro" id="abonniere"&gt;
&lt;div id="mc_embed_shell"&gt;  
&lt;div id="mc_embed_signup"&gt;
    &lt;form action="https://karmel.us6.list-manage.com/subscribe/post?u=7c9d2aa0ecc1fde64fd44bc67&amp;amp;id=10430a5833&amp;amp;f_id=009254e3f0" method="post" id="mc-embedded-subscribe-form" name="mc-embedded-subscribe-form" class="validate" target="_self" novalidate=""&gt;
        &lt;div id="mc_embed_signup_scroll"&gt;
            &lt;div class="mc-field-group"&gt;&lt;label for="mce-EMAIL"&gt;eMail Adresse&lt;span class="asterisk"&gt;* (erforderlich)&lt;/span&gt;&lt;/label&gt;
              &lt;input type="email" name="EMAIL" class="required email" id="mce-EMAIL" required="" value=""&gt;&lt;/div&gt;
              &lt;div class="mc-field-group"&gt;&lt;label for="mce-FNAME"&gt;Vorname &lt;/label&gt;
                &lt;input type="text" name="FNAME" class=" text" id="mce-FNAME" value=""&gt;&lt;/div&gt;
                &lt;div class="mc-field-group"&gt;&lt;label for="mce-LNAME"&gt;Nachname &lt;/label&gt;
                  &lt;input type="text" name="LNAME" class=" text" id="mce-LNAME" value=""&gt;&lt;/div&gt;
                                        &lt;div class="mc-field-group"&gt;&lt;label for="mce-AUFMERKS01"&gt;Wie sind Sie auf uns aufmerksam geworden? &lt;/label&gt;
                        &lt;select name="AUFMERKS01" class="" id="mce-AUFMERKS01"&gt;
                        &lt;option value="Bitte auswahlen..."&gt;Bitte auswahlen...&lt;/option&gt;
                        &lt;option value="Karmeliten in Wien"&gt;Karmeliten in Wien&lt;/option&gt;
                        &lt;option value="Karmeliten in Linz"&gt;Karmeliten in Linz&lt;/option&gt;
                        &lt;option value="Karmeliten in Graz"&gt;Karmeliten in Graz&lt;/option&gt;
                        &lt;option value="Persönliche Empfehlung"&gt;Persönliche Empfehlung&lt;/option&gt;
                        &lt;option value="Plakat"&gt;Plakat&lt;/option&gt;
                        &lt;option value="Internetsuche"&gt;Internetsuche&lt;/option&gt;
                        &lt;option value="YouTube"&gt;YouTube&lt;/option&gt;
                        &lt;option value="Facebook"&gt;Facebook&lt;/option&gt;
                        &lt;option value="Instagram"&gt;Instagram&lt;/option&gt;
                        &lt;option value="Sonstiges"&gt;Sonstiges&lt;/option&gt;&lt;/select&gt;&lt;/div&gt;
                      &lt;div class="mc-field-group" id="sonstiges-field" style="display:none"&gt;&lt;label for="mce-AUFMERKS02"&gt;Sonstiges&lt;/label&gt;
                        &lt;input type="text" name="AUFMERKS02" class=" text" id="mce-AUFMERKS02" value="" disabled&gt;&lt;span id="mce-AUFMERKS02-HELPERTEXT" class="help-block" hidden&gt;Wenn Sie „Sonstiges“ ausgewählt haben, geben Sie bitte hier &lt;/span&gt;
                      &lt;/div&gt;
                  &lt;div class="mc-field-group"&gt;&lt;label for="mce-LNAME"&gt; &lt;/label&gt;
                  &lt;/div&gt;
                    &lt;div class="mc-field-group input-group"&gt;
                      &lt;details class="interest-details"&gt;
                        &lt;summary&gt;Weitere Angebote der Karmeliten&lt;/summary&gt;
                        &lt;ul class="interest-group" style="text-align: left;"&gt;
                        &lt;li&gt;&lt;input type="checkbox" name="group[16777][64]" id="mce-group[16777]-16777-0" value=""&gt;&lt;label for="mce-group[16777]-16777-0"&gt;alle Veranstaltungen des Karmel in Österreich&lt;/label&gt;&lt;/li&gt;
                          &lt;details class="interest-details" style="padding-left: 1rem"&gt;&lt;summary&gt;Orte und Formate einschränken&lt;/summary&gt;
                            &lt;ul&gt;
                        &lt;li&gt;&lt;input type="checkbox" name="group[16777][512]" id="mce-group[16777]-16777-1" value="" &gt;&lt;label for="mce-group[16777]-16777-1"&gt;in Wien&lt;/label&gt;&lt;/li&gt;
                        &lt;li&gt;&lt;input type="checkbox" name="group[16777][1024]" id="mce-group[16777]-16777-2" value="" &gt;&lt;label for="mce-group[16777]-16777-2"&gt;in Linz&lt;/label&gt;&lt;/li&gt;
                        &lt;li&gt;&lt;input type="checkbox" name="group[16777][2048]" id="mce-group[16777]-16777-3" value="" &gt;&lt;label for="mce-group[16777]-16777-3"&gt;in Graz&lt;/label&gt;&lt;/li&gt;
                        &lt;li&gt;&lt;input type="checkbox" name="group[16777][524288]" id="mce-group[16777]-16777-4" value=""&gt;&lt;label for="mce-group[16777]-16777-4"&gt;online&lt;/label&gt;&lt;/li&gt;
                      &lt;/ul&gt;
                      &lt;/details&gt;
                        &lt;li&gt;&lt;input type="checkbox" name="group[16777][256]" id="mce-group[16777]-16777-5" value=""&gt;&lt;label for="mce-group[16777]-16777-5"&gt;Infos/Veranstaltungen der Edith Stein Gesellschaft&lt;/label&gt;&lt;/li&gt;
                        &lt;details class="interest-details" &gt;&lt;summary&gt;Novenen und Exerzitien auswählen&lt;/summary&gt;
                          &lt;ul&gt;
                        &lt;li&gt;&lt;input type="checkbox" name="group[16777][128]" id="mce-group[16777]-16777-6" value=""&gt;&lt;label for="mce-group[16777]-16777-6"&gt;Friedensgebet/Novene Hl. Edith Stein&lt;/label&gt;&lt;/li&gt;
                        &lt;li style="display:none"&gt;&lt;input type="checkbox" name="group[16777][32]" id="mce-group[16777]-16777-7" value="" checked&gt;&lt;label for="mce-group[16777]-16777-7"&gt;Exerzitien Online in Advent/Fastenzeit&lt;/label&gt;&lt;/li&gt;
                        &lt;li&gt;&lt;input type="checkbox" name="group[16777][16]" id="mce-group[16777]-16777-8" value=""&gt;&lt;label for="mce-group[16777]-16777-8"&gt;Novene Online zum Skapulierfest&lt;/label&gt;&lt;/li&gt;
                        &lt;li&gt;&lt;input type="checkbox" name="group[16777][8192]" id="mce-group[16777]-16777-9" value=""&gt;&lt;label for="mce-group[16777]-16777-9"&gt;33 Schritte mit Maria zu Jesus&lt;/label&gt;&lt;/li&gt;
                        &lt;li&gt;&lt;input type="checkbox" name="group[16777][4096]" id="mce-group[16777]-16777-10" value=""&gt;&lt;label for="mce-group[16777]-16777-10"&gt;Jesus-Gebet&lt;/label&gt;&lt;/li&gt;                      
                          &lt;/ul&gt;
                        &lt;/details&gt;
&lt;!--                                    &lt;div class="card-links"&gt;
              &lt;a href="#angebote-cards"&gt;Mehr Informationen zur Angebote nach unten&lt;/a&gt;
            &lt;/div&gt; --&gt;
                      &lt;/ul&gt;
                      &lt;/details&gt;
                      &lt;div hidden=""&gt;&lt;input type="hidden" name="tags" value="8501"&gt;&lt;/div&gt;
                    &lt;/div&gt;
        &lt;div id="mce-responses" class="clear"&gt;
            &lt;div class="response" id="mce-error-response" style="display: none;"&gt;&lt;/div&gt;
            &lt;div class="response" id="mce-success-response" style="display: none;"&gt;&lt;/div&gt;
        &lt;/div&gt;&lt;div style="position: absolute; left: -5000px;" aria-hidden="true"&gt;&lt;input type="text" name="b_7c9d2aa0ecc1fde64fd44bc67_10430a5833" tabindex="-1" value=""&gt;&lt;/div&gt;
        &lt;div class="clear"&gt;&lt;input type="submit" name="subscribe" id="mc-embedded-subscribe" class="button-signup" value="Anmelden"&gt;&lt;/div&gt;
&lt;/form&gt;
      &lt;/section&gt;
                &lt;/div&gt;
            &lt;/div&gt;
                      &lt;div class="datenschutz-toggle"&gt;
          &lt;a href="#datenschutz-wrap" id="datenschutz-toggle" aria-expanded="false" aria-controls="datenschutz-wrap"&gt;Datenschutz&lt;/a&gt;
                      &lt;div id="datenschutz-wrap" hidden&gt;
          &lt;p style="font-size: 14px;"&gt;Die Karmeliten in Österreich werden die Informationen, die Sie in diesem Formular angeben, dazu verwenden, mit Ihnen in Kontakt zu bleiben und Ihnen Informationen über Internet-Aktivitäten wie Exerzitien Online o.ä. zu übermitteln – je nach Ihrer Auswahl im obigen Formular.
            Sie können Ihre Meinung jederzeit ändern, indem Sie auf den Abbestellungs-Link klicken, den Sie in der Fußzeile jeder E-Mail, die Sie von uns erhalten, finden können, oder indem Sie uns unter online-exerzitien@karmel.at kontaktieren. Wir werden Ihre Informationen mit Sorgfalt und Respekt behandeln. Weitere Informationen zu unseren Datenschutzpraktiken finden Sie auf unserer Website www.karmel.at. Indem Sie unten klicken, erklären Sie sich damit einverstanden, dass wir Ihre Informationen in Übereinstimmung mit diesen Bedingungen verarbeiten dürfen.
          &lt;/p&gt;
          &lt;p style="font-size: 14px;"&gt;
  Wir nutzen Mailchimp als unsere Marketing-Plattform. Mit einem Klick auf den untenstehenden Button zum Abonnieren erklären Sie sich damit einverstanden, dass Ihre Daten zur Verarbeitung an Mailchimp übermittelt werden.&lt;/p&gt;
  &lt;a class="plain-link" href="https://mailchimp.com/legal/terms/" target="_blank" rel="noopener noreferrer" style="display:inline-block; font-size: 14px; font-weight: 200; text-decoration:none;"&gt;
      Mehr über die Datenschutzpraktiken von Mailchimp erfahren Sie hier.
  &lt;/a&gt;&lt;/div&gt;&lt;/div&gt;
          &lt;/div&gt;
        &lt;/div&gt;
      &lt;/section&gt;</v>
      </c>
      <c r="L113" s="1" t="str">
        <f>form_block_de!$A1</f>
        <v>&lt;section class="section-intro" id="abonniere"&gt;
&lt;div id="mc_embed_shell"&gt;  
&lt;div id="mc_embed_signup"&gt;
    &lt;form action="https://karmel.us6.list-manage.com/subscribe/post?u=7c9d2aa0ecc1fde64fd44bc67&amp;amp;id=10430a5833&amp;amp;f_id=009254e3f0" method="post" id="mc-embedded-subscribe-form" name="mc-embedded-subscribe-form" class="validate" target="_self" novalidate=""&gt;
        &lt;div id="mc_embed_signup_scroll"&gt;
            &lt;div class="mc-field-group"&gt;&lt;label for="mce-EMAIL"&gt;eMail Adresse&lt;span class="asterisk"&gt;* (erforderlich)&lt;/span&gt;&lt;/label&gt;
              &lt;input type="email" name="EMAIL" class="required email" id="mce-EMAIL" required="" value=""&gt;&lt;/div&gt;
              &lt;div class="mc-field-group"&gt;&lt;label for="mce-FNAME"&gt;Vorname &lt;/label&gt;
                &lt;input type="text" name="FNAME" class=" text" id="mce-FNAME" value=""&gt;&lt;/div&gt;
                &lt;div class="mc-field-group"&gt;&lt;label for="mce-LNAME"&gt;Nachname &lt;/label&gt;
                  &lt;input type="text" name="LNAME" class=" text" id="mce-LNAME" value=""&gt;&lt;/div&gt;
                                        &lt;div class="mc-field-group"&gt;&lt;label for="mce-AUFMERKS01"&gt;Wie sind Sie auf uns aufmerksam geworden? &lt;/label&gt;
                        &lt;select name="AUFMERKS01" class="" id="mce-AUFMERKS01"&gt;
                        &lt;option value="Bitte auswahlen..."&gt;Bitte auswahlen...&lt;/option&gt;
                        &lt;option value="Karmeliten in Wien"&gt;Karmeliten in Wien&lt;/option&gt;
                        &lt;option value="Karmeliten in Linz"&gt;Karmeliten in Linz&lt;/option&gt;
                        &lt;option value="Karmeliten in Graz"&gt;Karmeliten in Graz&lt;/option&gt;
                        &lt;option value="Persönliche Empfehlung"&gt;Persönliche Empfehlung&lt;/option&gt;
                        &lt;option value="Plakat"&gt;Plakat&lt;/option&gt;
                        &lt;option value="Internetsuche"&gt;Internetsuche&lt;/option&gt;
                        &lt;option value="YouTube"&gt;YouTube&lt;/option&gt;
                        &lt;option value="Facebook"&gt;Facebook&lt;/option&gt;
                        &lt;option value="Instagram"&gt;Instagram&lt;/option&gt;
                        &lt;option value="Sonstiges"&gt;Sonstiges&lt;/option&gt;&lt;/select&gt;&lt;/div&gt;
                      &lt;div class="mc-field-group" id="sonstiges-field" style="display:none"&gt;&lt;label for="mce-AUFMERKS02"&gt;Sonstiges&lt;/label&gt;
                        &lt;input type="text" name="AUFMERKS02" class=" text" id="mce-AUFMERKS02" value="" disabled&gt;&lt;span id="mce-AUFMERKS02-HELPERTEXT" class="help-block" hidden&gt;Wenn Sie „Sonstiges“ ausgewählt haben, geben Sie bitte hier &lt;/span&gt;
                      &lt;/div&gt;
                  &lt;div class="mc-field-group"&gt;&lt;label for="mce-LNAME"&gt; &lt;/label&gt;
                  &lt;/div&gt;
                    &lt;div class="mc-field-group input-group"&gt;
                      &lt;details class="interest-details"&gt;
                        &lt;summary&gt;Weitere Angebote der Karmeliten&lt;/summary&gt;
                        &lt;ul class="interest-group" style="text-align: left;"&gt;
                        &lt;li&gt;&lt;input type="checkbox" name="group[16777][64]" id="mce-group[16777]-16777-0" value=""&gt;&lt;label for="mce-group[16777]-16777-0"&gt;alle Veranstaltungen des Karmel in Österreich&lt;/label&gt;&lt;/li&gt;
                          &lt;details class="interest-details" style="padding-left: 1rem"&gt;&lt;summary&gt;Orte und Formate einschränken&lt;/summary&gt;
                            &lt;ul&gt;
                        &lt;li&gt;&lt;input type="checkbox" name="group[16777][512]" id="mce-group[16777]-16777-1" value="" &gt;&lt;label for="mce-group[16777]-16777-1"&gt;in Wien&lt;/label&gt;&lt;/li&gt;
                        &lt;li&gt;&lt;input type="checkbox" name="group[16777][1024]" id="mce-group[16777]-16777-2" value="" &gt;&lt;label for="mce-group[16777]-16777-2"&gt;in Linz&lt;/label&gt;&lt;/li&gt;
                        &lt;li&gt;&lt;input type="checkbox" name="group[16777][2048]" id="mce-group[16777]-16777-3" value="" &gt;&lt;label for="mce-group[16777]-16777-3"&gt;in Graz&lt;/label&gt;&lt;/li&gt;
                        &lt;li&gt;&lt;input type="checkbox" name="group[16777][524288]" id="mce-group[16777]-16777-4" value=""&gt;&lt;label for="mce-group[16777]-16777-4"&gt;online&lt;/label&gt;&lt;/li&gt;
                      &lt;/ul&gt;
                      &lt;/details&gt;
                        &lt;li&gt;&lt;input type="checkbox" name="group[16777][256]" id="mce-group[16777]-16777-5" value=""&gt;&lt;label for="mce-group[16777]-16777-5"&gt;Infos/Veranstaltungen der Edith Stein Gesellschaft&lt;/label&gt;&lt;/li&gt;
                        &lt;details class="interest-details" &gt;&lt;summary&gt;Novenen und Exerzitien auswählen&lt;/summary&gt;
                          &lt;ul&gt;
                        &lt;li&gt;&lt;input type="checkbox" name="group[16777][128]" id="mce-group[16777]-16777-6" value=""&gt;&lt;label for="mce-group[16777]-16777-6"&gt;Friedensgebet/Novene Hl. Edith Stein&lt;/label&gt;&lt;/li&gt;
                        &lt;li style="display:none"&gt;&lt;input type="checkbox" name="group[16777][32]" id="mce-group[16777]-16777-7" value="" checked&gt;&lt;label for="mce-group[16777]-16777-7"&gt;Exerzitien Online in Advent/Fastenzeit&lt;/label&gt;&lt;/li&gt;
                        &lt;li&gt;&lt;input type="checkbox" name="group[16777][16]" id="mce-group[16777]-16777-8" value=""&gt;&lt;label for="mce-group[16777]-16777-8"&gt;Novene Online zum Skapulierfest&lt;/label&gt;&lt;/li&gt;
                        &lt;li&gt;&lt;input type="checkbox" name="group[16777][8192]" id="mce-group[16777]-16777-9" value=""&gt;&lt;label for="mce-group[16777]-16777-9"&gt;33 Schritte mit Maria zu Jesus&lt;/label&gt;&lt;/li&gt;
                        &lt;li&gt;&lt;input type="checkbox" name="group[16777][4096]" id="mce-group[16777]-16777-10" value=""&gt;&lt;label for="mce-group[16777]-16777-10"&gt;Jesus-Gebet&lt;/label&gt;&lt;/li&gt;                      
                          &lt;/ul&gt;
                        &lt;/details&gt;
&lt;!--                                    &lt;div class="card-links"&gt;
              &lt;a href="#angebote-cards"&gt;Mehr Informationen zur Angebote nach unten&lt;/a&gt;
            &lt;/div&gt; --&gt;
                      &lt;/ul&gt;
                      &lt;/details&gt;
                      &lt;div hidden=""&gt;&lt;input type="hidden" name="tags" value="8501"&gt;&lt;/div&gt;
                    &lt;/div&gt;
        &lt;div id="mce-responses" class="clear"&gt;
            &lt;div class="response" id="mce-error-response" style="display: none;"&gt;&lt;/div&gt;
            &lt;div class="response" id="mce-success-response" style="display: none;"&gt;&lt;/div&gt;
        &lt;/div&gt;&lt;div style="position: absolute; left: -5000px;" aria-hidden="true"&gt;&lt;input type="text" name="b_7c9d2aa0ecc1fde64fd44bc67_10430a5833" tabindex="-1" value=""&gt;&lt;/div&gt;
        &lt;div class="clear"&gt;&lt;input type="submit" name="subscribe" id="mc-embedded-subscribe" class="button-signup" value="Anmelden"&gt;&lt;/div&gt;
&lt;/form&gt;
      &lt;/section&gt;
                &lt;/div&gt;
            &lt;/div&gt;
                      &lt;div class="datenschutz-toggle"&gt;
          &lt;a href="#datenschutz-wrap" id="datenschutz-toggle" aria-expanded="false" aria-controls="datenschutz-wrap"&gt;Datenschutz&lt;/a&gt;
                      &lt;div id="datenschutz-wrap" hidden&gt;
          &lt;p style="font-size: 14px;"&gt;Die Karmeliten in Österreich werden die Informationen, die Sie in diesem Formular angeben, dazu verwenden, mit Ihnen in Kontakt zu bleiben und Ihnen Informationen über Internet-Aktivitäten wie Exerzitien Online o.ä. zu übermitteln – je nach Ihrer Auswahl im obigen Formular.
            Sie können Ihre Meinung jederzeit ändern, indem Sie auf den Abbestellungs-Link klicken, den Sie in der Fußzeile jeder E-Mail, die Sie von uns erhalten, finden können, oder indem Sie uns unter online-exerzitien@karmel.at kontaktieren. Wir werden Ihre Informationen mit Sorgfalt und Respekt behandeln. Weitere Informationen zu unseren Datenschutzpraktiken finden Sie auf unserer Website www.karmel.at. Indem Sie unten klicken, erklären Sie sich damit einverstanden, dass wir Ihre Informationen in Übereinstimmung mit diesen Bedingungen verarbeiten dürfen.
          &lt;/p&gt;
          &lt;p style="font-size: 14px;"&gt;
  Wir nutzen Mailchimp als unsere Marketing-Plattform. Mit einem Klick auf den untenstehenden Button zum Abonnieren erklären Sie sich damit einverstanden, dass Ihre Daten zur Verarbeitung an Mailchimp übermittelt werden.&lt;/p&gt;
  &lt;a class="plain-link" href="https://mailchimp.com/legal/terms/" target="_blank" rel="noopener noreferrer" style="display:inline-block; font-size: 14px; font-weight: 200; text-decoration:none;"&gt;
      Mehr über die Datenschutzpraktiken von Mailchimp erfahren Sie hier.
  &lt;/a&gt;&lt;/div&gt;&lt;/div&gt;
          &lt;/div&gt;
        &lt;/div&gt;
      &lt;/section&gt;</v>
      </c>
      <c r="M113" s="1" t="str">
        <f>form_block_de!$A1</f>
        <v>&lt;section class="section-intro" id="abonniere"&gt;
&lt;div id="mc_embed_shell"&gt;  
&lt;div id="mc_embed_signup"&gt;
    &lt;form action="https://karmel.us6.list-manage.com/subscribe/post?u=7c9d2aa0ecc1fde64fd44bc67&amp;amp;id=10430a5833&amp;amp;f_id=009254e3f0" method="post" id="mc-embedded-subscribe-form" name="mc-embedded-subscribe-form" class="validate" target="_self" novalidate=""&gt;
        &lt;div id="mc_embed_signup_scroll"&gt;
            &lt;div class="mc-field-group"&gt;&lt;label for="mce-EMAIL"&gt;eMail Adresse&lt;span class="asterisk"&gt;* (erforderlich)&lt;/span&gt;&lt;/label&gt;
              &lt;input type="email" name="EMAIL" class="required email" id="mce-EMAIL" required="" value=""&gt;&lt;/div&gt;
              &lt;div class="mc-field-group"&gt;&lt;label for="mce-FNAME"&gt;Vorname &lt;/label&gt;
                &lt;input type="text" name="FNAME" class=" text" id="mce-FNAME" value=""&gt;&lt;/div&gt;
                &lt;div class="mc-field-group"&gt;&lt;label for="mce-LNAME"&gt;Nachname &lt;/label&gt;
                  &lt;input type="text" name="LNAME" class=" text" id="mce-LNAME" value=""&gt;&lt;/div&gt;
                                        &lt;div class="mc-field-group"&gt;&lt;label for="mce-AUFMERKS01"&gt;Wie sind Sie auf uns aufmerksam geworden? &lt;/label&gt;
                        &lt;select name="AUFMERKS01" class="" id="mce-AUFMERKS01"&gt;
                        &lt;option value="Bitte auswahlen..."&gt;Bitte auswahlen...&lt;/option&gt;
                        &lt;option value="Karmeliten in Wien"&gt;Karmeliten in Wien&lt;/option&gt;
                        &lt;option value="Karmeliten in Linz"&gt;Karmeliten in Linz&lt;/option&gt;
                        &lt;option value="Karmeliten in Graz"&gt;Karmeliten in Graz&lt;/option&gt;
                        &lt;option value="Persönliche Empfehlung"&gt;Persönliche Empfehlung&lt;/option&gt;
                        &lt;option value="Plakat"&gt;Plakat&lt;/option&gt;
                        &lt;option value="Internetsuche"&gt;Internetsuche&lt;/option&gt;
                        &lt;option value="YouTube"&gt;YouTube&lt;/option&gt;
                        &lt;option value="Facebook"&gt;Facebook&lt;/option&gt;
                        &lt;option value="Instagram"&gt;Instagram&lt;/option&gt;
                        &lt;option value="Sonstiges"&gt;Sonstiges&lt;/option&gt;&lt;/select&gt;&lt;/div&gt;
                      &lt;div class="mc-field-group" id="sonstiges-field" style="display:none"&gt;&lt;label for="mce-AUFMERKS02"&gt;Sonstiges&lt;/label&gt;
                        &lt;input type="text" name="AUFMERKS02" class=" text" id="mce-AUFMERKS02" value="" disabled&gt;&lt;span id="mce-AUFMERKS02-HELPERTEXT" class="help-block" hidden&gt;Wenn Sie „Sonstiges“ ausgewählt haben, geben Sie bitte hier &lt;/span&gt;
                      &lt;/div&gt;
                  &lt;div class="mc-field-group"&gt;&lt;label for="mce-LNAME"&gt; &lt;/label&gt;
                  &lt;/div&gt;
                    &lt;div class="mc-field-group input-group"&gt;
                      &lt;details class="interest-details"&gt;
                        &lt;summary&gt;Weitere Angebote der Karmeliten&lt;/summary&gt;
                        &lt;ul class="interest-group" style="text-align: left;"&gt;
                        &lt;li&gt;&lt;input type="checkbox" name="group[16777][64]" id="mce-group[16777]-16777-0" value=""&gt;&lt;label for="mce-group[16777]-16777-0"&gt;alle Veranstaltungen des Karmel in Österreich&lt;/label&gt;&lt;/li&gt;
                          &lt;details class="interest-details" style="padding-left: 1rem"&gt;&lt;summary&gt;Orte und Formate einschränken&lt;/summary&gt;
                            &lt;ul&gt;
                        &lt;li&gt;&lt;input type="checkbox" name="group[16777][512]" id="mce-group[16777]-16777-1" value="" &gt;&lt;label for="mce-group[16777]-16777-1"&gt;in Wien&lt;/label&gt;&lt;/li&gt;
                        &lt;li&gt;&lt;input type="checkbox" name="group[16777][1024]" id="mce-group[16777]-16777-2" value="" &gt;&lt;label for="mce-group[16777]-16777-2"&gt;in Linz&lt;/label&gt;&lt;/li&gt;
                        &lt;li&gt;&lt;input type="checkbox" name="group[16777][2048]" id="mce-group[16777]-16777-3" value="" &gt;&lt;label for="mce-group[16777]-16777-3"&gt;in Graz&lt;/label&gt;&lt;/li&gt;
                        &lt;li&gt;&lt;input type="checkbox" name="group[16777][524288]" id="mce-group[16777]-16777-4" value=""&gt;&lt;label for="mce-group[16777]-16777-4"&gt;online&lt;/label&gt;&lt;/li&gt;
                      &lt;/ul&gt;
                      &lt;/details&gt;
                        &lt;li&gt;&lt;input type="checkbox" name="group[16777][256]" id="mce-group[16777]-16777-5" value=""&gt;&lt;label for="mce-group[16777]-16777-5"&gt;Infos/Veranstaltungen der Edith Stein Gesellschaft&lt;/label&gt;&lt;/li&gt;
                        &lt;details class="interest-details" &gt;&lt;summary&gt;Novenen und Exerzitien auswählen&lt;/summary&gt;
                          &lt;ul&gt;
                        &lt;li&gt;&lt;input type="checkbox" name="group[16777][128]" id="mce-group[16777]-16777-6" value=""&gt;&lt;label for="mce-group[16777]-16777-6"&gt;Friedensgebet/Novene Hl. Edith Stein&lt;/label&gt;&lt;/li&gt;
                        &lt;li style="display:none"&gt;&lt;input type="checkbox" name="group[16777][32]" id="mce-group[16777]-16777-7" value="" checked&gt;&lt;label for="mce-group[16777]-16777-7"&gt;Exerzitien Online in Advent/Fastenzeit&lt;/label&gt;&lt;/li&gt;
                        &lt;li&gt;&lt;input type="checkbox" name="group[16777][16]" id="mce-group[16777]-16777-8" value=""&gt;&lt;label for="mce-group[16777]-16777-8"&gt;Novene Online zum Skapulierfest&lt;/label&gt;&lt;/li&gt;
                        &lt;li&gt;&lt;input type="checkbox" name="group[16777][8192]" id="mce-group[16777]-16777-9" value=""&gt;&lt;label for="mce-group[16777]-16777-9"&gt;33 Schritte mit Maria zu Jesus&lt;/label&gt;&lt;/li&gt;
                        &lt;li&gt;&lt;input type="checkbox" name="group[16777][4096]" id="mce-group[16777]-16777-10" value=""&gt;&lt;label for="mce-group[16777]-16777-10"&gt;Jesus-Gebet&lt;/label&gt;&lt;/li&gt;                      
                          &lt;/ul&gt;
                        &lt;/details&gt;
&lt;!--                                    &lt;div class="card-links"&gt;
              &lt;a href="#angebote-cards"&gt;Mehr Informationen zur Angebote nach unten&lt;/a&gt;
            &lt;/div&gt; --&gt;
                      &lt;/ul&gt;
                      &lt;/details&gt;
                      &lt;div hidden=""&gt;&lt;input type="hidden" name="tags" value="8501"&gt;&lt;/div&gt;
                    &lt;/div&gt;
        &lt;div id="mce-responses" class="clear"&gt;
            &lt;div class="response" id="mce-error-response" style="display: none;"&gt;&lt;/div&gt;
            &lt;div class="response" id="mce-success-response" style="display: none;"&gt;&lt;/div&gt;
        &lt;/div&gt;&lt;div style="position: absolute; left: -5000px;" aria-hidden="true"&gt;&lt;input type="text" name="b_7c9d2aa0ecc1fde64fd44bc67_10430a5833" tabindex="-1" value=""&gt;&lt;/div&gt;
        &lt;div class="clear"&gt;&lt;input type="submit" name="subscribe" id="mc-embedded-subscribe" class="button-signup" value="Anmelden"&gt;&lt;/div&gt;
&lt;/form&gt;
      &lt;/section&gt;
                &lt;/div&gt;
            &lt;/div&gt;
                      &lt;div class="datenschutz-toggle"&gt;
          &lt;a href="#datenschutz-wrap" id="datenschutz-toggle" aria-expanded="false" aria-controls="datenschutz-wrap"&gt;Datenschutz&lt;/a&gt;
                      &lt;div id="datenschutz-wrap" hidden&gt;
          &lt;p style="font-size: 14px;"&gt;Die Karmeliten in Österreich werden die Informationen, die Sie in diesem Formular angeben, dazu verwenden, mit Ihnen in Kontakt zu bleiben und Ihnen Informationen über Internet-Aktivitäten wie Exerzitien Online o.ä. zu übermitteln – je nach Ihrer Auswahl im obigen Formular.
            Sie können Ihre Meinung jederzeit ändern, indem Sie auf den Abbestellungs-Link klicken, den Sie in der Fußzeile jeder E-Mail, die Sie von uns erhalten, finden können, oder indem Sie uns unter online-exerzitien@karmel.at kontaktieren. Wir werden Ihre Informationen mit Sorgfalt und Respekt behandeln. Weitere Informationen zu unseren Datenschutzpraktiken finden Sie auf unserer Website www.karmel.at. Indem Sie unten klicken, erklären Sie sich damit einverstanden, dass wir Ihre Informationen in Übereinstimmung mit diesen Bedingungen verarbeiten dürfen.
          &lt;/p&gt;
          &lt;p style="font-size: 14px;"&gt;
  Wir nutzen Mailchimp als unsere Marketing-Plattform. Mit einem Klick auf den untenstehenden Button zum Abonnieren erklären Sie sich damit einverstanden, dass Ihre Daten zur Verarbeitung an Mailchimp übermittelt werden.&lt;/p&gt;
  &lt;a class="plain-link" href="https://mailchimp.com/legal/terms/" target="_blank" rel="noopener noreferrer" style="display:inline-block; font-size: 14px; font-weight: 200; text-decoration:none;"&gt;
      Mehr über die Datenschutzpraktiken von Mailchimp erfahren Sie hier.
  &lt;/a&gt;&lt;/div&gt;&lt;/div&gt;
          &lt;/div&gt;
        &lt;/div&gt;
      &lt;/section&gt;</v>
      </c>
      <c r="N113" s="1" t="str">
        <f>form_block_de!$A1</f>
        <v>&lt;section class="section-intro" id="abonniere"&gt;
&lt;div id="mc_embed_shell"&gt;  
&lt;div id="mc_embed_signup"&gt;
    &lt;form action="https://karmel.us6.list-manage.com/subscribe/post?u=7c9d2aa0ecc1fde64fd44bc67&amp;amp;id=10430a5833&amp;amp;f_id=009254e3f0" method="post" id="mc-embedded-subscribe-form" name="mc-embedded-subscribe-form" class="validate" target="_self" novalidate=""&gt;
        &lt;div id="mc_embed_signup_scroll"&gt;
            &lt;div class="mc-field-group"&gt;&lt;label for="mce-EMAIL"&gt;eMail Adresse&lt;span class="asterisk"&gt;* (erforderlich)&lt;/span&gt;&lt;/label&gt;
              &lt;input type="email" name="EMAIL" class="required email" id="mce-EMAIL" required="" value=""&gt;&lt;/div&gt;
              &lt;div class="mc-field-group"&gt;&lt;label for="mce-FNAME"&gt;Vorname &lt;/label&gt;
                &lt;input type="text" name="FNAME" class=" text" id="mce-FNAME" value=""&gt;&lt;/div&gt;
                &lt;div class="mc-field-group"&gt;&lt;label for="mce-LNAME"&gt;Nachname &lt;/label&gt;
                  &lt;input type="text" name="LNAME" class=" text" id="mce-LNAME" value=""&gt;&lt;/div&gt;
                                        &lt;div class="mc-field-group"&gt;&lt;label for="mce-AUFMERKS01"&gt;Wie sind Sie auf uns aufmerksam geworden? &lt;/label&gt;
                        &lt;select name="AUFMERKS01" class="" id="mce-AUFMERKS01"&gt;
                        &lt;option value="Bitte auswahlen..."&gt;Bitte auswahlen...&lt;/option&gt;
                        &lt;option value="Karmeliten in Wien"&gt;Karmeliten in Wien&lt;/option&gt;
                        &lt;option value="Karmeliten in Linz"&gt;Karmeliten in Linz&lt;/option&gt;
                        &lt;option value="Karmeliten in Graz"&gt;Karmeliten in Graz&lt;/option&gt;
                        &lt;option value="Persönliche Empfehlung"&gt;Persönliche Empfehlung&lt;/option&gt;
                        &lt;option value="Plakat"&gt;Plakat&lt;/option&gt;
                        &lt;option value="Internetsuche"&gt;Internetsuche&lt;/option&gt;
                        &lt;option value="YouTube"&gt;YouTube&lt;/option&gt;
                        &lt;option value="Facebook"&gt;Facebook&lt;/option&gt;
                        &lt;option value="Instagram"&gt;Instagram&lt;/option&gt;
                        &lt;option value="Sonstiges"&gt;Sonstiges&lt;/option&gt;&lt;/select&gt;&lt;/div&gt;
                      &lt;div class="mc-field-group" id="sonstiges-field" style="display:none"&gt;&lt;label for="mce-AUFMERKS02"&gt;Sonstiges&lt;/label&gt;
                        &lt;input type="text" name="AUFMERKS02" class=" text" id="mce-AUFMERKS02" value="" disabled&gt;&lt;span id="mce-AUFMERKS02-HELPERTEXT" class="help-block" hidden&gt;Wenn Sie „Sonstiges“ ausgewählt haben, geben Sie bitte hier &lt;/span&gt;
                      &lt;/div&gt;
                  &lt;div class="mc-field-group"&gt;&lt;label for="mce-LNAME"&gt; &lt;/label&gt;
                  &lt;/div&gt;
                    &lt;div class="mc-field-group input-group"&gt;
                      &lt;details class="interest-details"&gt;
                        &lt;summary&gt;Weitere Angebote der Karmeliten&lt;/summary&gt;
                        &lt;ul class="interest-group" style="text-align: left;"&gt;
                        &lt;li&gt;&lt;input type="checkbox" name="group[16777][64]" id="mce-group[16777]-16777-0" value=""&gt;&lt;label for="mce-group[16777]-16777-0"&gt;alle Veranstaltungen des Karmel in Österreich&lt;/label&gt;&lt;/li&gt;
                          &lt;details class="interest-details" style="padding-left: 1rem"&gt;&lt;summary&gt;Orte und Formate einschränken&lt;/summary&gt;
                            &lt;ul&gt;
                        &lt;li&gt;&lt;input type="checkbox" name="group[16777][512]" id="mce-group[16777]-16777-1" value="" &gt;&lt;label for="mce-group[16777]-16777-1"&gt;in Wien&lt;/label&gt;&lt;/li&gt;
                        &lt;li&gt;&lt;input type="checkbox" name="group[16777][1024]" id="mce-group[16777]-16777-2" value="" &gt;&lt;label for="mce-group[16777]-16777-2"&gt;in Linz&lt;/label&gt;&lt;/li&gt;
                        &lt;li&gt;&lt;input type="checkbox" name="group[16777][2048]" id="mce-group[16777]-16777-3" value="" &gt;&lt;label for="mce-group[16777]-16777-3"&gt;in Graz&lt;/label&gt;&lt;/li&gt;
                        &lt;li&gt;&lt;input type="checkbox" name="group[16777][524288]" id="mce-group[16777]-16777-4" value=""&gt;&lt;label for="mce-group[16777]-16777-4"&gt;online&lt;/label&gt;&lt;/li&gt;
                      &lt;/ul&gt;
                      &lt;/details&gt;
                        &lt;li&gt;&lt;input type="checkbox" name="group[16777][256]" id="mce-group[16777]-16777-5" value=""&gt;&lt;label for="mce-group[16777]-16777-5"&gt;Infos/Veranstaltungen der Edith Stein Gesellschaft&lt;/label&gt;&lt;/li&gt;
                        &lt;details class="interest-details" &gt;&lt;summary&gt;Novenen und Exerzitien auswählen&lt;/summary&gt;
                          &lt;ul&gt;
                        &lt;li&gt;&lt;input type="checkbox" name="group[16777][128]" id="mce-group[16777]-16777-6" value=""&gt;&lt;label for="mce-group[16777]-16777-6"&gt;Friedensgebet/Novene Hl. Edith Stein&lt;/label&gt;&lt;/li&gt;
                        &lt;li style="display:none"&gt;&lt;input type="checkbox" name="group[16777][32]" id="mce-group[16777]-16777-7" value="" checked&gt;&lt;label for="mce-group[16777]-16777-7"&gt;Exerzitien Online in Advent/Fastenzeit&lt;/label&gt;&lt;/li&gt;
                        &lt;li&gt;&lt;input type="checkbox" name="group[16777][16]" id="mce-group[16777]-16777-8" value=""&gt;&lt;label for="mce-group[16777]-16777-8"&gt;Novene Online zum Skapulierfest&lt;/label&gt;&lt;/li&gt;
                        &lt;li&gt;&lt;input type="checkbox" name="group[16777][8192]" id="mce-group[16777]-16777-9" value=""&gt;&lt;label for="mce-group[16777]-16777-9"&gt;33 Schritte mit Maria zu Jesus&lt;/label&gt;&lt;/li&gt;
                        &lt;li&gt;&lt;input type="checkbox" name="group[16777][4096]" id="mce-group[16777]-16777-10" value=""&gt;&lt;label for="mce-group[16777]-16777-10"&gt;Jesus-Gebet&lt;/label&gt;&lt;/li&gt;                      
                          &lt;/ul&gt;
                        &lt;/details&gt;
&lt;!--                                    &lt;div class="card-links"&gt;
              &lt;a href="#angebote-cards"&gt;Mehr Informationen zur Angebote nach unten&lt;/a&gt;
            &lt;/div&gt; --&gt;
                      &lt;/ul&gt;
                      &lt;/details&gt;
                      &lt;div hidden=""&gt;&lt;input type="hidden" name="tags" value="8501"&gt;&lt;/div&gt;
                    &lt;/div&gt;
        &lt;div id="mce-responses" class="clear"&gt;
            &lt;div class="response" id="mce-error-response" style="display: none;"&gt;&lt;/div&gt;
            &lt;div class="response" id="mce-success-response" style="display: none;"&gt;&lt;/div&gt;
        &lt;/div&gt;&lt;div style="position: absolute; left: -5000px;" aria-hidden="true"&gt;&lt;input type="text" name="b_7c9d2aa0ecc1fde64fd44bc67_10430a5833" tabindex="-1" value=""&gt;&lt;/div&gt;
        &lt;div class="clear"&gt;&lt;input type="submit" name="subscribe" id="mc-embedded-subscribe" class="button-signup" value="Anmelden"&gt;&lt;/div&gt;
&lt;/form&gt;
      &lt;/section&gt;
                &lt;/div&gt;
            &lt;/div&gt;
                      &lt;div class="datenschutz-toggle"&gt;
          &lt;a href="#datenschutz-wrap" id="datenschutz-toggle" aria-expanded="false" aria-controls="datenschutz-wrap"&gt;Datenschutz&lt;/a&gt;
                      &lt;div id="datenschutz-wrap" hidden&gt;
          &lt;p style="font-size: 14px;"&gt;Die Karmeliten in Österreich werden die Informationen, die Sie in diesem Formular angeben, dazu verwenden, mit Ihnen in Kontakt zu bleiben und Ihnen Informationen über Internet-Aktivitäten wie Exerzitien Online o.ä. zu übermitteln – je nach Ihrer Auswahl im obigen Formular.
            Sie können Ihre Meinung jederzeit ändern, indem Sie auf den Abbestellungs-Link klicken, den Sie in der Fußzeile jeder E-Mail, die Sie von uns erhalten, finden können, oder indem Sie uns unter online-exerzitien@karmel.at kontaktieren. Wir werden Ihre Informationen mit Sorgfalt und Respekt behandeln. Weitere Informationen zu unseren Datenschutzpraktiken finden Sie auf unserer Website www.karmel.at. Indem Sie unten klicken, erklären Sie sich damit einverstanden, dass wir Ihre Informationen in Übereinstimmung mit diesen Bedingungen verarbeiten dürfen.
          &lt;/p&gt;
          &lt;p style="font-size: 14px;"&gt;
  Wir nutzen Mailchimp als unsere Marketing-Plattform. Mit einem Klick auf den untenstehenden Button zum Abonnieren erklären Sie sich damit einverstanden, dass Ihre Daten zur Verarbeitung an Mailchimp übermittelt werden.&lt;/p&gt;
  &lt;a class="plain-link" href="https://mailchimp.com/legal/terms/" target="_blank" rel="noopener noreferrer" style="display:inline-block; font-size: 14px; font-weight: 200; text-decoration:none;"&gt;
      Mehr über die Datenschutzpraktiken von Mailchimp erfahren Sie hier.
  &lt;/a&gt;&lt;/div&gt;&lt;/div&gt;
          &lt;/div&gt;
        &lt;/div&gt;
      &lt;/section&gt;</v>
      </c>
      <c r="O113" s="1" t="str">
        <f>form_block_de!$A1</f>
        <v>&lt;section class="section-intro" id="abonniere"&gt;
&lt;div id="mc_embed_shell"&gt;  
&lt;div id="mc_embed_signup"&gt;
    &lt;form action="https://karmel.us6.list-manage.com/subscribe/post?u=7c9d2aa0ecc1fde64fd44bc67&amp;amp;id=10430a5833&amp;amp;f_id=009254e3f0" method="post" id="mc-embedded-subscribe-form" name="mc-embedded-subscribe-form" class="validate" target="_self" novalidate=""&gt;
        &lt;div id="mc_embed_signup_scroll"&gt;
            &lt;div class="mc-field-group"&gt;&lt;label for="mce-EMAIL"&gt;eMail Adresse&lt;span class="asterisk"&gt;* (erforderlich)&lt;/span&gt;&lt;/label&gt;
              &lt;input type="email" name="EMAIL" class="required email" id="mce-EMAIL" required="" value=""&gt;&lt;/div&gt;
              &lt;div class="mc-field-group"&gt;&lt;label for="mce-FNAME"&gt;Vorname &lt;/label&gt;
                &lt;input type="text" name="FNAME" class=" text" id="mce-FNAME" value=""&gt;&lt;/div&gt;
                &lt;div class="mc-field-group"&gt;&lt;label for="mce-LNAME"&gt;Nachname &lt;/label&gt;
                  &lt;input type="text" name="LNAME" class=" text" id="mce-LNAME" value=""&gt;&lt;/div&gt;
                                        &lt;div class="mc-field-group"&gt;&lt;label for="mce-AUFMERKS01"&gt;Wie sind Sie auf uns aufmerksam geworden? &lt;/label&gt;
                        &lt;select name="AUFMERKS01" class="" id="mce-AUFMERKS01"&gt;
                        &lt;option value="Bitte auswahlen..."&gt;Bitte auswahlen...&lt;/option&gt;
                        &lt;option value="Karmeliten in Wien"&gt;Karmeliten in Wien&lt;/option&gt;
                        &lt;option value="Karmeliten in Linz"&gt;Karmeliten in Linz&lt;/option&gt;
                        &lt;option value="Karmeliten in Graz"&gt;Karmeliten in Graz&lt;/option&gt;
                        &lt;option value="Persönliche Empfehlung"&gt;Persönliche Empfehlung&lt;/option&gt;
                        &lt;option value="Plakat"&gt;Plakat&lt;/option&gt;
                        &lt;option value="Internetsuche"&gt;Internetsuche&lt;/option&gt;
                        &lt;option value="YouTube"&gt;YouTube&lt;/option&gt;
                        &lt;option value="Facebook"&gt;Facebook&lt;/option&gt;
                        &lt;option value="Instagram"&gt;Instagram&lt;/option&gt;
                        &lt;option value="Sonstiges"&gt;Sonstiges&lt;/option&gt;&lt;/select&gt;&lt;/div&gt;
                      &lt;div class="mc-field-group" id="sonstiges-field" style="display:none"&gt;&lt;label for="mce-AUFMERKS02"&gt;Sonstiges&lt;/label&gt;
                        &lt;input type="text" name="AUFMERKS02" class=" text" id="mce-AUFMERKS02" value="" disabled&gt;&lt;span id="mce-AUFMERKS02-HELPERTEXT" class="help-block" hidden&gt;Wenn Sie „Sonstiges“ ausgewählt haben, geben Sie bitte hier &lt;/span&gt;
                      &lt;/div&gt;
                  &lt;div class="mc-field-group"&gt;&lt;label for="mce-LNAME"&gt; &lt;/label&gt;
                  &lt;/div&gt;
                    &lt;div class="mc-field-group input-group"&gt;
                      &lt;details class="interest-details"&gt;
                        &lt;summary&gt;Weitere Angebote der Karmeliten&lt;/summary&gt;
                        &lt;ul class="interest-group" style="text-align: left;"&gt;
                        &lt;li&gt;&lt;input type="checkbox" name="group[16777][64]" id="mce-group[16777]-16777-0" value=""&gt;&lt;label for="mce-group[16777]-16777-0"&gt;alle Veranstaltungen des Karmel in Österreich&lt;/label&gt;&lt;/li&gt;
                          &lt;details class="interest-details" style="padding-left: 1rem"&gt;&lt;summary&gt;Orte und Formate einschränken&lt;/summary&gt;
                            &lt;ul&gt;
                        &lt;li&gt;&lt;input type="checkbox" name="group[16777][512]" id="mce-group[16777]-16777-1" value="" &gt;&lt;label for="mce-group[16777]-16777-1"&gt;in Wien&lt;/label&gt;&lt;/li&gt;
                        &lt;li&gt;&lt;input type="checkbox" name="group[16777][1024]" id="mce-group[16777]-16777-2" value="" &gt;&lt;label for="mce-group[16777]-16777-2"&gt;in Linz&lt;/label&gt;&lt;/li&gt;
                        &lt;li&gt;&lt;input type="checkbox" name="group[16777][2048]" id="mce-group[16777]-16777-3" value="" &gt;&lt;label for="mce-group[16777]-16777-3"&gt;in Graz&lt;/label&gt;&lt;/li&gt;
                        &lt;li&gt;&lt;input type="checkbox" name="group[16777][524288]" id="mce-group[16777]-16777-4" value=""&gt;&lt;label for="mce-group[16777]-16777-4"&gt;online&lt;/label&gt;&lt;/li&gt;
                      &lt;/ul&gt;
                      &lt;/details&gt;
                        &lt;li&gt;&lt;input type="checkbox" name="group[16777][256]" id="mce-group[16777]-16777-5" value=""&gt;&lt;label for="mce-group[16777]-16777-5"&gt;Infos/Veranstaltungen der Edith Stein Gesellschaft&lt;/label&gt;&lt;/li&gt;
                        &lt;details class="interest-details" &gt;&lt;summary&gt;Novenen und Exerzitien auswählen&lt;/summary&gt;
                          &lt;ul&gt;
                        &lt;li&gt;&lt;input type="checkbox" name="group[16777][128]" id="mce-group[16777]-16777-6" value=""&gt;&lt;label for="mce-group[16777]-16777-6"&gt;Friedensgebet/Novene Hl. Edith Stein&lt;/label&gt;&lt;/li&gt;
                        &lt;li style="display:none"&gt;&lt;input type="checkbox" name="group[16777][32]" id="mce-group[16777]-16777-7" value="" checked&gt;&lt;label for="mce-group[16777]-16777-7"&gt;Exerzitien Online in Advent/Fastenzeit&lt;/label&gt;&lt;/li&gt;
                        &lt;li&gt;&lt;input type="checkbox" name="group[16777][16]" id="mce-group[16777]-16777-8" value=""&gt;&lt;label for="mce-group[16777]-16777-8"&gt;Novene Online zum Skapulierfest&lt;/label&gt;&lt;/li&gt;
                        &lt;li&gt;&lt;input type="checkbox" name="group[16777][8192]" id="mce-group[16777]-16777-9" value=""&gt;&lt;label for="mce-group[16777]-16777-9"&gt;33 Schritte mit Maria zu Jesus&lt;/label&gt;&lt;/li&gt;
                        &lt;li&gt;&lt;input type="checkbox" name="group[16777][4096]" id="mce-group[16777]-16777-10" value=""&gt;&lt;label for="mce-group[16777]-16777-10"&gt;Jesus-Gebet&lt;/label&gt;&lt;/li&gt;                      
                          &lt;/ul&gt;
                        &lt;/details&gt;
&lt;!--                                    &lt;div class="card-links"&gt;
              &lt;a href="#angebote-cards"&gt;Mehr Informationen zur Angebote nach unten&lt;/a&gt;
            &lt;/div&gt; --&gt;
                      &lt;/ul&gt;
                      &lt;/details&gt;
                      &lt;div hidden=""&gt;&lt;input type="hidden" name="tags" value="8501"&gt;&lt;/div&gt;
                    &lt;/div&gt;
        &lt;div id="mce-responses" class="clear"&gt;
            &lt;div class="response" id="mce-error-response" style="display: none;"&gt;&lt;/div&gt;
            &lt;div class="response" id="mce-success-response" style="display: none;"&gt;&lt;/div&gt;
        &lt;/div&gt;&lt;div style="position: absolute; left: -5000px;" aria-hidden="true"&gt;&lt;input type="text" name="b_7c9d2aa0ecc1fde64fd44bc67_10430a5833" tabindex="-1" value=""&gt;&lt;/div&gt;
        &lt;div class="clear"&gt;&lt;input type="submit" name="subscribe" id="mc-embedded-subscribe" class="button-signup" value="Anmelden"&gt;&lt;/div&gt;
&lt;/form&gt;
      &lt;/section&gt;
                &lt;/div&gt;
            &lt;/div&gt;
                      &lt;div class="datenschutz-toggle"&gt;
          &lt;a href="#datenschutz-wrap" id="datenschutz-toggle" aria-expanded="false" aria-controls="datenschutz-wrap"&gt;Datenschutz&lt;/a&gt;
                      &lt;div id="datenschutz-wrap" hidden&gt;
          &lt;p style="font-size: 14px;"&gt;Die Karmeliten in Österreich werden die Informationen, die Sie in diesem Formular angeben, dazu verwenden, mit Ihnen in Kontakt zu bleiben und Ihnen Informationen über Internet-Aktivitäten wie Exerzitien Online o.ä. zu übermitteln – je nach Ihrer Auswahl im obigen Formular.
            Sie können Ihre Meinung jederzeit ändern, indem Sie auf den Abbestellungs-Link klicken, den Sie in der Fußzeile jeder E-Mail, die Sie von uns erhalten, finden können, oder indem Sie uns unter online-exerzitien@karmel.at kontaktieren. Wir werden Ihre Informationen mit Sorgfalt und Respekt behandeln. Weitere Informationen zu unseren Datenschutzpraktiken finden Sie auf unserer Website www.karmel.at. Indem Sie unten klicken, erklären Sie sich damit einverstanden, dass wir Ihre Informationen in Übereinstimmung mit diesen Bedingungen verarbeiten dürfen.
          &lt;/p&gt;
          &lt;p style="font-size: 14px;"&gt;
  Wir nutzen Mailchimp als unsere Marketing-Plattform. Mit einem Klick auf den untenstehenden Button zum Abonnieren erklären Sie sich damit einverstanden, dass Ihre Daten zur Verarbeitung an Mailchimp übermittelt werden.&lt;/p&gt;
  &lt;a class="plain-link" href="https://mailchimp.com/legal/terms/" target="_blank" rel="noopener noreferrer" style="display:inline-block; font-size: 14px; font-weight: 200; text-decoration:none;"&gt;
      Mehr über die Datenschutzpraktiken von Mailchimp erfahren Sie hier.
  &lt;/a&gt;&lt;/div&gt;&lt;/div&gt;
          &lt;/div&gt;
        &lt;/div&gt;
      &lt;/section&gt;</v>
      </c>
      <c r="P113" s="1" t="str">
        <f>form_block_de!$A1</f>
        <v>&lt;section class="section-intro" id="abonniere"&gt;
&lt;div id="mc_embed_shell"&gt;  
&lt;div id="mc_embed_signup"&gt;
    &lt;form action="https://karmel.us6.list-manage.com/subscribe/post?u=7c9d2aa0ecc1fde64fd44bc67&amp;amp;id=10430a5833&amp;amp;f_id=009254e3f0" method="post" id="mc-embedded-subscribe-form" name="mc-embedded-subscribe-form" class="validate" target="_self" novalidate=""&gt;
        &lt;div id="mc_embed_signup_scroll"&gt;
            &lt;div class="mc-field-group"&gt;&lt;label for="mce-EMAIL"&gt;eMail Adresse&lt;span class="asterisk"&gt;* (erforderlich)&lt;/span&gt;&lt;/label&gt;
              &lt;input type="email" name="EMAIL" class="required email" id="mce-EMAIL" required="" value=""&gt;&lt;/div&gt;
              &lt;div class="mc-field-group"&gt;&lt;label for="mce-FNAME"&gt;Vorname &lt;/label&gt;
                &lt;input type="text" name="FNAME" class=" text" id="mce-FNAME" value=""&gt;&lt;/div&gt;
                &lt;div class="mc-field-group"&gt;&lt;label for="mce-LNAME"&gt;Nachname &lt;/label&gt;
                  &lt;input type="text" name="LNAME" class=" text" id="mce-LNAME" value=""&gt;&lt;/div&gt;
                                        &lt;div class="mc-field-group"&gt;&lt;label for="mce-AUFMERKS01"&gt;Wie sind Sie auf uns aufmerksam geworden? &lt;/label&gt;
                        &lt;select name="AUFMERKS01" class="" id="mce-AUFMERKS01"&gt;
                        &lt;option value="Bitte auswahlen..."&gt;Bitte auswahlen...&lt;/option&gt;
                        &lt;option value="Karmeliten in Wien"&gt;Karmeliten in Wien&lt;/option&gt;
                        &lt;option value="Karmeliten in Linz"&gt;Karmeliten in Linz&lt;/option&gt;
                        &lt;option value="Karmeliten in Graz"&gt;Karmeliten in Graz&lt;/option&gt;
                        &lt;option value="Persönliche Empfehlung"&gt;Persönliche Empfehlung&lt;/option&gt;
                        &lt;option value="Plakat"&gt;Plakat&lt;/option&gt;
                        &lt;option value="Internetsuche"&gt;Internetsuche&lt;/option&gt;
                        &lt;option value="YouTube"&gt;YouTube&lt;/option&gt;
                        &lt;option value="Facebook"&gt;Facebook&lt;/option&gt;
                        &lt;option value="Instagram"&gt;Instagram&lt;/option&gt;
                        &lt;option value="Sonstiges"&gt;Sonstiges&lt;/option&gt;&lt;/select&gt;&lt;/div&gt;
                      &lt;div class="mc-field-group" id="sonstiges-field" style="display:none"&gt;&lt;label for="mce-AUFMERKS02"&gt;Sonstiges&lt;/label&gt;
                        &lt;input type="text" name="AUFMERKS02" class=" text" id="mce-AUFMERKS02" value="" disabled&gt;&lt;span id="mce-AUFMERKS02-HELPERTEXT" class="help-block" hidden&gt;Wenn Sie „Sonstiges“ ausgewählt haben, geben Sie bitte hier &lt;/span&gt;
                      &lt;/div&gt;
                  &lt;div class="mc-field-group"&gt;&lt;label for="mce-LNAME"&gt; &lt;/label&gt;
                  &lt;/div&gt;
                    &lt;div class="mc-field-group input-group"&gt;
                      &lt;details class="interest-details"&gt;
                        &lt;summary&gt;Weitere Angebote der Karmeliten&lt;/summary&gt;
                        &lt;ul class="interest-group" style="text-align: left;"&gt;
                        &lt;li&gt;&lt;input type="checkbox" name="group[16777][64]" id="mce-group[16777]-16777-0" value=""&gt;&lt;label for="mce-group[16777]-16777-0"&gt;alle Veranstaltungen des Karmel in Österreich&lt;/label&gt;&lt;/li&gt;
                          &lt;details class="interest-details" style="padding-left: 1rem"&gt;&lt;summary&gt;Orte und Formate einschränken&lt;/summary&gt;
                            &lt;ul&gt;
                        &lt;li&gt;&lt;input type="checkbox" name="group[16777][512]" id="mce-group[16777]-16777-1" value="" &gt;&lt;label for="mce-group[16777]-16777-1"&gt;in Wien&lt;/label&gt;&lt;/li&gt;
                        &lt;li&gt;&lt;input type="checkbox" name="group[16777][1024]" id="mce-group[16777]-16777-2" value="" &gt;&lt;label for="mce-group[16777]-16777-2"&gt;in Linz&lt;/label&gt;&lt;/li&gt;
                        &lt;li&gt;&lt;input type="checkbox" name="group[16777][2048]" id="mce-group[16777]-16777-3" value="" &gt;&lt;label for="mce-group[16777]-16777-3"&gt;in Graz&lt;/label&gt;&lt;/li&gt;
                        &lt;li&gt;&lt;input type="checkbox" name="group[16777][524288]" id="mce-group[16777]-16777-4" value=""&gt;&lt;label for="mce-group[16777]-16777-4"&gt;online&lt;/label&gt;&lt;/li&gt;
                      &lt;/ul&gt;
                      &lt;/details&gt;
                        &lt;li&gt;&lt;input type="checkbox" name="group[16777][256]" id="mce-group[16777]-16777-5" value=""&gt;&lt;label for="mce-group[16777]-16777-5"&gt;Infos/Veranstaltungen der Edith Stein Gesellschaft&lt;/label&gt;&lt;/li&gt;
                        &lt;details class="interest-details" &gt;&lt;summary&gt;Novenen und Exerzitien auswählen&lt;/summary&gt;
                          &lt;ul&gt;
                        &lt;li&gt;&lt;input type="checkbox" name="group[16777][128]" id="mce-group[16777]-16777-6" value=""&gt;&lt;label for="mce-group[16777]-16777-6"&gt;Friedensgebet/Novene Hl. Edith Stein&lt;/label&gt;&lt;/li&gt;
                        &lt;li style="display:none"&gt;&lt;input type="checkbox" name="group[16777][32]" id="mce-group[16777]-16777-7" value="" checked&gt;&lt;label for="mce-group[16777]-16777-7"&gt;Exerzitien Online in Advent/Fastenzeit&lt;/label&gt;&lt;/li&gt;
                        &lt;li&gt;&lt;input type="checkbox" name="group[16777][16]" id="mce-group[16777]-16777-8" value=""&gt;&lt;label for="mce-group[16777]-16777-8"&gt;Novene Online zum Skapulierfest&lt;/label&gt;&lt;/li&gt;
                        &lt;li&gt;&lt;input type="checkbox" name="group[16777][8192]" id="mce-group[16777]-16777-9" value=""&gt;&lt;label for="mce-group[16777]-16777-9"&gt;33 Schritte mit Maria zu Jesus&lt;/label&gt;&lt;/li&gt;
                        &lt;li&gt;&lt;input type="checkbox" name="group[16777][4096]" id="mce-group[16777]-16777-10" value=""&gt;&lt;label for="mce-group[16777]-16777-10"&gt;Jesus-Gebet&lt;/label&gt;&lt;/li&gt;                      
                          &lt;/ul&gt;
                        &lt;/details&gt;
&lt;!--                                    &lt;div class="card-links"&gt;
              &lt;a href="#angebote-cards"&gt;Mehr Informationen zur Angebote nach unten&lt;/a&gt;
            &lt;/div&gt; --&gt;
                      &lt;/ul&gt;
                      &lt;/details&gt;
                      &lt;div hidden=""&gt;&lt;input type="hidden" name="tags" value="8501"&gt;&lt;/div&gt;
                    &lt;/div&gt;
        &lt;div id="mce-responses" class="clear"&gt;
            &lt;div class="response" id="mce-error-response" style="display: none;"&gt;&lt;/div&gt;
            &lt;div class="response" id="mce-success-response" style="display: none;"&gt;&lt;/div&gt;
        &lt;/div&gt;&lt;div style="position: absolute; left: -5000px;" aria-hidden="true"&gt;&lt;input type="text" name="b_7c9d2aa0ecc1fde64fd44bc67_10430a5833" tabindex="-1" value=""&gt;&lt;/div&gt;
        &lt;div class="clear"&gt;&lt;input type="submit" name="subscribe" id="mc-embedded-subscribe" class="button-signup" value="Anmelden"&gt;&lt;/div&gt;
&lt;/form&gt;
      &lt;/section&gt;
                &lt;/div&gt;
            &lt;/div&gt;
                      &lt;div class="datenschutz-toggle"&gt;
          &lt;a href="#datenschutz-wrap" id="datenschutz-toggle" aria-expanded="false" aria-controls="datenschutz-wrap"&gt;Datenschutz&lt;/a&gt;
                      &lt;div id="datenschutz-wrap" hidden&gt;
          &lt;p style="font-size: 14px;"&gt;Die Karmeliten in Österreich werden die Informationen, die Sie in diesem Formular angeben, dazu verwenden, mit Ihnen in Kontakt zu bleiben und Ihnen Informationen über Internet-Aktivitäten wie Exerzitien Online o.ä. zu übermitteln – je nach Ihrer Auswahl im obigen Formular.
            Sie können Ihre Meinung jederzeit ändern, indem Sie auf den Abbestellungs-Link klicken, den Sie in der Fußzeile jeder E-Mail, die Sie von uns erhalten, finden können, oder indem Sie uns unter online-exerzitien@karmel.at kontaktieren. Wir werden Ihre Informationen mit Sorgfalt und Respekt behandeln. Weitere Informationen zu unseren Datenschutzpraktiken finden Sie auf unserer Website www.karmel.at. Indem Sie unten klicken, erklären Sie sich damit einverstanden, dass wir Ihre Informationen in Übereinstimmung mit diesen Bedingungen verarbeiten dürfen.
          &lt;/p&gt;
          &lt;p style="font-size: 14px;"&gt;
  Wir nutzen Mailchimp als unsere Marketing-Plattform. Mit einem Klick auf den untenstehenden Button zum Abonnieren erklären Sie sich damit einverstanden, dass Ihre Daten zur Verarbeitung an Mailchimp übermittelt werden.&lt;/p&gt;
  &lt;a class="plain-link" href="https://mailchimp.com/legal/terms/" target="_blank" rel="noopener noreferrer" style="display:inline-block; font-size: 14px; font-weight: 200; text-decoration:none;"&gt;
      Mehr über die Datenschutzpraktiken von Mailchimp erfahren Sie hier.
  &lt;/a&gt;&lt;/div&gt;&lt;/div&gt;
          &lt;/div&gt;
        &lt;/div&gt;
      &lt;/section&gt;</v>
      </c>
      <c r="Q113" s="1" t="str">
        <f>form_block_de!$A1</f>
        <v>&lt;section class="section-intro" id="abonniere"&gt;
&lt;div id="mc_embed_shell"&gt;  
&lt;div id="mc_embed_signup"&gt;
    &lt;form action="https://karmel.us6.list-manage.com/subscribe/post?u=7c9d2aa0ecc1fde64fd44bc67&amp;amp;id=10430a5833&amp;amp;f_id=009254e3f0" method="post" id="mc-embedded-subscribe-form" name="mc-embedded-subscribe-form" class="validate" target="_self" novalidate=""&gt;
        &lt;div id="mc_embed_signup_scroll"&gt;
            &lt;div class="mc-field-group"&gt;&lt;label for="mce-EMAIL"&gt;eMail Adresse&lt;span class="asterisk"&gt;* (erforderlich)&lt;/span&gt;&lt;/label&gt;
              &lt;input type="email" name="EMAIL" class="required email" id="mce-EMAIL" required="" value=""&gt;&lt;/div&gt;
              &lt;div class="mc-field-group"&gt;&lt;label for="mce-FNAME"&gt;Vorname &lt;/label&gt;
                &lt;input type="text" name="FNAME" class=" text" id="mce-FNAME" value=""&gt;&lt;/div&gt;
                &lt;div class="mc-field-group"&gt;&lt;label for="mce-LNAME"&gt;Nachname &lt;/label&gt;
                  &lt;input type="text" name="LNAME" class=" text" id="mce-LNAME" value=""&gt;&lt;/div&gt;
                                        &lt;div class="mc-field-group"&gt;&lt;label for="mce-AUFMERKS01"&gt;Wie sind Sie auf uns aufmerksam geworden? &lt;/label&gt;
                        &lt;select name="AUFMERKS01" class="" id="mce-AUFMERKS01"&gt;
                        &lt;option value="Bitte auswahlen..."&gt;Bitte auswahlen...&lt;/option&gt;
                        &lt;option value="Karmeliten in Wien"&gt;Karmeliten in Wien&lt;/option&gt;
                        &lt;option value="Karmeliten in Linz"&gt;Karmeliten in Linz&lt;/option&gt;
                        &lt;option value="Karmeliten in Graz"&gt;Karmeliten in Graz&lt;/option&gt;
                        &lt;option value="Persönliche Empfehlung"&gt;Persönliche Empfehlung&lt;/option&gt;
                        &lt;option value="Plakat"&gt;Plakat&lt;/option&gt;
                        &lt;option value="Internetsuche"&gt;Internetsuche&lt;/option&gt;
                        &lt;option value="YouTube"&gt;YouTube&lt;/option&gt;
                        &lt;option value="Facebook"&gt;Facebook&lt;/option&gt;
                        &lt;option value="Instagram"&gt;Instagram&lt;/option&gt;
                        &lt;option value="Sonstiges"&gt;Sonstiges&lt;/option&gt;&lt;/select&gt;&lt;/div&gt;
                      &lt;div class="mc-field-group" id="sonstiges-field" style="display:none"&gt;&lt;label for="mce-AUFMERKS02"&gt;Sonstiges&lt;/label&gt;
                        &lt;input type="text" name="AUFMERKS02" class=" text" id="mce-AUFMERKS02" value="" disabled&gt;&lt;span id="mce-AUFMERKS02-HELPERTEXT" class="help-block" hidden&gt;Wenn Sie „Sonstiges“ ausgewählt haben, geben Sie bitte hier &lt;/span&gt;
                      &lt;/div&gt;
                  &lt;div class="mc-field-group"&gt;&lt;label for="mce-LNAME"&gt; &lt;/label&gt;
                  &lt;/div&gt;
                    &lt;div class="mc-field-group input-group"&gt;
                      &lt;details class="interest-details"&gt;
                        &lt;summary&gt;Weitere Angebote der Karmeliten&lt;/summary&gt;
                        &lt;ul class="interest-group" style="text-align: left;"&gt;
                        &lt;li&gt;&lt;input type="checkbox" name="group[16777][64]" id="mce-group[16777]-16777-0" value=""&gt;&lt;label for="mce-group[16777]-16777-0"&gt;alle Veranstaltungen des Karmel in Österreich&lt;/label&gt;&lt;/li&gt;
                          &lt;details class="interest-details" style="padding-left: 1rem"&gt;&lt;summary&gt;Orte und Formate einschränken&lt;/summary&gt;
                            &lt;ul&gt;
                        &lt;li&gt;&lt;input type="checkbox" name="group[16777][512]" id="mce-group[16777]-16777-1" value="" &gt;&lt;label for="mce-group[16777]-16777-1"&gt;in Wien&lt;/label&gt;&lt;/li&gt;
                        &lt;li&gt;&lt;input type="checkbox" name="group[16777][1024]" id="mce-group[16777]-16777-2" value="" &gt;&lt;label for="mce-group[16777]-16777-2"&gt;in Linz&lt;/label&gt;&lt;/li&gt;
                        &lt;li&gt;&lt;input type="checkbox" name="group[16777][2048]" id="mce-group[16777]-16777-3" value="" &gt;&lt;label for="mce-group[16777]-16777-3"&gt;in Graz&lt;/label&gt;&lt;/li&gt;
                        &lt;li&gt;&lt;input type="checkbox" name="group[16777][524288]" id="mce-group[16777]-16777-4" value=""&gt;&lt;label for="mce-group[16777]-16777-4"&gt;online&lt;/label&gt;&lt;/li&gt;
                      &lt;/ul&gt;
                      &lt;/details&gt;
                        &lt;li&gt;&lt;input type="checkbox" name="group[16777][256]" id="mce-group[16777]-16777-5" value=""&gt;&lt;label for="mce-group[16777]-16777-5"&gt;Infos/Veranstaltungen der Edith Stein Gesellschaft&lt;/label&gt;&lt;/li&gt;
                        &lt;details class="interest-details" &gt;&lt;summary&gt;Novenen und Exerzitien auswählen&lt;/summary&gt;
                          &lt;ul&gt;
                        &lt;li&gt;&lt;input type="checkbox" name="group[16777][128]" id="mce-group[16777]-16777-6" value=""&gt;&lt;label for="mce-group[16777]-16777-6"&gt;Friedensgebet/Novene Hl. Edith Stein&lt;/label&gt;&lt;/li&gt;
                        &lt;li style="display:none"&gt;&lt;input type="checkbox" name="group[16777][32]" id="mce-group[16777]-16777-7" value="" checked&gt;&lt;label for="mce-group[16777]-16777-7"&gt;Exerzitien Online in Advent/Fastenzeit&lt;/label&gt;&lt;/li&gt;
                        &lt;li&gt;&lt;input type="checkbox" name="group[16777][16]" id="mce-group[16777]-16777-8" value=""&gt;&lt;label for="mce-group[16777]-16777-8"&gt;Novene Online zum Skapulierfest&lt;/label&gt;&lt;/li&gt;
                        &lt;li&gt;&lt;input type="checkbox" name="group[16777][8192]" id="mce-group[16777]-16777-9" value=""&gt;&lt;label for="mce-group[16777]-16777-9"&gt;33 Schritte mit Maria zu Jesus&lt;/label&gt;&lt;/li&gt;
                        &lt;li&gt;&lt;input type="checkbox" name="group[16777][4096]" id="mce-group[16777]-16777-10" value=""&gt;&lt;label for="mce-group[16777]-16777-10"&gt;Jesus-Gebet&lt;/label&gt;&lt;/li&gt;                      
                          &lt;/ul&gt;
                        &lt;/details&gt;
&lt;!--                                    &lt;div class="card-links"&gt;
              &lt;a href="#angebote-cards"&gt;Mehr Informationen zur Angebote nach unten&lt;/a&gt;
            &lt;/div&gt; --&gt;
                      &lt;/ul&gt;
                      &lt;/details&gt;
                      &lt;div hidden=""&gt;&lt;input type="hidden" name="tags" value="8501"&gt;&lt;/div&gt;
                    &lt;/div&gt;
        &lt;div id="mce-responses" class="clear"&gt;
            &lt;div class="response" id="mce-error-response" style="display: none;"&gt;&lt;/div&gt;
            &lt;div class="response" id="mce-success-response" style="display: none;"&gt;&lt;/div&gt;
        &lt;/div&gt;&lt;div style="position: absolute; left: -5000px;" aria-hidden="true"&gt;&lt;input type="text" name="b_7c9d2aa0ecc1fde64fd44bc67_10430a5833" tabindex="-1" value=""&gt;&lt;/div&gt;
        &lt;div class="clear"&gt;&lt;input type="submit" name="subscribe" id="mc-embedded-subscribe" class="button-signup" value="Anmelden"&gt;&lt;/div&gt;
&lt;/form&gt;
      &lt;/section&gt;
                &lt;/div&gt;
            &lt;/div&gt;
                      &lt;div class="datenschutz-toggle"&gt;
          &lt;a href="#datenschutz-wrap" id="datenschutz-toggle" aria-expanded="false" aria-controls="datenschutz-wrap"&gt;Datenschutz&lt;/a&gt;
                      &lt;div id="datenschutz-wrap" hidden&gt;
          &lt;p style="font-size: 14px;"&gt;Die Karmeliten in Österreich werden die Informationen, die Sie in diesem Formular angeben, dazu verwenden, mit Ihnen in Kontakt zu bleiben und Ihnen Informationen über Internet-Aktivitäten wie Exerzitien Online o.ä. zu übermitteln – je nach Ihrer Auswahl im obigen Formular.
            Sie können Ihre Meinung jederzeit ändern, indem Sie auf den Abbestellungs-Link klicken, den Sie in der Fußzeile jeder E-Mail, die Sie von uns erhalten, finden können, oder indem Sie uns unter online-exerzitien@karmel.at kontaktieren. Wir werden Ihre Informationen mit Sorgfalt und Respekt behandeln. Weitere Informationen zu unseren Datenschutzpraktiken finden Sie auf unserer Website www.karmel.at. Indem Sie unten klicken, erklären Sie sich damit einverstanden, dass wir Ihre Informationen in Übereinstimmung mit diesen Bedingungen verarbeiten dürfen.
          &lt;/p&gt;
          &lt;p style="font-size: 14px;"&gt;
  Wir nutzen Mailchimp als unsere Marketing-Plattform. Mit einem Klick auf den untenstehenden Button zum Abonnieren erklären Sie sich damit einverstanden, dass Ihre Daten zur Verarbeitung an Mailchimp übermittelt werden.&lt;/p&gt;
  &lt;a class="plain-link" href="https://mailchimp.com/legal/terms/" target="_blank" rel="noopener noreferrer" style="display:inline-block; font-size: 14px; font-weight: 200; text-decoration:none;"&gt;
      Mehr über die Datenschutzpraktiken von Mailchimp erfahren Sie hier.
  &lt;/a&gt;&lt;/div&gt;&lt;/div&gt;
          &lt;/div&gt;
        &lt;/div&gt;
      &lt;/section&gt;</v>
      </c>
      <c r="R113" s="1" t="str">
        <f>form_block_de!$A1</f>
        <v>&lt;section class="section-intro" id="abonniere"&gt;
&lt;div id="mc_embed_shell"&gt;  
&lt;div id="mc_embed_signup"&gt;
    &lt;form action="https://karmel.us6.list-manage.com/subscribe/post?u=7c9d2aa0ecc1fde64fd44bc67&amp;amp;id=10430a5833&amp;amp;f_id=009254e3f0" method="post" id="mc-embedded-subscribe-form" name="mc-embedded-subscribe-form" class="validate" target="_self" novalidate=""&gt;
        &lt;div id="mc_embed_signup_scroll"&gt;
            &lt;div class="mc-field-group"&gt;&lt;label for="mce-EMAIL"&gt;eMail Adresse&lt;span class="asterisk"&gt;* (erforderlich)&lt;/span&gt;&lt;/label&gt;
              &lt;input type="email" name="EMAIL" class="required email" id="mce-EMAIL" required="" value=""&gt;&lt;/div&gt;
              &lt;div class="mc-field-group"&gt;&lt;label for="mce-FNAME"&gt;Vorname &lt;/label&gt;
                &lt;input type="text" name="FNAME" class=" text" id="mce-FNAME" value=""&gt;&lt;/div&gt;
                &lt;div class="mc-field-group"&gt;&lt;label for="mce-LNAME"&gt;Nachname &lt;/label&gt;
                  &lt;input type="text" name="LNAME" class=" text" id="mce-LNAME" value=""&gt;&lt;/div&gt;
                                        &lt;div class="mc-field-group"&gt;&lt;label for="mce-AUFMERKS01"&gt;Wie sind Sie auf uns aufmerksam geworden? &lt;/label&gt;
                        &lt;select name="AUFMERKS01" class="" id="mce-AUFMERKS01"&gt;
                        &lt;option value="Bitte auswahlen..."&gt;Bitte auswahlen...&lt;/option&gt;
                        &lt;option value="Karmeliten in Wien"&gt;Karmeliten in Wien&lt;/option&gt;
                        &lt;option value="Karmeliten in Linz"&gt;Karmeliten in Linz&lt;/option&gt;
                        &lt;option value="Karmeliten in Graz"&gt;Karmeliten in Graz&lt;/option&gt;
                        &lt;option value="Persönliche Empfehlung"&gt;Persönliche Empfehlung&lt;/option&gt;
                        &lt;option value="Plakat"&gt;Plakat&lt;/option&gt;
                        &lt;option value="Internetsuche"&gt;Internetsuche&lt;/option&gt;
                        &lt;option value="YouTube"&gt;YouTube&lt;/option&gt;
                        &lt;option value="Facebook"&gt;Facebook&lt;/option&gt;
                        &lt;option value="Instagram"&gt;Instagram&lt;/option&gt;
                        &lt;option value="Sonstiges"&gt;Sonstiges&lt;/option&gt;&lt;/select&gt;&lt;/div&gt;
                      &lt;div class="mc-field-group" id="sonstiges-field" style="display:none"&gt;&lt;label for="mce-AUFMERKS02"&gt;Sonstiges&lt;/label&gt;
                        &lt;input type="text" name="AUFMERKS02" class=" text" id="mce-AUFMERKS02" value="" disabled&gt;&lt;span id="mce-AUFMERKS02-HELPERTEXT" class="help-block" hidden&gt;Wenn Sie „Sonstiges“ ausgewählt haben, geben Sie bitte hier &lt;/span&gt;
                      &lt;/div&gt;
                  &lt;div class="mc-field-group"&gt;&lt;label for="mce-LNAME"&gt; &lt;/label&gt;
                  &lt;/div&gt;
                    &lt;div class="mc-field-group input-group"&gt;
                      &lt;details class="interest-details"&gt;
                        &lt;summary&gt;Weitere Angebote der Karmeliten&lt;/summary&gt;
                        &lt;ul class="interest-group" style="text-align: left;"&gt;
                        &lt;li&gt;&lt;input type="checkbox" name="group[16777][64]" id="mce-group[16777]-16777-0" value=""&gt;&lt;label for="mce-group[16777]-16777-0"&gt;alle Veranstaltungen des Karmel in Österreich&lt;/label&gt;&lt;/li&gt;
                          &lt;details class="interest-details" style="padding-left: 1rem"&gt;&lt;summary&gt;Orte und Formate einschränken&lt;/summary&gt;
                            &lt;ul&gt;
                        &lt;li&gt;&lt;input type="checkbox" name="group[16777][512]" id="mce-group[16777]-16777-1" value="" &gt;&lt;label for="mce-group[16777]-16777-1"&gt;in Wien&lt;/label&gt;&lt;/li&gt;
                        &lt;li&gt;&lt;input type="checkbox" name="group[16777][1024]" id="mce-group[16777]-16777-2" value="" &gt;&lt;label for="mce-group[16777]-16777-2"&gt;in Linz&lt;/label&gt;&lt;/li&gt;
                        &lt;li&gt;&lt;input type="checkbox" name="group[16777][2048]" id="mce-group[16777]-16777-3" value="" &gt;&lt;label for="mce-group[16777]-16777-3"&gt;in Graz&lt;/label&gt;&lt;/li&gt;
                        &lt;li&gt;&lt;input type="checkbox" name="group[16777][524288]" id="mce-group[16777]-16777-4" value=""&gt;&lt;label for="mce-group[16777]-16777-4"&gt;online&lt;/label&gt;&lt;/li&gt;
                      &lt;/ul&gt;
                      &lt;/details&gt;
                        &lt;li&gt;&lt;input type="checkbox" name="group[16777][256]" id="mce-group[16777]-16777-5" value=""&gt;&lt;label for="mce-group[16777]-16777-5"&gt;Infos/Veranstaltungen der Edith Stein Gesellschaft&lt;/label&gt;&lt;/li&gt;
                        &lt;details class="interest-details" &gt;&lt;summary&gt;Novenen und Exerzitien auswählen&lt;/summary&gt;
                          &lt;ul&gt;
                        &lt;li&gt;&lt;input type="checkbox" name="group[16777][128]" id="mce-group[16777]-16777-6" value=""&gt;&lt;label for="mce-group[16777]-16777-6"&gt;Friedensgebet/Novene Hl. Edith Stein&lt;/label&gt;&lt;/li&gt;
                        &lt;li style="display:none"&gt;&lt;input type="checkbox" name="group[16777][32]" id="mce-group[16777]-16777-7" value="" checked&gt;&lt;label for="mce-group[16777]-16777-7"&gt;Exerzitien Online in Advent/Fastenzeit&lt;/label&gt;&lt;/li&gt;
                        &lt;li&gt;&lt;input type="checkbox" name="group[16777][16]" id="mce-group[16777]-16777-8" value=""&gt;&lt;label for="mce-group[16777]-16777-8"&gt;Novene Online zum Skapulierfest&lt;/label&gt;&lt;/li&gt;
                        &lt;li&gt;&lt;input type="checkbox" name="group[16777][8192]" id="mce-group[16777]-16777-9" value=""&gt;&lt;label for="mce-group[16777]-16777-9"&gt;33 Schritte mit Maria zu Jesus&lt;/label&gt;&lt;/li&gt;
                        &lt;li&gt;&lt;input type="checkbox" name="group[16777][4096]" id="mce-group[16777]-16777-10" value=""&gt;&lt;label for="mce-group[16777]-16777-10"&gt;Jesus-Gebet&lt;/label&gt;&lt;/li&gt;                      
                          &lt;/ul&gt;
                        &lt;/details&gt;
&lt;!--                                    &lt;div class="card-links"&gt;
              &lt;a href="#angebote-cards"&gt;Mehr Informationen zur Angebote nach unten&lt;/a&gt;
            &lt;/div&gt; --&gt;
                      &lt;/ul&gt;
                      &lt;/details&gt;
                      &lt;div hidden=""&gt;&lt;input type="hidden" name="tags" value="8501"&gt;&lt;/div&gt;
                    &lt;/div&gt;
        &lt;div id="mce-responses" class="clear"&gt;
            &lt;div class="response" id="mce-error-response" style="display: none;"&gt;&lt;/div&gt;
            &lt;div class="response" id="mce-success-response" style="display: none;"&gt;&lt;/div&gt;
        &lt;/div&gt;&lt;div style="position: absolute; left: -5000px;" aria-hidden="true"&gt;&lt;input type="text" name="b_7c9d2aa0ecc1fde64fd44bc67_10430a5833" tabindex="-1" value=""&gt;&lt;/div&gt;
        &lt;div class="clear"&gt;&lt;input type="submit" name="subscribe" id="mc-embedded-subscribe" class="button-signup" value="Anmelden"&gt;&lt;/div&gt;
&lt;/form&gt;
      &lt;/section&gt;
                &lt;/div&gt;
            &lt;/div&gt;
                      &lt;div class="datenschutz-toggle"&gt;
          &lt;a href="#datenschutz-wrap" id="datenschutz-toggle" aria-expanded="false" aria-controls="datenschutz-wrap"&gt;Datenschutz&lt;/a&gt;
                      &lt;div id="datenschutz-wrap" hidden&gt;
          &lt;p style="font-size: 14px;"&gt;Die Karmeliten in Österreich werden die Informationen, die Sie in diesem Formular angeben, dazu verwenden, mit Ihnen in Kontakt zu bleiben und Ihnen Informationen über Internet-Aktivitäten wie Exerzitien Online o.ä. zu übermitteln – je nach Ihrer Auswahl im obigen Formular.
            Sie können Ihre Meinung jederzeit ändern, indem Sie auf den Abbestellungs-Link klicken, den Sie in der Fußzeile jeder E-Mail, die Sie von uns erhalten, finden können, oder indem Sie uns unter online-exerzitien@karmel.at kontaktieren. Wir werden Ihre Informationen mit Sorgfalt und Respekt behandeln. Weitere Informationen zu unseren Datenschutzpraktiken finden Sie auf unserer Website www.karmel.at. Indem Sie unten klicken, erklären Sie sich damit einverstanden, dass wir Ihre Informationen in Übereinstimmung mit diesen Bedingungen verarbeiten dürfen.
          &lt;/p&gt;
          &lt;p style="font-size: 14px;"&gt;
  Wir nutzen Mailchimp als unsere Marketing-Plattform. Mit einem Klick auf den untenstehenden Button zum Abonnieren erklären Sie sich damit einverstanden, dass Ihre Daten zur Verarbeitung an Mailchimp übermittelt werden.&lt;/p&gt;
  &lt;a class="plain-link" href="https://mailchimp.com/legal/terms/" target="_blank" rel="noopener noreferrer" style="display:inline-block; font-size: 14px; font-weight: 200; text-decoration:none;"&gt;
      Mehr über die Datenschutzpraktiken von Mailchimp erfahren Sie hier.
  &lt;/a&gt;&lt;/div&gt;&lt;/div&gt;
          &lt;/div&gt;
        &lt;/div&gt;
      &lt;/section&gt;</v>
      </c>
      <c r="S113" s="1" t="str">
        <f>form_block_de!$A1</f>
        <v>&lt;section class="section-intro" id="abonniere"&gt;
&lt;div id="mc_embed_shell"&gt;  
&lt;div id="mc_embed_signup"&gt;
    &lt;form action="https://karmel.us6.list-manage.com/subscribe/post?u=7c9d2aa0ecc1fde64fd44bc67&amp;amp;id=10430a5833&amp;amp;f_id=009254e3f0" method="post" id="mc-embedded-subscribe-form" name="mc-embedded-subscribe-form" class="validate" target="_self" novalidate=""&gt;
        &lt;div id="mc_embed_signup_scroll"&gt;
            &lt;div class="mc-field-group"&gt;&lt;label for="mce-EMAIL"&gt;eMail Adresse&lt;span class="asterisk"&gt;* (erforderlich)&lt;/span&gt;&lt;/label&gt;
              &lt;input type="email" name="EMAIL" class="required email" id="mce-EMAIL" required="" value=""&gt;&lt;/div&gt;
              &lt;div class="mc-field-group"&gt;&lt;label for="mce-FNAME"&gt;Vorname &lt;/label&gt;
                &lt;input type="text" name="FNAME" class=" text" id="mce-FNAME" value=""&gt;&lt;/div&gt;
                &lt;div class="mc-field-group"&gt;&lt;label for="mce-LNAME"&gt;Nachname &lt;/label&gt;
                  &lt;input type="text" name="LNAME" class=" text" id="mce-LNAME" value=""&gt;&lt;/div&gt;
                                        &lt;div class="mc-field-group"&gt;&lt;label for="mce-AUFMERKS01"&gt;Wie sind Sie auf uns aufmerksam geworden? &lt;/label&gt;
                        &lt;select name="AUFMERKS01" class="" id="mce-AUFMERKS01"&gt;
                        &lt;option value="Bitte auswahlen..."&gt;Bitte auswahlen...&lt;/option&gt;
                        &lt;option value="Karmeliten in Wien"&gt;Karmeliten in Wien&lt;/option&gt;
                        &lt;option value="Karmeliten in Linz"&gt;Karmeliten in Linz&lt;/option&gt;
                        &lt;option value="Karmeliten in Graz"&gt;Karmeliten in Graz&lt;/option&gt;
                        &lt;option value="Persönliche Empfehlung"&gt;Persönliche Empfehlung&lt;/option&gt;
                        &lt;option value="Plakat"&gt;Plakat&lt;/option&gt;
                        &lt;option value="Internetsuche"&gt;Internetsuche&lt;/option&gt;
                        &lt;option value="YouTube"&gt;YouTube&lt;/option&gt;
                        &lt;option value="Facebook"&gt;Facebook&lt;/option&gt;
                        &lt;option value="Instagram"&gt;Instagram&lt;/option&gt;
                        &lt;option value="Sonstiges"&gt;Sonstiges&lt;/option&gt;&lt;/select&gt;&lt;/div&gt;
                      &lt;div class="mc-field-group" id="sonstiges-field" style="display:none"&gt;&lt;label for="mce-AUFMERKS02"&gt;Sonstiges&lt;/label&gt;
                        &lt;input type="text" name="AUFMERKS02" class=" text" id="mce-AUFMERKS02" value="" disabled&gt;&lt;span id="mce-AUFMERKS02-HELPERTEXT" class="help-block" hidden&gt;Wenn Sie „Sonstiges“ ausgewählt haben, geben Sie bitte hier &lt;/span&gt;
                      &lt;/div&gt;
                  &lt;div class="mc-field-group"&gt;&lt;label for="mce-LNAME"&gt; &lt;/label&gt;
                  &lt;/div&gt;
                    &lt;div class="mc-field-group input-group"&gt;
                      &lt;details class="interest-details"&gt;
                        &lt;summary&gt;Weitere Angebote der Karmeliten&lt;/summary&gt;
                        &lt;ul class="interest-group" style="text-align: left;"&gt;
                        &lt;li&gt;&lt;input type="checkbox" name="group[16777][64]" id="mce-group[16777]-16777-0" value=""&gt;&lt;label for="mce-group[16777]-16777-0"&gt;alle Veranstaltungen des Karmel in Österreich&lt;/label&gt;&lt;/li&gt;
                          &lt;details class="interest-details" style="padding-left: 1rem"&gt;&lt;summary&gt;Orte und Formate einschränken&lt;/summary&gt;
                            &lt;ul&gt;
                        &lt;li&gt;&lt;input type="checkbox" name="group[16777][512]" id="mce-group[16777]-16777-1" value="" &gt;&lt;label for="mce-group[16777]-16777-1"&gt;in Wien&lt;/label&gt;&lt;/li&gt;
                        &lt;li&gt;&lt;input type="checkbox" name="group[16777][1024]" id="mce-group[16777]-16777-2" value="" &gt;&lt;label for="mce-group[16777]-16777-2"&gt;in Linz&lt;/label&gt;&lt;/li&gt;
                        &lt;li&gt;&lt;input type="checkbox" name="group[16777][2048]" id="mce-group[16777]-16777-3" value="" &gt;&lt;label for="mce-group[16777]-16777-3"&gt;in Graz&lt;/label&gt;&lt;/li&gt;
                        &lt;li&gt;&lt;input type="checkbox" name="group[16777][524288]" id="mce-group[16777]-16777-4" value=""&gt;&lt;label for="mce-group[16777]-16777-4"&gt;online&lt;/label&gt;&lt;/li&gt;
                      &lt;/ul&gt;
                      &lt;/details&gt;
                        &lt;li&gt;&lt;input type="checkbox" name="group[16777][256]" id="mce-group[16777]-16777-5" value=""&gt;&lt;label for="mce-group[16777]-16777-5"&gt;Infos/Veranstaltungen der Edith Stein Gesellschaft&lt;/label&gt;&lt;/li&gt;
                        &lt;details class="interest-details" &gt;&lt;summary&gt;Novenen und Exerzitien auswählen&lt;/summary&gt;
                          &lt;ul&gt;
                        &lt;li&gt;&lt;input type="checkbox" name="group[16777][128]" id="mce-group[16777]-16777-6" value=""&gt;&lt;label for="mce-group[16777]-16777-6"&gt;Friedensgebet/Novene Hl. Edith Stein&lt;/label&gt;&lt;/li&gt;
                        &lt;li style="display:none"&gt;&lt;input type="checkbox" name="group[16777][32]" id="mce-group[16777]-16777-7" value="" checked&gt;&lt;label for="mce-group[16777]-16777-7"&gt;Exerzitien Online in Advent/Fastenzeit&lt;/label&gt;&lt;/li&gt;
                        &lt;li&gt;&lt;input type="checkbox" name="group[16777][16]" id="mce-group[16777]-16777-8" value=""&gt;&lt;label for="mce-group[16777]-16777-8"&gt;Novene Online zum Skapulierfest&lt;/label&gt;&lt;/li&gt;
                        &lt;li&gt;&lt;input type="checkbox" name="group[16777][8192]" id="mce-group[16777]-16777-9" value=""&gt;&lt;label for="mce-group[16777]-16777-9"&gt;33 Schritte mit Maria zu Jesus&lt;/label&gt;&lt;/li&gt;
                        &lt;li&gt;&lt;input type="checkbox" name="group[16777][4096]" id="mce-group[16777]-16777-10" value=""&gt;&lt;label for="mce-group[16777]-16777-10"&gt;Jesus-Gebet&lt;/label&gt;&lt;/li&gt;                      
                          &lt;/ul&gt;
                        &lt;/details&gt;
&lt;!--                                    &lt;div class="card-links"&gt;
              &lt;a href="#angebote-cards"&gt;Mehr Informationen zur Angebote nach unten&lt;/a&gt;
            &lt;/div&gt; --&gt;
                      &lt;/ul&gt;
                      &lt;/details&gt;
                      &lt;div hidden=""&gt;&lt;input type="hidden" name="tags" value="8501"&gt;&lt;/div&gt;
                    &lt;/div&gt;
        &lt;div id="mce-responses" class="clear"&gt;
            &lt;div class="response" id="mce-error-response" style="display: none;"&gt;&lt;/div&gt;
            &lt;div class="response" id="mce-success-response" style="display: none;"&gt;&lt;/div&gt;
        &lt;/div&gt;&lt;div style="position: absolute; left: -5000px;" aria-hidden="true"&gt;&lt;input type="text" name="b_7c9d2aa0ecc1fde64fd44bc67_10430a5833" tabindex="-1" value=""&gt;&lt;/div&gt;
        &lt;div class="clear"&gt;&lt;input type="submit" name="subscribe" id="mc-embedded-subscribe" class="button-signup" value="Anmelden"&gt;&lt;/div&gt;
&lt;/form&gt;
      &lt;/section&gt;
                &lt;/div&gt;
            &lt;/div&gt;
                      &lt;div class="datenschutz-toggle"&gt;
          &lt;a href="#datenschutz-wrap" id="datenschutz-toggle" aria-expanded="false" aria-controls="datenschutz-wrap"&gt;Datenschutz&lt;/a&gt;
                      &lt;div id="datenschutz-wrap" hidden&gt;
          &lt;p style="font-size: 14px;"&gt;Die Karmeliten in Österreich werden die Informationen, die Sie in diesem Formular angeben, dazu verwenden, mit Ihnen in Kontakt zu bleiben und Ihnen Informationen über Internet-Aktivitäten wie Exerzitien Online o.ä. zu übermitteln – je nach Ihrer Auswahl im obigen Formular.
            Sie können Ihre Meinung jederzeit ändern, indem Sie auf den Abbestellungs-Link klicken, den Sie in der Fußzeile jeder E-Mail, die Sie von uns erhalten, finden können, oder indem Sie uns unter online-exerzitien@karmel.at kontaktieren. Wir werden Ihre Informationen mit Sorgfalt und Respekt behandeln. Weitere Informationen zu unseren Datenschutzpraktiken finden Sie auf unserer Website www.karmel.at. Indem Sie unten klicken, erklären Sie sich damit einverstanden, dass wir Ihre Informationen in Übereinstimmung mit diesen Bedingungen verarbeiten dürfen.
          &lt;/p&gt;
          &lt;p style="font-size: 14px;"&gt;
  Wir nutzen Mailchimp als unsere Marketing-Plattform. Mit einem Klick auf den untenstehenden Button zum Abonnieren erklären Sie sich damit einverstanden, dass Ihre Daten zur Verarbeitung an Mailchimp übermittelt werden.&lt;/p&gt;
  &lt;a class="plain-link" href="https://mailchimp.com/legal/terms/" target="_blank" rel="noopener noreferrer" style="display:inline-block; font-size: 14px; font-weight: 200; text-decoration:none;"&gt;
      Mehr über die Datenschutzpraktiken von Mailchimp erfahren Sie hier.
  &lt;/a&gt;&lt;/div&gt;&lt;/div&gt;
          &lt;/div&gt;
        &lt;/div&gt;
      &lt;/section&gt;</v>
      </c>
      <c r="T113" s="1" t="str">
        <f>form_block_de!$A1</f>
        <v>&lt;section class="section-intro" id="abonniere"&gt;
&lt;div id="mc_embed_shell"&gt;  
&lt;div id="mc_embed_signup"&gt;
    &lt;form action="https://karmel.us6.list-manage.com/subscribe/post?u=7c9d2aa0ecc1fde64fd44bc67&amp;amp;id=10430a5833&amp;amp;f_id=009254e3f0" method="post" id="mc-embedded-subscribe-form" name="mc-embedded-subscribe-form" class="validate" target="_self" novalidate=""&gt;
        &lt;div id="mc_embed_signup_scroll"&gt;
            &lt;div class="mc-field-group"&gt;&lt;label for="mce-EMAIL"&gt;eMail Adresse&lt;span class="asterisk"&gt;* (erforderlich)&lt;/span&gt;&lt;/label&gt;
              &lt;input type="email" name="EMAIL" class="required email" id="mce-EMAIL" required="" value=""&gt;&lt;/div&gt;
              &lt;div class="mc-field-group"&gt;&lt;label for="mce-FNAME"&gt;Vorname &lt;/label&gt;
                &lt;input type="text" name="FNAME" class=" text" id="mce-FNAME" value=""&gt;&lt;/div&gt;
                &lt;div class="mc-field-group"&gt;&lt;label for="mce-LNAME"&gt;Nachname &lt;/label&gt;
                  &lt;input type="text" name="LNAME" class=" text" id="mce-LNAME" value=""&gt;&lt;/div&gt;
                                        &lt;div class="mc-field-group"&gt;&lt;label for="mce-AUFMERKS01"&gt;Wie sind Sie auf uns aufmerksam geworden? &lt;/label&gt;
                        &lt;select name="AUFMERKS01" class="" id="mce-AUFMERKS01"&gt;
                        &lt;option value="Bitte auswahlen..."&gt;Bitte auswahlen...&lt;/option&gt;
                        &lt;option value="Karmeliten in Wien"&gt;Karmeliten in Wien&lt;/option&gt;
                        &lt;option value="Karmeliten in Linz"&gt;Karmeliten in Linz&lt;/option&gt;
                        &lt;option value="Karmeliten in Graz"&gt;Karmeliten in Graz&lt;/option&gt;
                        &lt;option value="Persönliche Empfehlung"&gt;Persönliche Empfehlung&lt;/option&gt;
                        &lt;option value="Plakat"&gt;Plakat&lt;/option&gt;
                        &lt;option value="Internetsuche"&gt;Internetsuche&lt;/option&gt;
                        &lt;option value="YouTube"&gt;YouTube&lt;/option&gt;
                        &lt;option value="Facebook"&gt;Facebook&lt;/option&gt;
                        &lt;option value="Instagram"&gt;Instagram&lt;/option&gt;
                        &lt;option value="Sonstiges"&gt;Sonstiges&lt;/option&gt;&lt;/select&gt;&lt;/div&gt;
                      &lt;div class="mc-field-group" id="sonstiges-field" style="display:none"&gt;&lt;label for="mce-AUFMERKS02"&gt;Sonstiges&lt;/label&gt;
                        &lt;input type="text" name="AUFMERKS02" class=" text" id="mce-AUFMERKS02" value="" disabled&gt;&lt;span id="mce-AUFMERKS02-HELPERTEXT" class="help-block" hidden&gt;Wenn Sie „Sonstiges“ ausgewählt haben, geben Sie bitte hier &lt;/span&gt;
                      &lt;/div&gt;
                  &lt;div class="mc-field-group"&gt;&lt;label for="mce-LNAME"&gt; &lt;/label&gt;
                  &lt;/div&gt;
                    &lt;div class="mc-field-group input-group"&gt;
                      &lt;details class="interest-details"&gt;
                        &lt;summary&gt;Weitere Angebote der Karmeliten&lt;/summary&gt;
                        &lt;ul class="interest-group" style="text-align: left;"&gt;
                        &lt;li&gt;&lt;input type="checkbox" name="group[16777][64]" id="mce-group[16777]-16777-0" value=""&gt;&lt;label for="mce-group[16777]-16777-0"&gt;alle Veranstaltungen des Karmel in Österreich&lt;/label&gt;&lt;/li&gt;
                          &lt;details class="interest-details" style="padding-left: 1rem"&gt;&lt;summary&gt;Orte und Formate einschränken&lt;/summary&gt;
                            &lt;ul&gt;
                        &lt;li&gt;&lt;input type="checkbox" name="group[16777][512]" id="mce-group[16777]-16777-1" value="" &gt;&lt;label for="mce-group[16777]-16777-1"&gt;in Wien&lt;/label&gt;&lt;/li&gt;
                        &lt;li&gt;&lt;input type="checkbox" name="group[16777][1024]" id="mce-group[16777]-16777-2" value="" &gt;&lt;label for="mce-group[16777]-16777-2"&gt;in Linz&lt;/label&gt;&lt;/li&gt;
                        &lt;li&gt;&lt;input type="checkbox" name="group[16777][2048]" id="mce-group[16777]-16777-3" value="" &gt;&lt;label for="mce-group[16777]-16777-3"&gt;in Graz&lt;/label&gt;&lt;/li&gt;
                        &lt;li&gt;&lt;input type="checkbox" name="group[16777][524288]" id="mce-group[16777]-16777-4" value=""&gt;&lt;label for="mce-group[16777]-16777-4"&gt;online&lt;/label&gt;&lt;/li&gt;
                      &lt;/ul&gt;
                      &lt;/details&gt;
                        &lt;li&gt;&lt;input type="checkbox" name="group[16777][256]" id="mce-group[16777]-16777-5" value=""&gt;&lt;label for="mce-group[16777]-16777-5"&gt;Infos/Veranstaltungen der Edith Stein Gesellschaft&lt;/label&gt;&lt;/li&gt;
                        &lt;details class="interest-details" &gt;&lt;summary&gt;Novenen und Exerzitien auswählen&lt;/summary&gt;
                          &lt;ul&gt;
                        &lt;li&gt;&lt;input type="checkbox" name="group[16777][128]" id="mce-group[16777]-16777-6" value=""&gt;&lt;label for="mce-group[16777]-16777-6"&gt;Friedensgebet/Novene Hl. Edith Stein&lt;/label&gt;&lt;/li&gt;
                        &lt;li style="display:none"&gt;&lt;input type="checkbox" name="group[16777][32]" id="mce-group[16777]-16777-7" value="" checked&gt;&lt;label for="mce-group[16777]-16777-7"&gt;Exerzitien Online in Advent/Fastenzeit&lt;/label&gt;&lt;/li&gt;
                        &lt;li&gt;&lt;input type="checkbox" name="group[16777][16]" id="mce-group[16777]-16777-8" value=""&gt;&lt;label for="mce-group[16777]-16777-8"&gt;Novene Online zum Skapulierfest&lt;/label&gt;&lt;/li&gt;
                        &lt;li&gt;&lt;input type="checkbox" name="group[16777][8192]" id="mce-group[16777]-16777-9" value=""&gt;&lt;label for="mce-group[16777]-16777-9"&gt;33 Schritte mit Maria zu Jesus&lt;/label&gt;&lt;/li&gt;
                        &lt;li&gt;&lt;input type="checkbox" name="group[16777][4096]" id="mce-group[16777]-16777-10" value=""&gt;&lt;label for="mce-group[16777]-16777-10"&gt;Jesus-Gebet&lt;/label&gt;&lt;/li&gt;                      
                          &lt;/ul&gt;
                        &lt;/details&gt;
&lt;!--                                    &lt;div class="card-links"&gt;
              &lt;a href="#angebote-cards"&gt;Mehr Informationen zur Angebote nach unten&lt;/a&gt;
            &lt;/div&gt; --&gt;
                      &lt;/ul&gt;
                      &lt;/details&gt;
                      &lt;div hidden=""&gt;&lt;input type="hidden" name="tags" value="8501"&gt;&lt;/div&gt;
                    &lt;/div&gt;
        &lt;div id="mce-responses" class="clear"&gt;
            &lt;div class="response" id="mce-error-response" style="display: none;"&gt;&lt;/div&gt;
            &lt;div class="response" id="mce-success-response" style="display: none;"&gt;&lt;/div&gt;
        &lt;/div&gt;&lt;div style="position: absolute; left: -5000px;" aria-hidden="true"&gt;&lt;input type="text" name="b_7c9d2aa0ecc1fde64fd44bc67_10430a5833" tabindex="-1" value=""&gt;&lt;/div&gt;
        &lt;div class="clear"&gt;&lt;input type="submit" name="subscribe" id="mc-embedded-subscribe" class="button-signup" value="Anmelden"&gt;&lt;/div&gt;
&lt;/form&gt;
      &lt;/section&gt;
                &lt;/div&gt;
            &lt;/div&gt;
                      &lt;div class="datenschutz-toggle"&gt;
          &lt;a href="#datenschutz-wrap" id="datenschutz-toggle" aria-expanded="false" aria-controls="datenschutz-wrap"&gt;Datenschutz&lt;/a&gt;
                      &lt;div id="datenschutz-wrap" hidden&gt;
          &lt;p style="font-size: 14px;"&gt;Die Karmeliten in Österreich werden die Informationen, die Sie in diesem Formular angeben, dazu verwenden, mit Ihnen in Kontakt zu bleiben und Ihnen Informationen über Internet-Aktivitäten wie Exerzitien Online o.ä. zu übermitteln – je nach Ihrer Auswahl im obigen Formular.
            Sie können Ihre Meinung jederzeit ändern, indem Sie auf den Abbestellungs-Link klicken, den Sie in der Fußzeile jeder E-Mail, die Sie von uns erhalten, finden können, oder indem Sie uns unter online-exerzitien@karmel.at kontaktieren. Wir werden Ihre Informationen mit Sorgfalt und Respekt behandeln. Weitere Informationen zu unseren Datenschutzpraktiken finden Sie auf unserer Website www.karmel.at. Indem Sie unten klicken, erklären Sie sich damit einverstanden, dass wir Ihre Informationen in Übereinstimmung mit diesen Bedingungen verarbeiten dürfen.
          &lt;/p&gt;
          &lt;p style="font-size: 14px;"&gt;
  Wir nutzen Mailchimp als unsere Marketing-Plattform. Mit einem Klick auf den untenstehenden Button zum Abonnieren erklären Sie sich damit einverstanden, dass Ihre Daten zur Verarbeitung an Mailchimp übermittelt werden.&lt;/p&gt;
  &lt;a class="plain-link" href="https://mailchimp.com/legal/terms/" target="_blank" rel="noopener noreferrer" style="display:inline-block; font-size: 14px; font-weight: 200; text-decoration:none;"&gt;
      Mehr über die Datenschutzpraktiken von Mailchimp erfahren Sie hier.
  &lt;/a&gt;&lt;/div&gt;&lt;/div&gt;
          &lt;/div&gt;
        &lt;/div&gt;
      &lt;/section&gt;</v>
      </c>
      <c r="U113" s="1" t="str">
        <f>form_block_de!$A1</f>
        <v>&lt;section class="section-intro" id="abonniere"&gt;
&lt;div id="mc_embed_shell"&gt;  
&lt;div id="mc_embed_signup"&gt;
    &lt;form action="https://karmel.us6.list-manage.com/subscribe/post?u=7c9d2aa0ecc1fde64fd44bc67&amp;amp;id=10430a5833&amp;amp;f_id=009254e3f0" method="post" id="mc-embedded-subscribe-form" name="mc-embedded-subscribe-form" class="validate" target="_self" novalidate=""&gt;
        &lt;div id="mc_embed_signup_scroll"&gt;
            &lt;div class="mc-field-group"&gt;&lt;label for="mce-EMAIL"&gt;eMail Adresse&lt;span class="asterisk"&gt;* (erforderlich)&lt;/span&gt;&lt;/label&gt;
              &lt;input type="email" name="EMAIL" class="required email" id="mce-EMAIL" required="" value=""&gt;&lt;/div&gt;
              &lt;div class="mc-field-group"&gt;&lt;label for="mce-FNAME"&gt;Vorname &lt;/label&gt;
                &lt;input type="text" name="FNAME" class=" text" id="mce-FNAME" value=""&gt;&lt;/div&gt;
                &lt;div class="mc-field-group"&gt;&lt;label for="mce-LNAME"&gt;Nachname &lt;/label&gt;
                  &lt;input type="text" name="LNAME" class=" text" id="mce-LNAME" value=""&gt;&lt;/div&gt;
                                        &lt;div class="mc-field-group"&gt;&lt;label for="mce-AUFMERKS01"&gt;Wie sind Sie auf uns aufmerksam geworden? &lt;/label&gt;
                        &lt;select name="AUFMERKS01" class="" id="mce-AUFMERKS01"&gt;
                        &lt;option value="Bitte auswahlen..."&gt;Bitte auswahlen...&lt;/option&gt;
                        &lt;option value="Karmeliten in Wien"&gt;Karmeliten in Wien&lt;/option&gt;
                        &lt;option value="Karmeliten in Linz"&gt;Karmeliten in Linz&lt;/option&gt;
                        &lt;option value="Karmeliten in Graz"&gt;Karmeliten in Graz&lt;/option&gt;
                        &lt;option value="Persönliche Empfehlung"&gt;Persönliche Empfehlung&lt;/option&gt;
                        &lt;option value="Plakat"&gt;Plakat&lt;/option&gt;
                        &lt;option value="Internetsuche"&gt;Internetsuche&lt;/option&gt;
                        &lt;option value="YouTube"&gt;YouTube&lt;/option&gt;
                        &lt;option value="Facebook"&gt;Facebook&lt;/option&gt;
                        &lt;option value="Instagram"&gt;Instagram&lt;/option&gt;
                        &lt;option value="Sonstiges"&gt;Sonstiges&lt;/option&gt;&lt;/select&gt;&lt;/div&gt;
                      &lt;div class="mc-field-group" id="sonstiges-field" style="display:none"&gt;&lt;label for="mce-AUFMERKS02"&gt;Sonstiges&lt;/label&gt;
                        &lt;input type="text" name="AUFMERKS02" class=" text" id="mce-AUFMERKS02" value="" disabled&gt;&lt;span id="mce-AUFMERKS02-HELPERTEXT" class="help-block" hidden&gt;Wenn Sie „Sonstiges“ ausgewählt haben, geben Sie bitte hier &lt;/span&gt;
                      &lt;/div&gt;
                  &lt;div class="mc-field-group"&gt;&lt;label for="mce-LNAME"&gt; &lt;/label&gt;
                  &lt;/div&gt;
                    &lt;div class="mc-field-group input-group"&gt;
                      &lt;details class="interest-details"&gt;
                        &lt;summary&gt;Weitere Angebote der Karmeliten&lt;/summary&gt;
                        &lt;ul class="interest-group" style="text-align: left;"&gt;
                        &lt;li&gt;&lt;input type="checkbox" name="group[16777][64]" id="mce-group[16777]-16777-0" value=""&gt;&lt;label for="mce-group[16777]-16777-0"&gt;alle Veranstaltungen des Karmel in Österreich&lt;/label&gt;&lt;/li&gt;
                          &lt;details class="interest-details" style="padding-left: 1rem"&gt;&lt;summary&gt;Orte und Formate einschränken&lt;/summary&gt;
                            &lt;ul&gt;
                        &lt;li&gt;&lt;input type="checkbox" name="group[16777][512]" id="mce-group[16777]-16777-1" value="" &gt;&lt;label for="mce-group[16777]-16777-1"&gt;in Wien&lt;/label&gt;&lt;/li&gt;
                        &lt;li&gt;&lt;input type="checkbox" name="group[16777][1024]" id="mce-group[16777]-16777-2" value="" &gt;&lt;label for="mce-group[16777]-16777-2"&gt;in Linz&lt;/label&gt;&lt;/li&gt;
                        &lt;li&gt;&lt;input type="checkbox" name="group[16777][2048]" id="mce-group[16777]-16777-3" value="" &gt;&lt;label for="mce-group[16777]-16777-3"&gt;in Graz&lt;/label&gt;&lt;/li&gt;
                        &lt;li&gt;&lt;input type="checkbox" name="group[16777][524288]" id="mce-group[16777]-16777-4" value=""&gt;&lt;label for="mce-group[16777]-16777-4"&gt;online&lt;/label&gt;&lt;/li&gt;
                      &lt;/ul&gt;
                      &lt;/details&gt;
                        &lt;li&gt;&lt;input type="checkbox" name="group[16777][256]" id="mce-group[16777]-16777-5" value=""&gt;&lt;label for="mce-group[16777]-16777-5"&gt;Infos/Veranstaltungen der Edith Stein Gesellschaft&lt;/label&gt;&lt;/li&gt;
                        &lt;details class="interest-details" &gt;&lt;summary&gt;Novenen und Exerzitien auswählen&lt;/summary&gt;
                          &lt;ul&gt;
                        &lt;li&gt;&lt;input type="checkbox" name="group[16777][128]" id="mce-group[16777]-16777-6" value=""&gt;&lt;label for="mce-group[16777]-16777-6"&gt;Friedensgebet/Novene Hl. Edith Stein&lt;/label&gt;&lt;/li&gt;
                        &lt;li style="display:none"&gt;&lt;input type="checkbox" name="group[16777][32]" id="mce-group[16777]-16777-7" value="" checked&gt;&lt;label for="mce-group[16777]-16777-7"&gt;Exerzitien Online in Advent/Fastenzeit&lt;/label&gt;&lt;/li&gt;
                        &lt;li&gt;&lt;input type="checkbox" name="group[16777][16]" id="mce-group[16777]-16777-8" value=""&gt;&lt;label for="mce-group[16777]-16777-8"&gt;Novene Online zum Skapulierfest&lt;/label&gt;&lt;/li&gt;
                        &lt;li&gt;&lt;input type="checkbox" name="group[16777][8192]" id="mce-group[16777]-16777-9" value=""&gt;&lt;label for="mce-group[16777]-16777-9"&gt;33 Schritte mit Maria zu Jesus&lt;/label&gt;&lt;/li&gt;
                        &lt;li&gt;&lt;input type="checkbox" name="group[16777][4096]" id="mce-group[16777]-16777-10" value=""&gt;&lt;label for="mce-group[16777]-16777-10"&gt;Jesus-Gebet&lt;/label&gt;&lt;/li&gt;                      
                          &lt;/ul&gt;
                        &lt;/details&gt;
&lt;!--                                    &lt;div class="card-links"&gt;
              &lt;a href="#angebote-cards"&gt;Mehr Informationen zur Angebote nach unten&lt;/a&gt;
            &lt;/div&gt; --&gt;
                      &lt;/ul&gt;
                      &lt;/details&gt;
                      &lt;div hidden=""&gt;&lt;input type="hidden" name="tags" value="8501"&gt;&lt;/div&gt;
                    &lt;/div&gt;
        &lt;div id="mce-responses" class="clear"&gt;
            &lt;div class="response" id="mce-error-response" style="display: none;"&gt;&lt;/div&gt;
            &lt;div class="response" id="mce-success-response" style="display: none;"&gt;&lt;/div&gt;
        &lt;/div&gt;&lt;div style="position: absolute; left: -5000px;" aria-hidden="true"&gt;&lt;input type="text" name="b_7c9d2aa0ecc1fde64fd44bc67_10430a5833" tabindex="-1" value=""&gt;&lt;/div&gt;
        &lt;div class="clear"&gt;&lt;input type="submit" name="subscribe" id="mc-embedded-subscribe" class="button-signup" value="Anmelden"&gt;&lt;/div&gt;
&lt;/form&gt;
      &lt;/section&gt;
                &lt;/div&gt;
            &lt;/div&gt;
                      &lt;div class="datenschutz-toggle"&gt;
          &lt;a href="#datenschutz-wrap" id="datenschutz-toggle" aria-expanded="false" aria-controls="datenschutz-wrap"&gt;Datenschutz&lt;/a&gt;
                      &lt;div id="datenschutz-wrap" hidden&gt;
          &lt;p style="font-size: 14px;"&gt;Die Karmeliten in Österreich werden die Informationen, die Sie in diesem Formular angeben, dazu verwenden, mit Ihnen in Kontakt zu bleiben und Ihnen Informationen über Internet-Aktivitäten wie Exerzitien Online o.ä. zu übermitteln – je nach Ihrer Auswahl im obigen Formular.
            Sie können Ihre Meinung jederzeit ändern, indem Sie auf den Abbestellungs-Link klicken, den Sie in der Fußzeile jeder E-Mail, die Sie von uns erhalten, finden können, oder indem Sie uns unter online-exerzitien@karmel.at kontaktieren. Wir werden Ihre Informationen mit Sorgfalt und Respekt behandeln. Weitere Informationen zu unseren Datenschutzpraktiken finden Sie auf unserer Website www.karmel.at. Indem Sie unten klicken, erklären Sie sich damit einverstanden, dass wir Ihre Informationen in Übereinstimmung mit diesen Bedingungen verarbeiten dürfen.
          &lt;/p&gt;
          &lt;p style="font-size: 14px;"&gt;
  Wir nutzen Mailchimp als unsere Marketing-Plattform. Mit einem Klick auf den untenstehenden Button zum Abonnieren erklären Sie sich damit einverstanden, dass Ihre Daten zur Verarbeitung an Mailchimp übermittelt werden.&lt;/p&gt;
  &lt;a class="plain-link" href="https://mailchimp.com/legal/terms/" target="_blank" rel="noopener noreferrer" style="display:inline-block; font-size: 14px; font-weight: 200; text-decoration:none;"&gt;
      Mehr über die Datenschutzpraktiken von Mailchimp erfahren Sie hier.
  &lt;/a&gt;&lt;/div&gt;&lt;/div&gt;
          &lt;/div&gt;
        &lt;/div&gt;
      &lt;/section&gt;</v>
      </c>
      <c r="V113" s="1" t="str">
        <f>form_block_de!$A1</f>
        <v>&lt;section class="section-intro" id="abonniere"&gt;
&lt;div id="mc_embed_shell"&gt;  
&lt;div id="mc_embed_signup"&gt;
    &lt;form action="https://karmel.us6.list-manage.com/subscribe/post?u=7c9d2aa0ecc1fde64fd44bc67&amp;amp;id=10430a5833&amp;amp;f_id=009254e3f0" method="post" id="mc-embedded-subscribe-form" name="mc-embedded-subscribe-form" class="validate" target="_self" novalidate=""&gt;
        &lt;div id="mc_embed_signup_scroll"&gt;
            &lt;div class="mc-field-group"&gt;&lt;label for="mce-EMAIL"&gt;eMail Adresse&lt;span class="asterisk"&gt;* (erforderlich)&lt;/span&gt;&lt;/label&gt;
              &lt;input type="email" name="EMAIL" class="required email" id="mce-EMAIL" required="" value=""&gt;&lt;/div&gt;
              &lt;div class="mc-field-group"&gt;&lt;label for="mce-FNAME"&gt;Vorname &lt;/label&gt;
                &lt;input type="text" name="FNAME" class=" text" id="mce-FNAME" value=""&gt;&lt;/div&gt;
                &lt;div class="mc-field-group"&gt;&lt;label for="mce-LNAME"&gt;Nachname &lt;/label&gt;
                  &lt;input type="text" name="LNAME" class=" text" id="mce-LNAME" value=""&gt;&lt;/div&gt;
                                        &lt;div class="mc-field-group"&gt;&lt;label for="mce-AUFMERKS01"&gt;Wie sind Sie auf uns aufmerksam geworden? &lt;/label&gt;
                        &lt;select name="AUFMERKS01" class="" id="mce-AUFMERKS01"&gt;
                        &lt;option value="Bitte auswahlen..."&gt;Bitte auswahlen...&lt;/option&gt;
                        &lt;option value="Karmeliten in Wien"&gt;Karmeliten in Wien&lt;/option&gt;
                        &lt;option value="Karmeliten in Linz"&gt;Karmeliten in Linz&lt;/option&gt;
                        &lt;option value="Karmeliten in Graz"&gt;Karmeliten in Graz&lt;/option&gt;
                        &lt;option value="Persönliche Empfehlung"&gt;Persönliche Empfehlung&lt;/option&gt;
                        &lt;option value="Plakat"&gt;Plakat&lt;/option&gt;
                        &lt;option value="Internetsuche"&gt;Internetsuche&lt;/option&gt;
                        &lt;option value="YouTube"&gt;YouTube&lt;/option&gt;
                        &lt;option value="Facebook"&gt;Facebook&lt;/option&gt;
                        &lt;option value="Instagram"&gt;Instagram&lt;/option&gt;
                        &lt;option value="Sonstiges"&gt;Sonstiges&lt;/option&gt;&lt;/select&gt;&lt;/div&gt;
                      &lt;div class="mc-field-group" id="sonstiges-field" style="display:none"&gt;&lt;label for="mce-AUFMERKS02"&gt;Sonstiges&lt;/label&gt;
                        &lt;input type="text" name="AUFMERKS02" class=" text" id="mce-AUFMERKS02" value="" disabled&gt;&lt;span id="mce-AUFMERKS02-HELPERTEXT" class="help-block" hidden&gt;Wenn Sie „Sonstiges“ ausgewählt haben, geben Sie bitte hier &lt;/span&gt;
                      &lt;/div&gt;
                  &lt;div class="mc-field-group"&gt;&lt;label for="mce-LNAME"&gt; &lt;/label&gt;
                  &lt;/div&gt;
                    &lt;div class="mc-field-group input-group"&gt;
                      &lt;details class="interest-details"&gt;
                        &lt;summary&gt;Weitere Angebote der Karmeliten&lt;/summary&gt;
                        &lt;ul class="interest-group" style="text-align: left;"&gt;
                        &lt;li&gt;&lt;input type="checkbox" name="group[16777][64]" id="mce-group[16777]-16777-0" value=""&gt;&lt;label for="mce-group[16777]-16777-0"&gt;alle Veranstaltungen des Karmel in Österreich&lt;/label&gt;&lt;/li&gt;
                          &lt;details class="interest-details" style="padding-left: 1rem"&gt;&lt;summary&gt;Orte und Formate einschränken&lt;/summary&gt;
                            &lt;ul&gt;
                        &lt;li&gt;&lt;input type="checkbox" name="group[16777][512]" id="mce-group[16777]-16777-1" value="" &gt;&lt;label for="mce-group[16777]-16777-1"&gt;in Wien&lt;/label&gt;&lt;/li&gt;
                        &lt;li&gt;&lt;input type="checkbox" name="group[16777][1024]" id="mce-group[16777]-16777-2" value="" &gt;&lt;label for="mce-group[16777]-16777-2"&gt;in Linz&lt;/label&gt;&lt;/li&gt;
                        &lt;li&gt;&lt;input type="checkbox" name="group[16777][2048]" id="mce-group[16777]-16777-3" value="" &gt;&lt;label for="mce-group[16777]-16777-3"&gt;in Graz&lt;/label&gt;&lt;/li&gt;
                        &lt;li&gt;&lt;input type="checkbox" name="group[16777][524288]" id="mce-group[16777]-16777-4" value=""&gt;&lt;label for="mce-group[16777]-16777-4"&gt;online&lt;/label&gt;&lt;/li&gt;
                      &lt;/ul&gt;
                      &lt;/details&gt;
                        &lt;li&gt;&lt;input type="checkbox" name="group[16777][256]" id="mce-group[16777]-16777-5" value=""&gt;&lt;label for="mce-group[16777]-16777-5"&gt;Infos/Veranstaltungen der Edith Stein Gesellschaft&lt;/label&gt;&lt;/li&gt;
                        &lt;details class="interest-details" &gt;&lt;summary&gt;Novenen und Exerzitien auswählen&lt;/summary&gt;
                          &lt;ul&gt;
                        &lt;li&gt;&lt;input type="checkbox" name="group[16777][128]" id="mce-group[16777]-16777-6" value=""&gt;&lt;label for="mce-group[16777]-16777-6"&gt;Friedensgebet/Novene Hl. Edith Stein&lt;/label&gt;&lt;/li&gt;
                        &lt;li style="display:none"&gt;&lt;input type="checkbox" name="group[16777][32]" id="mce-group[16777]-16777-7" value="" checked&gt;&lt;label for="mce-group[16777]-16777-7"&gt;Exerzitien Online in Advent/Fastenzeit&lt;/label&gt;&lt;/li&gt;
                        &lt;li&gt;&lt;input type="checkbox" name="group[16777][16]" id="mce-group[16777]-16777-8" value=""&gt;&lt;label for="mce-group[16777]-16777-8"&gt;Novene Online zum Skapulierfest&lt;/label&gt;&lt;/li&gt;
                        &lt;li&gt;&lt;input type="checkbox" name="group[16777][8192]" id="mce-group[16777]-16777-9" value=""&gt;&lt;label for="mce-group[16777]-16777-9"&gt;33 Schritte mit Maria zu Jesus&lt;/label&gt;&lt;/li&gt;
                        &lt;li&gt;&lt;input type="checkbox" name="group[16777][4096]" id="mce-group[16777]-16777-10" value=""&gt;&lt;label for="mce-group[16777]-16777-10"&gt;Jesus-Gebet&lt;/label&gt;&lt;/li&gt;                      
                          &lt;/ul&gt;
                        &lt;/details&gt;
&lt;!--                                    &lt;div class="card-links"&gt;
              &lt;a href="#angebote-cards"&gt;Mehr Informationen zur Angebote nach unten&lt;/a&gt;
            &lt;/div&gt; --&gt;
                      &lt;/ul&gt;
                      &lt;/details&gt;
                      &lt;div hidden=""&gt;&lt;input type="hidden" name="tags" value="8501"&gt;&lt;/div&gt;
                    &lt;/div&gt;
        &lt;div id="mce-responses" class="clear"&gt;
            &lt;div class="response" id="mce-error-response" style="display: none;"&gt;&lt;/div&gt;
            &lt;div class="response" id="mce-success-response" style="display: none;"&gt;&lt;/div&gt;
        &lt;/div&gt;&lt;div style="position: absolute; left: -5000px;" aria-hidden="true"&gt;&lt;input type="text" name="b_7c9d2aa0ecc1fde64fd44bc67_10430a5833" tabindex="-1" value=""&gt;&lt;/div&gt;
        &lt;div class="clear"&gt;&lt;input type="submit" name="subscribe" id="mc-embedded-subscribe" class="button-signup" value="Anmelden"&gt;&lt;/div&gt;
&lt;/form&gt;
      &lt;/section&gt;
                &lt;/div&gt;
            &lt;/div&gt;
                      &lt;div class="datenschutz-toggle"&gt;
          &lt;a href="#datenschutz-wrap" id="datenschutz-toggle" aria-expanded="false" aria-controls="datenschutz-wrap"&gt;Datenschutz&lt;/a&gt;
                      &lt;div id="datenschutz-wrap" hidden&gt;
          &lt;p style="font-size: 14px;"&gt;Die Karmeliten in Österreich werden die Informationen, die Sie in diesem Formular angeben, dazu verwenden, mit Ihnen in Kontakt zu bleiben und Ihnen Informationen über Internet-Aktivitäten wie Exerzitien Online o.ä. zu übermitteln – je nach Ihrer Auswahl im obigen Formular.
            Sie können Ihre Meinung jederzeit ändern, indem Sie auf den Abbestellungs-Link klicken, den Sie in der Fußzeile jeder E-Mail, die Sie von uns erhalten, finden können, oder indem Sie uns unter online-exerzitien@karmel.at kontaktieren. Wir werden Ihre Informationen mit Sorgfalt und Respekt behandeln. Weitere Informationen zu unseren Datenschutzpraktiken finden Sie auf unserer Website www.karmel.at. Indem Sie unten klicken, erklären Sie sich damit einverstanden, dass wir Ihre Informationen in Übereinstimmung mit diesen Bedingungen verarbeiten dürfen.
          &lt;/p&gt;
          &lt;p style="font-size: 14px;"&gt;
  Wir nutzen Mailchimp als unsere Marketing-Plattform. Mit einem Klick auf den untenstehenden Button zum Abonnieren erklären Sie sich damit einverstanden, dass Ihre Daten zur Verarbeitung an Mailchimp übermittelt werden.&lt;/p&gt;
  &lt;a class="plain-link" href="https://mailchimp.com/legal/terms/" target="_blank" rel="noopener noreferrer" style="display:inline-block; font-size: 14px; font-weight: 200; text-decoration:none;"&gt;
      Mehr über die Datenschutzpraktiken von Mailchimp erfahren Sie hier.
  &lt;/a&gt;&lt;/div&gt;&lt;/div&gt;
          &lt;/div&gt;
        &lt;/div&gt;
      &lt;/section&gt;</v>
      </c>
      <c r="W113" s="1" t="str">
        <f>form_block_de!$A1</f>
        <v>&lt;section class="section-intro" id="abonniere"&gt;
&lt;div id="mc_embed_shell"&gt;  
&lt;div id="mc_embed_signup"&gt;
    &lt;form action="https://karmel.us6.list-manage.com/subscribe/post?u=7c9d2aa0ecc1fde64fd44bc67&amp;amp;id=10430a5833&amp;amp;f_id=009254e3f0" method="post" id="mc-embedded-subscribe-form" name="mc-embedded-subscribe-form" class="validate" target="_self" novalidate=""&gt;
        &lt;div id="mc_embed_signup_scroll"&gt;
            &lt;div class="mc-field-group"&gt;&lt;label for="mce-EMAIL"&gt;eMail Adresse&lt;span class="asterisk"&gt;* (erforderlich)&lt;/span&gt;&lt;/label&gt;
              &lt;input type="email" name="EMAIL" class="required email" id="mce-EMAIL" required="" value=""&gt;&lt;/div&gt;
              &lt;div class="mc-field-group"&gt;&lt;label for="mce-FNAME"&gt;Vorname &lt;/label&gt;
                &lt;input type="text" name="FNAME" class=" text" id="mce-FNAME" value=""&gt;&lt;/div&gt;
                &lt;div class="mc-field-group"&gt;&lt;label for="mce-LNAME"&gt;Nachname &lt;/label&gt;
                  &lt;input type="text" name="LNAME" class=" text" id="mce-LNAME" value=""&gt;&lt;/div&gt;
                                        &lt;div class="mc-field-group"&gt;&lt;label for="mce-AUFMERKS01"&gt;Wie sind Sie auf uns aufmerksam geworden? &lt;/label&gt;
                        &lt;select name="AUFMERKS01" class="" id="mce-AUFMERKS01"&gt;
                        &lt;option value="Bitte auswahlen..."&gt;Bitte auswahlen...&lt;/option&gt;
                        &lt;option value="Karmeliten in Wien"&gt;Karmeliten in Wien&lt;/option&gt;
                        &lt;option value="Karmeliten in Linz"&gt;Karmeliten in Linz&lt;/option&gt;
                        &lt;option value="Karmeliten in Graz"&gt;Karmeliten in Graz&lt;/option&gt;
                        &lt;option value="Persönliche Empfehlung"&gt;Persönliche Empfehlung&lt;/option&gt;
                        &lt;option value="Plakat"&gt;Plakat&lt;/option&gt;
                        &lt;option value="Internetsuche"&gt;Internetsuche&lt;/option&gt;
                        &lt;option value="YouTube"&gt;YouTube&lt;/option&gt;
                        &lt;option value="Facebook"&gt;Facebook&lt;/option&gt;
                        &lt;option value="Instagram"&gt;Instagram&lt;/option&gt;
                        &lt;option value="Sonstiges"&gt;Sonstiges&lt;/option&gt;&lt;/select&gt;&lt;/div&gt;
                      &lt;div class="mc-field-group" id="sonstiges-field" style="display:none"&gt;&lt;label for="mce-AUFMERKS02"&gt;Sonstiges&lt;/label&gt;
                        &lt;input type="text" name="AUFMERKS02" class=" text" id="mce-AUFMERKS02" value="" disabled&gt;&lt;span id="mce-AUFMERKS02-HELPERTEXT" class="help-block" hidden&gt;Wenn Sie „Sonstiges“ ausgewählt haben, geben Sie bitte hier &lt;/span&gt;
                      &lt;/div&gt;
                  &lt;div class="mc-field-group"&gt;&lt;label for="mce-LNAME"&gt; &lt;/label&gt;
                  &lt;/div&gt;
                    &lt;div class="mc-field-group input-group"&gt;
                      &lt;details class="interest-details"&gt;
                        &lt;summary&gt;Weitere Angebote der Karmeliten&lt;/summary&gt;
                        &lt;ul class="interest-group" style="text-align: left;"&gt;
                        &lt;li&gt;&lt;input type="checkbox" name="group[16777][64]" id="mce-group[16777]-16777-0" value=""&gt;&lt;label for="mce-group[16777]-16777-0"&gt;alle Veranstaltungen des Karmel in Österreich&lt;/label&gt;&lt;/li&gt;
                          &lt;details class="interest-details" style="padding-left: 1rem"&gt;&lt;summary&gt;Orte und Formate einschränken&lt;/summary&gt;
                            &lt;ul&gt;
                        &lt;li&gt;&lt;input type="checkbox" name="group[16777][512]" id="mce-group[16777]-16777-1" value="" &gt;&lt;label for="mce-group[16777]-16777-1"&gt;in Wien&lt;/label&gt;&lt;/li&gt;
                        &lt;li&gt;&lt;input type="checkbox" name="group[16777][1024]" id="mce-group[16777]-16777-2" value="" &gt;&lt;label for="mce-group[16777]-16777-2"&gt;in Linz&lt;/label&gt;&lt;/li&gt;
                        &lt;li&gt;&lt;input type="checkbox" name="group[16777][2048]" id="mce-group[16777]-16777-3" value="" &gt;&lt;label for="mce-group[16777]-16777-3"&gt;in Graz&lt;/label&gt;&lt;/li&gt;
                        &lt;li&gt;&lt;input type="checkbox" name="group[16777][524288]" id="mce-group[16777]-16777-4" value=""&gt;&lt;label for="mce-group[16777]-16777-4"&gt;online&lt;/label&gt;&lt;/li&gt;
                      &lt;/ul&gt;
                      &lt;/details&gt;
                        &lt;li&gt;&lt;input type="checkbox" name="group[16777][256]" id="mce-group[16777]-16777-5" value=""&gt;&lt;label for="mce-group[16777]-16777-5"&gt;Infos/Veranstaltungen der Edith Stein Gesellschaft&lt;/label&gt;&lt;/li&gt;
                        &lt;details class="interest-details" &gt;&lt;summary&gt;Novenen und Exerzitien auswählen&lt;/summary&gt;
                          &lt;ul&gt;
                        &lt;li&gt;&lt;input type="checkbox" name="group[16777][128]" id="mce-group[16777]-16777-6" value=""&gt;&lt;label for="mce-group[16777]-16777-6"&gt;Friedensgebet/Novene Hl. Edith Stein&lt;/label&gt;&lt;/li&gt;
                        &lt;li style="display:none"&gt;&lt;input type="checkbox" name="group[16777][32]" id="mce-group[16777]-16777-7" value="" checked&gt;&lt;label for="mce-group[16777]-16777-7"&gt;Exerzitien Online in Advent/Fastenzeit&lt;/label&gt;&lt;/li&gt;
                        &lt;li&gt;&lt;input type="checkbox" name="group[16777][16]" id="mce-group[16777]-16777-8" value=""&gt;&lt;label for="mce-group[16777]-16777-8"&gt;Novene Online zum Skapulierfest&lt;/label&gt;&lt;/li&gt;
                        &lt;li&gt;&lt;input type="checkbox" name="group[16777][8192]" id="mce-group[16777]-16777-9" value=""&gt;&lt;label for="mce-group[16777]-16777-9"&gt;33 Schritte mit Maria zu Jesus&lt;/label&gt;&lt;/li&gt;
                        &lt;li&gt;&lt;input type="checkbox" name="group[16777][4096]" id="mce-group[16777]-16777-10" value=""&gt;&lt;label for="mce-group[16777]-16777-10"&gt;Jesus-Gebet&lt;/label&gt;&lt;/li&gt;                      
                          &lt;/ul&gt;
                        &lt;/details&gt;
&lt;!--                                    &lt;div class="card-links"&gt;
              &lt;a href="#angebote-cards"&gt;Mehr Informationen zur Angebote nach unten&lt;/a&gt;
            &lt;/div&gt; --&gt;
                      &lt;/ul&gt;
                      &lt;/details&gt;
                      &lt;div hidden=""&gt;&lt;input type="hidden" name="tags" value="8501"&gt;&lt;/div&gt;
                    &lt;/div&gt;
        &lt;div id="mce-responses" class="clear"&gt;
            &lt;div class="response" id="mce-error-response" style="display: none;"&gt;&lt;/div&gt;
            &lt;div class="response" id="mce-success-response" style="display: none;"&gt;&lt;/div&gt;
        &lt;/div&gt;&lt;div style="position: absolute; left: -5000px;" aria-hidden="true"&gt;&lt;input type="text" name="b_7c9d2aa0ecc1fde64fd44bc67_10430a5833" tabindex="-1" value=""&gt;&lt;/div&gt;
        &lt;div class="clear"&gt;&lt;input type="submit" name="subscribe" id="mc-embedded-subscribe" class="button-signup" value="Anmelden"&gt;&lt;/div&gt;
&lt;/form&gt;
      &lt;/section&gt;
                &lt;/div&gt;
            &lt;/div&gt;
                      &lt;div class="datenschutz-toggle"&gt;
          &lt;a href="#datenschutz-wrap" id="datenschutz-toggle" aria-expanded="false" aria-controls="datenschutz-wrap"&gt;Datenschutz&lt;/a&gt;
                      &lt;div id="datenschutz-wrap" hidden&gt;
          &lt;p style="font-size: 14px;"&gt;Die Karmeliten in Österreich werden die Informationen, die Sie in diesem Formular angeben, dazu verwenden, mit Ihnen in Kontakt zu bleiben und Ihnen Informationen über Internet-Aktivitäten wie Exerzitien Online o.ä. zu übermitteln – je nach Ihrer Auswahl im obigen Formular.
            Sie können Ihre Meinung jederzeit ändern, indem Sie auf den Abbestellungs-Link klicken, den Sie in der Fußzeile jeder E-Mail, die Sie von uns erhalten, finden können, oder indem Sie uns unter online-exerzitien@karmel.at kontaktieren. Wir werden Ihre Informationen mit Sorgfalt und Respekt behandeln. Weitere Informationen zu unseren Datenschutzpraktiken finden Sie auf unserer Website www.karmel.at. Indem Sie unten klicken, erklären Sie sich damit einverstanden, dass wir Ihre Informationen in Übereinstimmung mit diesen Bedingungen verarbeiten dürfen.
          &lt;/p&gt;
          &lt;p style="font-size: 14px;"&gt;
  Wir nutzen Mailchimp als unsere Marketing-Plattform. Mit einem Klick auf den untenstehenden Button zum Abonnieren erklären Sie sich damit einverstanden, dass Ihre Daten zur Verarbeitung an Mailchimp übermittelt werden.&lt;/p&gt;
  &lt;a class="plain-link" href="https://mailchimp.com/legal/terms/" target="_blank" rel="noopener noreferrer" style="display:inline-block; font-size: 14px; font-weight: 200; text-decoration:none;"&gt;
      Mehr über die Datenschutzpraktiken von Mailchimp erfahren Sie hier.
  &lt;/a&gt;&lt;/div&gt;&lt;/div&gt;
          &lt;/div&gt;
        &lt;/div&gt;
      &lt;/section&gt;</v>
      </c>
      <c r="X113" s="1" t="str">
        <f>form_block_de!$A1</f>
        <v>&lt;section class="section-intro" id="abonniere"&gt;
&lt;div id="mc_embed_shell"&gt;  
&lt;div id="mc_embed_signup"&gt;
    &lt;form action="https://karmel.us6.list-manage.com/subscribe/post?u=7c9d2aa0ecc1fde64fd44bc67&amp;amp;id=10430a5833&amp;amp;f_id=009254e3f0" method="post" id="mc-embedded-subscribe-form" name="mc-embedded-subscribe-form" class="validate" target="_self" novalidate=""&gt;
        &lt;div id="mc_embed_signup_scroll"&gt;
            &lt;div class="mc-field-group"&gt;&lt;label for="mce-EMAIL"&gt;eMail Adresse&lt;span class="asterisk"&gt;* (erforderlich)&lt;/span&gt;&lt;/label&gt;
              &lt;input type="email" name="EMAIL" class="required email" id="mce-EMAIL" required="" value=""&gt;&lt;/div&gt;
              &lt;div class="mc-field-group"&gt;&lt;label for="mce-FNAME"&gt;Vorname &lt;/label&gt;
                &lt;input type="text" name="FNAME" class=" text" id="mce-FNAME" value=""&gt;&lt;/div&gt;
                &lt;div class="mc-field-group"&gt;&lt;label for="mce-LNAME"&gt;Nachname &lt;/label&gt;
                  &lt;input type="text" name="LNAME" class=" text" id="mce-LNAME" value=""&gt;&lt;/div&gt;
                                        &lt;div class="mc-field-group"&gt;&lt;label for="mce-AUFMERKS01"&gt;Wie sind Sie auf uns aufmerksam geworden? &lt;/label&gt;
                        &lt;select name="AUFMERKS01" class="" id="mce-AUFMERKS01"&gt;
                        &lt;option value="Bitte auswahlen..."&gt;Bitte auswahlen...&lt;/option&gt;
                        &lt;option value="Karmeliten in Wien"&gt;Karmeliten in Wien&lt;/option&gt;
                        &lt;option value="Karmeliten in Linz"&gt;Karmeliten in Linz&lt;/option&gt;
                        &lt;option value="Karmeliten in Graz"&gt;Karmeliten in Graz&lt;/option&gt;
                        &lt;option value="Persönliche Empfehlung"&gt;Persönliche Empfehlung&lt;/option&gt;
                        &lt;option value="Plakat"&gt;Plakat&lt;/option&gt;
                        &lt;option value="Internetsuche"&gt;Internetsuche&lt;/option&gt;
                        &lt;option value="YouTube"&gt;YouTube&lt;/option&gt;
                        &lt;option value="Facebook"&gt;Facebook&lt;/option&gt;
                        &lt;option value="Instagram"&gt;Instagram&lt;/option&gt;
                        &lt;option value="Sonstiges"&gt;Sonstiges&lt;/option&gt;&lt;/select&gt;&lt;/div&gt;
                      &lt;div class="mc-field-group" id="sonstiges-field" style="display:none"&gt;&lt;label for="mce-AUFMERKS02"&gt;Sonstiges&lt;/label&gt;
                        &lt;input type="text" name="AUFMERKS02" class=" text" id="mce-AUFMERKS02" value="" disabled&gt;&lt;span id="mce-AUFMERKS02-HELPERTEXT" class="help-block" hidden&gt;Wenn Sie „Sonstiges“ ausgewählt haben, geben Sie bitte hier &lt;/span&gt;
                      &lt;/div&gt;
                  &lt;div class="mc-field-group"&gt;&lt;label for="mce-LNAME"&gt; &lt;/label&gt;
                  &lt;/div&gt;
                    &lt;div class="mc-field-group input-group"&gt;
                      &lt;details class="interest-details"&gt;
                        &lt;summary&gt;Weitere Angebote der Karmeliten&lt;/summary&gt;
                        &lt;ul class="interest-group" style="text-align: left;"&gt;
                        &lt;li&gt;&lt;input type="checkbox" name="group[16777][64]" id="mce-group[16777]-16777-0" value=""&gt;&lt;label for="mce-group[16777]-16777-0"&gt;alle Veranstaltungen des Karmel in Österreich&lt;/label&gt;&lt;/li&gt;
                          &lt;details class="interest-details" style="padding-left: 1rem"&gt;&lt;summary&gt;Orte und Formate einschränken&lt;/summary&gt;
                            &lt;ul&gt;
                        &lt;li&gt;&lt;input type="checkbox" name="group[16777][512]" id="mce-group[16777]-16777-1" value="" &gt;&lt;label for="mce-group[16777]-16777-1"&gt;in Wien&lt;/label&gt;&lt;/li&gt;
                        &lt;li&gt;&lt;input type="checkbox" name="group[16777][1024]" id="mce-group[16777]-16777-2" value="" &gt;&lt;label for="mce-group[16777]-16777-2"&gt;in Linz&lt;/label&gt;&lt;/li&gt;
                        &lt;li&gt;&lt;input type="checkbox" name="group[16777][2048]" id="mce-group[16777]-16777-3" value="" &gt;&lt;label for="mce-group[16777]-16777-3"&gt;in Graz&lt;/label&gt;&lt;/li&gt;
                        &lt;li&gt;&lt;input type="checkbox" name="group[16777][524288]" id="mce-group[16777]-16777-4" value=""&gt;&lt;label for="mce-group[16777]-16777-4"&gt;online&lt;/label&gt;&lt;/li&gt;
                      &lt;/ul&gt;
                      &lt;/details&gt;
                        &lt;li&gt;&lt;input type="checkbox" name="group[16777][256]" id="mce-group[16777]-16777-5" value=""&gt;&lt;label for="mce-group[16777]-16777-5"&gt;Infos/Veranstaltungen der Edith Stein Gesellschaft&lt;/label&gt;&lt;/li&gt;
                        &lt;details class="interest-details" &gt;&lt;summary&gt;Novenen und Exerzitien auswählen&lt;/summary&gt;
                          &lt;ul&gt;
                        &lt;li&gt;&lt;input type="checkbox" name="group[16777][128]" id="mce-group[16777]-16777-6" value=""&gt;&lt;label for="mce-group[16777]-16777-6"&gt;Friedensgebet/Novene Hl. Edith Stein&lt;/label&gt;&lt;/li&gt;
                        &lt;li style="display:none"&gt;&lt;input type="checkbox" name="group[16777][32]" id="mce-group[16777]-16777-7" value="" checked&gt;&lt;label for="mce-group[16777]-16777-7"&gt;Exerzitien Online in Advent/Fastenzeit&lt;/label&gt;&lt;/li&gt;
                        &lt;li&gt;&lt;input type="checkbox" name="group[16777][16]" id="mce-group[16777]-16777-8" value=""&gt;&lt;label for="mce-group[16777]-16777-8"&gt;Novene Online zum Skapulierfest&lt;/label&gt;&lt;/li&gt;
                        &lt;li&gt;&lt;input type="checkbox" name="group[16777][8192]" id="mce-group[16777]-16777-9" value=""&gt;&lt;label for="mce-group[16777]-16777-9"&gt;33 Schritte mit Maria zu Jesus&lt;/label&gt;&lt;/li&gt;
                        &lt;li&gt;&lt;input type="checkbox" name="group[16777][4096]" id="mce-group[16777]-16777-10" value=""&gt;&lt;label for="mce-group[16777]-16777-10"&gt;Jesus-Gebet&lt;/label&gt;&lt;/li&gt;                      
                          &lt;/ul&gt;
                        &lt;/details&gt;
&lt;!--                                    &lt;div class="card-links"&gt;
              &lt;a href="#angebote-cards"&gt;Mehr Informationen zur Angebote nach unten&lt;/a&gt;
            &lt;/div&gt; --&gt;
                      &lt;/ul&gt;
                      &lt;/details&gt;
                      &lt;div hidden=""&gt;&lt;input type="hidden" name="tags" value="8501"&gt;&lt;/div&gt;
                    &lt;/div&gt;
        &lt;div id="mce-responses" class="clear"&gt;
            &lt;div class="response" id="mce-error-response" style="display: none;"&gt;&lt;/div&gt;
            &lt;div class="response" id="mce-success-response" style="display: none;"&gt;&lt;/div&gt;
        &lt;/div&gt;&lt;div style="position: absolute; left: -5000px;" aria-hidden="true"&gt;&lt;input type="text" name="b_7c9d2aa0ecc1fde64fd44bc67_10430a5833" tabindex="-1" value=""&gt;&lt;/div&gt;
        &lt;div class="clear"&gt;&lt;input type="submit" name="subscribe" id="mc-embedded-subscribe" class="button-signup" value="Anmelden"&gt;&lt;/div&gt;
&lt;/form&gt;
      &lt;/section&gt;
                &lt;/div&gt;
            &lt;/div&gt;
                      &lt;div class="datenschutz-toggle"&gt;
          &lt;a href="#datenschutz-wrap" id="datenschutz-toggle" aria-expanded="false" aria-controls="datenschutz-wrap"&gt;Datenschutz&lt;/a&gt;
                      &lt;div id="datenschutz-wrap" hidden&gt;
          &lt;p style="font-size: 14px;"&gt;Die Karmeliten in Österreich werden die Informationen, die Sie in diesem Formular angeben, dazu verwenden, mit Ihnen in Kontakt zu bleiben und Ihnen Informationen über Internet-Aktivitäten wie Exerzitien Online o.ä. zu übermitteln – je nach Ihrer Auswahl im obigen Formular.
            Sie können Ihre Meinung jederzeit ändern, indem Sie auf den Abbestellungs-Link klicken, den Sie in der Fußzeile jeder E-Mail, die Sie von uns erhalten, finden können, oder indem Sie uns unter online-exerzitien@karmel.at kontaktieren. Wir werden Ihre Informationen mit Sorgfalt und Respekt behandeln. Weitere Informationen zu unseren Datenschutzpraktiken finden Sie auf unserer Website www.karmel.at. Indem Sie unten klicken, erklären Sie sich damit einverstanden, dass wir Ihre Informationen in Übereinstimmung mit diesen Bedingungen verarbeiten dürfen.
          &lt;/p&gt;
          &lt;p style="font-size: 14px;"&gt;
  Wir nutzen Mailchimp als unsere Marketing-Plattform. Mit einem Klick auf den untenstehenden Button zum Abonnieren erklären Sie sich damit einverstanden, dass Ihre Daten zur Verarbeitung an Mailchimp übermittelt werden.&lt;/p&gt;
  &lt;a class="plain-link" href="https://mailchimp.com/legal/terms/" target="_blank" rel="noopener noreferrer" style="display:inline-block; font-size: 14px; font-weight: 200; text-decoration:none;"&gt;
      Mehr über die Datenschutzpraktiken von Mailchimp erfahren Sie hier.
  &lt;/a&gt;&lt;/div&gt;&lt;/div&gt;
          &lt;/div&gt;
        &lt;/div&gt;
      &lt;/section&gt;</v>
      </c>
      <c r="Y113" s="1" t="str">
        <f>form_block_de!$A1</f>
        <v>&lt;section class="section-intro" id="abonniere"&gt;
&lt;div id="mc_embed_shell"&gt;  
&lt;div id="mc_embed_signup"&gt;
    &lt;form action="https://karmel.us6.list-manage.com/subscribe/post?u=7c9d2aa0ecc1fde64fd44bc67&amp;amp;id=10430a5833&amp;amp;f_id=009254e3f0" method="post" id="mc-embedded-subscribe-form" name="mc-embedded-subscribe-form" class="validate" target="_self" novalidate=""&gt;
        &lt;div id="mc_embed_signup_scroll"&gt;
            &lt;div class="mc-field-group"&gt;&lt;label for="mce-EMAIL"&gt;eMail Adresse&lt;span class="asterisk"&gt;* (erforderlich)&lt;/span&gt;&lt;/label&gt;
              &lt;input type="email" name="EMAIL" class="required email" id="mce-EMAIL" required="" value=""&gt;&lt;/div&gt;
              &lt;div class="mc-field-group"&gt;&lt;label for="mce-FNAME"&gt;Vorname &lt;/label&gt;
                &lt;input type="text" name="FNAME" class=" text" id="mce-FNAME" value=""&gt;&lt;/div&gt;
                &lt;div class="mc-field-group"&gt;&lt;label for="mce-LNAME"&gt;Nachname &lt;/label&gt;
                  &lt;input type="text" name="LNAME" class=" text" id="mce-LNAME" value=""&gt;&lt;/div&gt;
                                        &lt;div class="mc-field-group"&gt;&lt;label for="mce-AUFMERKS01"&gt;Wie sind Sie auf uns aufmerksam geworden? &lt;/label&gt;
                        &lt;select name="AUFMERKS01" class="" id="mce-AUFMERKS01"&gt;
                        &lt;option value="Bitte auswahlen..."&gt;Bitte auswahlen...&lt;/option&gt;
                        &lt;option value="Karmeliten in Wien"&gt;Karmeliten in Wien&lt;/option&gt;
                        &lt;option value="Karmeliten in Linz"&gt;Karmeliten in Linz&lt;/option&gt;
                        &lt;option value="Karmeliten in Graz"&gt;Karmeliten in Graz&lt;/option&gt;
                        &lt;option value="Persönliche Empfehlung"&gt;Persönliche Empfehlung&lt;/option&gt;
                        &lt;option value="Plakat"&gt;Plakat&lt;/option&gt;
                        &lt;option value="Internetsuche"&gt;Internetsuche&lt;/option&gt;
                        &lt;option value="YouTube"&gt;YouTube&lt;/option&gt;
                        &lt;option value="Facebook"&gt;Facebook&lt;/option&gt;
                        &lt;option value="Instagram"&gt;Instagram&lt;/option&gt;
                        &lt;option value="Sonstiges"&gt;Sonstiges&lt;/option&gt;&lt;/select&gt;&lt;/div&gt;
                      &lt;div class="mc-field-group" id="sonstiges-field" style="display:none"&gt;&lt;label for="mce-AUFMERKS02"&gt;Sonstiges&lt;/label&gt;
                        &lt;input type="text" name="AUFMERKS02" class=" text" id="mce-AUFMERKS02" value="" disabled&gt;&lt;span id="mce-AUFMERKS02-HELPERTEXT" class="help-block" hidden&gt;Wenn Sie „Sonstiges“ ausgewählt haben, geben Sie bitte hier &lt;/span&gt;
                      &lt;/div&gt;
                  &lt;div class="mc-field-group"&gt;&lt;label for="mce-LNAME"&gt; &lt;/label&gt;
                  &lt;/div&gt;
                    &lt;div class="mc-field-group input-group"&gt;
                      &lt;details class="interest-details"&gt;
                        &lt;summary&gt;Weitere Angebote der Karmeliten&lt;/summary&gt;
                        &lt;ul class="interest-group" style="text-align: left;"&gt;
                        &lt;li&gt;&lt;input type="checkbox" name="group[16777][64]" id="mce-group[16777]-16777-0" value=""&gt;&lt;label for="mce-group[16777]-16777-0"&gt;alle Veranstaltungen des Karmel in Österreich&lt;/label&gt;&lt;/li&gt;
                          &lt;details class="interest-details" style="padding-left: 1rem"&gt;&lt;summary&gt;Orte und Formate einschränken&lt;/summary&gt;
                            &lt;ul&gt;
                        &lt;li&gt;&lt;input type="checkbox" name="group[16777][512]" id="mce-group[16777]-16777-1" value="" &gt;&lt;label for="mce-group[16777]-16777-1"&gt;in Wien&lt;/label&gt;&lt;/li&gt;
                        &lt;li&gt;&lt;input type="checkbox" name="group[16777][1024]" id="mce-group[16777]-16777-2" value="" &gt;&lt;label for="mce-group[16777]-16777-2"&gt;in Linz&lt;/label&gt;&lt;/li&gt;
                        &lt;li&gt;&lt;input type="checkbox" name="group[16777][2048]" id="mce-group[16777]-16777-3" value="" &gt;&lt;label for="mce-group[16777]-16777-3"&gt;in Graz&lt;/label&gt;&lt;/li&gt;
                        &lt;li&gt;&lt;input type="checkbox" name="group[16777][524288]" id="mce-group[16777]-16777-4" value=""&gt;&lt;label for="mce-group[16777]-16777-4"&gt;online&lt;/label&gt;&lt;/li&gt;
                      &lt;/ul&gt;
                      &lt;/details&gt;
                        &lt;li&gt;&lt;input type="checkbox" name="group[16777][256]" id="mce-group[16777]-16777-5" value=""&gt;&lt;label for="mce-group[16777]-16777-5"&gt;Infos/Veranstaltungen der Edith Stein Gesellschaft&lt;/label&gt;&lt;/li&gt;
                        &lt;details class="interest-details" &gt;&lt;summary&gt;Novenen und Exerzitien auswählen&lt;/summary&gt;
                          &lt;ul&gt;
                        &lt;li&gt;&lt;input type="checkbox" name="group[16777][128]" id="mce-group[16777]-16777-6" value=""&gt;&lt;label for="mce-group[16777]-16777-6"&gt;Friedensgebet/Novene Hl. Edith Stein&lt;/label&gt;&lt;/li&gt;
                        &lt;li style="display:none"&gt;&lt;input type="checkbox" name="group[16777][32]" id="mce-group[16777]-16777-7" value="" checked&gt;&lt;label for="mce-group[16777]-16777-7"&gt;Exerzitien Online in Advent/Fastenzeit&lt;/label&gt;&lt;/li&gt;
                        &lt;li&gt;&lt;input type="checkbox" name="group[16777][16]" id="mce-group[16777]-16777-8" value=""&gt;&lt;label for="mce-group[16777]-16777-8"&gt;Novene Online zum Skapulierfest&lt;/label&gt;&lt;/li&gt;
                        &lt;li&gt;&lt;input type="checkbox" name="group[16777][8192]" id="mce-group[16777]-16777-9" value=""&gt;&lt;label for="mce-group[16777]-16777-9"&gt;33 Schritte mit Maria zu Jesus&lt;/label&gt;&lt;/li&gt;
                        &lt;li&gt;&lt;input type="checkbox" name="group[16777][4096]" id="mce-group[16777]-16777-10" value=""&gt;&lt;label for="mce-group[16777]-16777-10"&gt;Jesus-Gebet&lt;/label&gt;&lt;/li&gt;                      
                          &lt;/ul&gt;
                        &lt;/details&gt;
&lt;!--                                    &lt;div class="card-links"&gt;
              &lt;a href="#angebote-cards"&gt;Mehr Informationen zur Angebote nach unten&lt;/a&gt;
            &lt;/div&gt; --&gt;
                      &lt;/ul&gt;
                      &lt;/details&gt;
                      &lt;div hidden=""&gt;&lt;input type="hidden" name="tags" value="8501"&gt;&lt;/div&gt;
                    &lt;/div&gt;
        &lt;div id="mce-responses" class="clear"&gt;
            &lt;div class="response" id="mce-error-response" style="display: none;"&gt;&lt;/div&gt;
            &lt;div class="response" id="mce-success-response" style="display: none;"&gt;&lt;/div&gt;
        &lt;/div&gt;&lt;div style="position: absolute; left: -5000px;" aria-hidden="true"&gt;&lt;input type="text" name="b_7c9d2aa0ecc1fde64fd44bc67_10430a5833" tabindex="-1" value=""&gt;&lt;/div&gt;
        &lt;div class="clear"&gt;&lt;input type="submit" name="subscribe" id="mc-embedded-subscribe" class="button-signup" value="Anmelden"&gt;&lt;/div&gt;
&lt;/form&gt;
      &lt;/section&gt;
                &lt;/div&gt;
            &lt;/div&gt;
                      &lt;div class="datenschutz-toggle"&gt;
          &lt;a href="#datenschutz-wrap" id="datenschutz-toggle" aria-expanded="false" aria-controls="datenschutz-wrap"&gt;Datenschutz&lt;/a&gt;
                      &lt;div id="datenschutz-wrap" hidden&gt;
          &lt;p style="font-size: 14px;"&gt;Die Karmeliten in Österreich werden die Informationen, die Sie in diesem Formular angeben, dazu verwenden, mit Ihnen in Kontakt zu bleiben und Ihnen Informationen über Internet-Aktivitäten wie Exerzitien Online o.ä. zu übermitteln – je nach Ihrer Auswahl im obigen Formular.
            Sie können Ihre Meinung jederzeit ändern, indem Sie auf den Abbestellungs-Link klicken, den Sie in der Fußzeile jeder E-Mail, die Sie von uns erhalten, finden können, oder indem Sie uns unter online-exerzitien@karmel.at kontaktieren. Wir werden Ihre Informationen mit Sorgfalt und Respekt behandeln. Weitere Informationen zu unseren Datenschutzpraktiken finden Sie auf unserer Website www.karmel.at. Indem Sie unten klicken, erklären Sie sich damit einverstanden, dass wir Ihre Informationen in Übereinstimmung mit diesen Bedingungen verarbeiten dürfen.
          &lt;/p&gt;
          &lt;p style="font-size: 14px;"&gt;
  Wir nutzen Mailchimp als unsere Marketing-Plattform. Mit einem Klick auf den untenstehenden Button zum Abonnieren erklären Sie sich damit einverstanden, dass Ihre Daten zur Verarbeitung an Mailchimp übermittelt werden.&lt;/p&gt;
  &lt;a class="plain-link" href="https://mailchimp.com/legal/terms/" target="_blank" rel="noopener noreferrer" style="display:inline-block; font-size: 14px; font-weight: 200; text-decoration:none;"&gt;
      Mehr über die Datenschutzpraktiken von Mailchimp erfahren Sie hier.
  &lt;/a&gt;&lt;/div&gt;&lt;/div&gt;
          &lt;/div&gt;
        &lt;/div&gt;
      &lt;/section&gt;</v>
      </c>
      <c r="Z113" s="1" t="str">
        <f>form_block_de!$A1</f>
        <v>&lt;section class="section-intro" id="abonniere"&gt;
&lt;div id="mc_embed_shell"&gt;  
&lt;div id="mc_embed_signup"&gt;
    &lt;form action="https://karmel.us6.list-manage.com/subscribe/post?u=7c9d2aa0ecc1fde64fd44bc67&amp;amp;id=10430a5833&amp;amp;f_id=009254e3f0" method="post" id="mc-embedded-subscribe-form" name="mc-embedded-subscribe-form" class="validate" target="_self" novalidate=""&gt;
        &lt;div id="mc_embed_signup_scroll"&gt;
            &lt;div class="mc-field-group"&gt;&lt;label for="mce-EMAIL"&gt;eMail Adresse&lt;span class="asterisk"&gt;* (erforderlich)&lt;/span&gt;&lt;/label&gt;
              &lt;input type="email" name="EMAIL" class="required email" id="mce-EMAIL" required="" value=""&gt;&lt;/div&gt;
              &lt;div class="mc-field-group"&gt;&lt;label for="mce-FNAME"&gt;Vorname &lt;/label&gt;
                &lt;input type="text" name="FNAME" class=" text" id="mce-FNAME" value=""&gt;&lt;/div&gt;
                &lt;div class="mc-field-group"&gt;&lt;label for="mce-LNAME"&gt;Nachname &lt;/label&gt;
                  &lt;input type="text" name="LNAME" class=" text" id="mce-LNAME" value=""&gt;&lt;/div&gt;
                                        &lt;div class="mc-field-group"&gt;&lt;label for="mce-AUFMERKS01"&gt;Wie sind Sie auf uns aufmerksam geworden? &lt;/label&gt;
                        &lt;select name="AUFMERKS01" class="" id="mce-AUFMERKS01"&gt;
                        &lt;option value="Bitte auswahlen..."&gt;Bitte auswahlen...&lt;/option&gt;
                        &lt;option value="Karmeliten in Wien"&gt;Karmeliten in Wien&lt;/option&gt;
                        &lt;option value="Karmeliten in Linz"&gt;Karmeliten in Linz&lt;/option&gt;
                        &lt;option value="Karmeliten in Graz"&gt;Karmeliten in Graz&lt;/option&gt;
                        &lt;option value="Persönliche Empfehlung"&gt;Persönliche Empfehlung&lt;/option&gt;
                        &lt;option value="Plakat"&gt;Plakat&lt;/option&gt;
                        &lt;option value="Internetsuche"&gt;Internetsuche&lt;/option&gt;
                        &lt;option value="YouTube"&gt;YouTube&lt;/option&gt;
                        &lt;option value="Facebook"&gt;Facebook&lt;/option&gt;
                        &lt;option value="Instagram"&gt;Instagram&lt;/option&gt;
                        &lt;option value="Sonstiges"&gt;Sonstiges&lt;/option&gt;&lt;/select&gt;&lt;/div&gt;
                      &lt;div class="mc-field-group" id="sonstiges-field" style="display:none"&gt;&lt;label for="mce-AUFMERKS02"&gt;Sonstiges&lt;/label&gt;
                        &lt;input type="text" name="AUFMERKS02" class=" text" id="mce-AUFMERKS02" value="" disabled&gt;&lt;span id="mce-AUFMERKS02-HELPERTEXT" class="help-block" hidden&gt;Wenn Sie „Sonstiges“ ausgewählt haben, geben Sie bitte hier &lt;/span&gt;
                      &lt;/div&gt;
                  &lt;div class="mc-field-group"&gt;&lt;label for="mce-LNAME"&gt; &lt;/label&gt;
                  &lt;/div&gt;
                    &lt;div class="mc-field-group input-group"&gt;
                      &lt;details class="interest-details"&gt;
                        &lt;summary&gt;Weitere Angebote der Karmeliten&lt;/summary&gt;
                        &lt;ul class="interest-group" style="text-align: left;"&gt;
                        &lt;li&gt;&lt;input type="checkbox" name="group[16777][64]" id="mce-group[16777]-16777-0" value=""&gt;&lt;label for="mce-group[16777]-16777-0"&gt;alle Veranstaltungen des Karmel in Österreich&lt;/label&gt;&lt;/li&gt;
                          &lt;details class="interest-details" style="padding-left: 1rem"&gt;&lt;summary&gt;Orte und Formate einschränken&lt;/summary&gt;
                            &lt;ul&gt;
                        &lt;li&gt;&lt;input type="checkbox" name="group[16777][512]" id="mce-group[16777]-16777-1" value="" &gt;&lt;label for="mce-group[16777]-16777-1"&gt;in Wien&lt;/label&gt;&lt;/li&gt;
                        &lt;li&gt;&lt;input type="checkbox" name="group[16777][1024]" id="mce-group[16777]-16777-2" value="" &gt;&lt;label for="mce-group[16777]-16777-2"&gt;in Linz&lt;/label&gt;&lt;/li&gt;
                        &lt;li&gt;&lt;input type="checkbox" name="group[16777][2048]" id="mce-group[16777]-16777-3" value="" &gt;&lt;label for="mce-group[16777]-16777-3"&gt;in Graz&lt;/label&gt;&lt;/li&gt;
                        &lt;li&gt;&lt;input type="checkbox" name="group[16777][524288]" id="mce-group[16777]-16777-4" value=""&gt;&lt;label for="mce-group[16777]-16777-4"&gt;online&lt;/label&gt;&lt;/li&gt;
                      &lt;/ul&gt;
                      &lt;/details&gt;
                        &lt;li&gt;&lt;input type="checkbox" name="group[16777][256]" id="mce-group[16777]-16777-5" value=""&gt;&lt;label for="mce-group[16777]-16777-5"&gt;Infos/Veranstaltungen der Edith Stein Gesellschaft&lt;/label&gt;&lt;/li&gt;
                        &lt;details class="interest-details" &gt;&lt;summary&gt;Novenen und Exerzitien auswählen&lt;/summary&gt;
                          &lt;ul&gt;
                        &lt;li&gt;&lt;input type="checkbox" name="group[16777][128]" id="mce-group[16777]-16777-6" value=""&gt;&lt;label for="mce-group[16777]-16777-6"&gt;Friedensgebet/Novene Hl. Edith Stein&lt;/label&gt;&lt;/li&gt;
                        &lt;li style="display:none"&gt;&lt;input type="checkbox" name="group[16777][32]" id="mce-group[16777]-16777-7" value="" checked&gt;&lt;label for="mce-group[16777]-16777-7"&gt;Exerzitien Online in Advent/Fastenzeit&lt;/label&gt;&lt;/li&gt;
                        &lt;li&gt;&lt;input type="checkbox" name="group[16777][16]" id="mce-group[16777]-16777-8" value=""&gt;&lt;label for="mce-group[16777]-16777-8"&gt;Novene Online zum Skapulierfest&lt;/label&gt;&lt;/li&gt;
                        &lt;li&gt;&lt;input type="checkbox" name="group[16777][8192]" id="mce-group[16777]-16777-9" value=""&gt;&lt;label for="mce-group[16777]-16777-9"&gt;33 Schritte mit Maria zu Jesus&lt;/label&gt;&lt;/li&gt;
                        &lt;li&gt;&lt;input type="checkbox" name="group[16777][4096]" id="mce-group[16777]-16777-10" value=""&gt;&lt;label for="mce-group[16777]-16777-10"&gt;Jesus-Gebet&lt;/label&gt;&lt;/li&gt;                      
                          &lt;/ul&gt;
                        &lt;/details&gt;
&lt;!--                                    &lt;div class="card-links"&gt;
              &lt;a href="#angebote-cards"&gt;Mehr Informationen zur Angebote nach unten&lt;/a&gt;
            &lt;/div&gt; --&gt;
                      &lt;/ul&gt;
                      &lt;/details&gt;
                      &lt;div hidden=""&gt;&lt;input type="hidden" name="tags" value="8501"&gt;&lt;/div&gt;
                    &lt;/div&gt;
        &lt;div id="mce-responses" class="clear"&gt;
            &lt;div class="response" id="mce-error-response" style="display: none;"&gt;&lt;/div&gt;
            &lt;div class="response" id="mce-success-response" style="display: none;"&gt;&lt;/div&gt;
        &lt;/div&gt;&lt;div style="position: absolute; left: -5000px;" aria-hidden="true"&gt;&lt;input type="text" name="b_7c9d2aa0ecc1fde64fd44bc67_10430a5833" tabindex="-1" value=""&gt;&lt;/div&gt;
        &lt;div class="clear"&gt;&lt;input type="submit" name="subscribe" id="mc-embedded-subscribe" class="button-signup" value="Anmelden"&gt;&lt;/div&gt;
&lt;/form&gt;
      &lt;/section&gt;
                &lt;/div&gt;
            &lt;/div&gt;
                      &lt;div class="datenschutz-toggle"&gt;
          &lt;a href="#datenschutz-wrap" id="datenschutz-toggle" aria-expanded="false" aria-controls="datenschutz-wrap"&gt;Datenschutz&lt;/a&gt;
                      &lt;div id="datenschutz-wrap" hidden&gt;
          &lt;p style="font-size: 14px;"&gt;Die Karmeliten in Österreich werden die Informationen, die Sie in diesem Formular angeben, dazu verwenden, mit Ihnen in Kontakt zu bleiben und Ihnen Informationen über Internet-Aktivitäten wie Exerzitien Online o.ä. zu übermitteln – je nach Ihrer Auswahl im obigen Formular.
            Sie können Ihre Meinung jederzeit ändern, indem Sie auf den Abbestellungs-Link klicken, den Sie in der Fußzeile jeder E-Mail, die Sie von uns erhalten, finden können, oder indem Sie uns unter online-exerzitien@karmel.at kontaktieren. Wir werden Ihre Informationen mit Sorgfalt und Respekt behandeln. Weitere Informationen zu unseren Datenschutzpraktiken finden Sie auf unserer Website www.karmel.at. Indem Sie unten klicken, erklären Sie sich damit einverstanden, dass wir Ihre Informationen in Übereinstimmung mit diesen Bedingungen verarbeiten dürfen.
          &lt;/p&gt;
          &lt;p style="font-size: 14px;"&gt;
  Wir nutzen Mailchimp als unsere Marketing-Plattform. Mit einem Klick auf den untenstehenden Button zum Abonnieren erklären Sie sich damit einverstanden, dass Ihre Daten zur Verarbeitung an Mailchimp übermittelt werden.&lt;/p&gt;
  &lt;a class="plain-link" href="https://mailchimp.com/legal/terms/" target="_blank" rel="noopener noreferrer" style="display:inline-block; font-size: 14px; font-weight: 200; text-decoration:none;"&gt;
      Mehr über die Datenschutzpraktiken von Mailchimp erfahren Sie hier.
  &lt;/a&gt;&lt;/div&gt;&lt;/div&gt;
          &lt;/div&gt;
        &lt;/div&gt;
      &lt;/section&gt;</v>
      </c>
      <c r="AA113" s="1" t="str">
        <f>form_block_de!$A1</f>
        <v>&lt;section class="section-intro" id="abonniere"&gt;
&lt;div id="mc_embed_shell"&gt;  
&lt;div id="mc_embed_signup"&gt;
    &lt;form action="https://karmel.us6.list-manage.com/subscribe/post?u=7c9d2aa0ecc1fde64fd44bc67&amp;amp;id=10430a5833&amp;amp;f_id=009254e3f0" method="post" id="mc-embedded-subscribe-form" name="mc-embedded-subscribe-form" class="validate" target="_self" novalidate=""&gt;
        &lt;div id="mc_embed_signup_scroll"&gt;
            &lt;div class="mc-field-group"&gt;&lt;label for="mce-EMAIL"&gt;eMail Adresse&lt;span class="asterisk"&gt;* (erforderlich)&lt;/span&gt;&lt;/label&gt;
              &lt;input type="email" name="EMAIL" class="required email" id="mce-EMAIL" required="" value=""&gt;&lt;/div&gt;
              &lt;div class="mc-field-group"&gt;&lt;label for="mce-FNAME"&gt;Vorname &lt;/label&gt;
                &lt;input type="text" name="FNAME" class=" text" id="mce-FNAME" value=""&gt;&lt;/div&gt;
                &lt;div class="mc-field-group"&gt;&lt;label for="mce-LNAME"&gt;Nachname &lt;/label&gt;
                  &lt;input type="text" name="LNAME" class=" text" id="mce-LNAME" value=""&gt;&lt;/div&gt;
                                        &lt;div class="mc-field-group"&gt;&lt;label for="mce-AUFMERKS01"&gt;Wie sind Sie auf uns aufmerksam geworden? &lt;/label&gt;
                        &lt;select name="AUFMERKS01" class="" id="mce-AUFMERKS01"&gt;
                        &lt;option value="Bitte auswahlen..."&gt;Bitte auswahlen...&lt;/option&gt;
                        &lt;option value="Karmeliten in Wien"&gt;Karmeliten in Wien&lt;/option&gt;
                        &lt;option value="Karmeliten in Linz"&gt;Karmeliten in Linz&lt;/option&gt;
                        &lt;option value="Karmeliten in Graz"&gt;Karmeliten in Graz&lt;/option&gt;
                        &lt;option value="Persönliche Empfehlung"&gt;Persönliche Empfehlung&lt;/option&gt;
                        &lt;option value="Plakat"&gt;Plakat&lt;/option&gt;
                        &lt;option value="Internetsuche"&gt;Internetsuche&lt;/option&gt;
                        &lt;option value="YouTube"&gt;YouTube&lt;/option&gt;
                        &lt;option value="Facebook"&gt;Facebook&lt;/option&gt;
                        &lt;option value="Instagram"&gt;Instagram&lt;/option&gt;
                        &lt;option value="Sonstiges"&gt;Sonstiges&lt;/option&gt;&lt;/select&gt;&lt;/div&gt;
                      &lt;div class="mc-field-group" id="sonstiges-field" style="display:none"&gt;&lt;label for="mce-AUFMERKS02"&gt;Sonstiges&lt;/label&gt;
                        &lt;input type="text" name="AUFMERKS02" class=" text" id="mce-AUFMERKS02" value="" disabled&gt;&lt;span id="mce-AUFMERKS02-HELPERTEXT" class="help-block" hidden&gt;Wenn Sie „Sonstiges“ ausgewählt haben, geben Sie bitte hier &lt;/span&gt;
                      &lt;/div&gt;
                  &lt;div class="mc-field-group"&gt;&lt;label for="mce-LNAME"&gt; &lt;/label&gt;
                  &lt;/div&gt;
                    &lt;div class="mc-field-group input-group"&gt;
                      &lt;details class="interest-details"&gt;
                        &lt;summary&gt;Weitere Angebote der Karmeliten&lt;/summary&gt;
                        &lt;ul class="interest-group" style="text-align: left;"&gt;
                        &lt;li&gt;&lt;input type="checkbox" name="group[16777][64]" id="mce-group[16777]-16777-0" value=""&gt;&lt;label for="mce-group[16777]-16777-0"&gt;alle Veranstaltungen des Karmel in Österreich&lt;/label&gt;&lt;/li&gt;
                          &lt;details class="interest-details" style="padding-left: 1rem"&gt;&lt;summary&gt;Orte und Formate einschränken&lt;/summary&gt;
                            &lt;ul&gt;
                        &lt;li&gt;&lt;input type="checkbox" name="group[16777][512]" id="mce-group[16777]-16777-1" value="" &gt;&lt;label for="mce-group[16777]-16777-1"&gt;in Wien&lt;/label&gt;&lt;/li&gt;
                        &lt;li&gt;&lt;input type="checkbox" name="group[16777][1024]" id="mce-group[16777]-16777-2" value="" &gt;&lt;label for="mce-group[16777]-16777-2"&gt;in Linz&lt;/label&gt;&lt;/li&gt;
                        &lt;li&gt;&lt;input type="checkbox" name="group[16777][2048]" id="mce-group[16777]-16777-3" value="" &gt;&lt;label for="mce-group[16777]-16777-3"&gt;in Graz&lt;/label&gt;&lt;/li&gt;
                        &lt;li&gt;&lt;input type="checkbox" name="group[16777][524288]" id="mce-group[16777]-16777-4" value=""&gt;&lt;label for="mce-group[16777]-16777-4"&gt;online&lt;/label&gt;&lt;/li&gt;
                      &lt;/ul&gt;
                      &lt;/details&gt;
                        &lt;li&gt;&lt;input type="checkbox" name="group[16777][256]" id="mce-group[16777]-16777-5" value=""&gt;&lt;label for="mce-group[16777]-16777-5"&gt;Infos/Veranstaltungen der Edith Stein Gesellschaft&lt;/label&gt;&lt;/li&gt;
                        &lt;details class="interest-details" &gt;&lt;summary&gt;Novenen und Exerzitien auswählen&lt;/summary&gt;
                          &lt;ul&gt;
                        &lt;li&gt;&lt;input type="checkbox" name="group[16777][128]" id="mce-group[16777]-16777-6" value=""&gt;&lt;label for="mce-group[16777]-16777-6"&gt;Friedensgebet/Novene Hl. Edith Stein&lt;/label&gt;&lt;/li&gt;
                        &lt;li style="display:none"&gt;&lt;input type="checkbox" name="group[16777][32]" id="mce-group[16777]-16777-7" value="" checked&gt;&lt;label for="mce-group[16777]-16777-7"&gt;Exerzitien Online in Advent/Fastenzeit&lt;/label&gt;&lt;/li&gt;
                        &lt;li&gt;&lt;input type="checkbox" name="group[16777][16]" id="mce-group[16777]-16777-8" value=""&gt;&lt;label for="mce-group[16777]-16777-8"&gt;Novene Online zum Skapulierfest&lt;/label&gt;&lt;/li&gt;
                        &lt;li&gt;&lt;input type="checkbox" name="group[16777][8192]" id="mce-group[16777]-16777-9" value=""&gt;&lt;label for="mce-group[16777]-16777-9"&gt;33 Schritte mit Maria zu Jesus&lt;/label&gt;&lt;/li&gt;
                        &lt;li&gt;&lt;input type="checkbox" name="group[16777][4096]" id="mce-group[16777]-16777-10" value=""&gt;&lt;label for="mce-group[16777]-16777-10"&gt;Jesus-Gebet&lt;/label&gt;&lt;/li&gt;                      
                          &lt;/ul&gt;
                        &lt;/details&gt;
&lt;!--                                    &lt;div class="card-links"&gt;
              &lt;a href="#angebote-cards"&gt;Mehr Informationen zur Angebote nach unten&lt;/a&gt;
            &lt;/div&gt; --&gt;
                      &lt;/ul&gt;
                      &lt;/details&gt;
                      &lt;div hidden=""&gt;&lt;input type="hidden" name="tags" value="8501"&gt;&lt;/div&gt;
                    &lt;/div&gt;
        &lt;div id="mce-responses" class="clear"&gt;
            &lt;div class="response" id="mce-error-response" style="display: none;"&gt;&lt;/div&gt;
            &lt;div class="response" id="mce-success-response" style="display: none;"&gt;&lt;/div&gt;
        &lt;/div&gt;&lt;div style="position: absolute; left: -5000px;" aria-hidden="true"&gt;&lt;input type="text" name="b_7c9d2aa0ecc1fde64fd44bc67_10430a5833" tabindex="-1" value=""&gt;&lt;/div&gt;
        &lt;div class="clear"&gt;&lt;input type="submit" name="subscribe" id="mc-embedded-subscribe" class="button-signup" value="Anmelden"&gt;&lt;/div&gt;
&lt;/form&gt;
      &lt;/section&gt;
                &lt;/div&gt;
            &lt;/div&gt;
                      &lt;div class="datenschutz-toggle"&gt;
          &lt;a href="#datenschutz-wrap" id="datenschutz-toggle" aria-expanded="false" aria-controls="datenschutz-wrap"&gt;Datenschutz&lt;/a&gt;
                      &lt;div id="datenschutz-wrap" hidden&gt;
          &lt;p style="font-size: 14px;"&gt;Die Karmeliten in Österreich werden die Informationen, die Sie in diesem Formular angeben, dazu verwenden, mit Ihnen in Kontakt zu bleiben und Ihnen Informationen über Internet-Aktivitäten wie Exerzitien Online o.ä. zu übermitteln – je nach Ihrer Auswahl im obigen Formular.
            Sie können Ihre Meinung jederzeit ändern, indem Sie auf den Abbestellungs-Link klicken, den Sie in der Fußzeile jeder E-Mail, die Sie von uns erhalten, finden können, oder indem Sie uns unter online-exerzitien@karmel.at kontaktieren. Wir werden Ihre Informationen mit Sorgfalt und Respekt behandeln. Weitere Informationen zu unseren Datenschutzpraktiken finden Sie auf unserer Website www.karmel.at. Indem Sie unten klicken, erklären Sie sich damit einverstanden, dass wir Ihre Informationen in Übereinstimmung mit diesen Bedingungen verarbeiten dürfen.
          &lt;/p&gt;
          &lt;p style="font-size: 14px;"&gt;
  Wir nutzen Mailchimp als unsere Marketing-Plattform. Mit einem Klick auf den untenstehenden Button zum Abonnieren erklären Sie sich damit einverstanden, dass Ihre Daten zur Verarbeitung an Mailchimp übermittelt werden.&lt;/p&gt;
  &lt;a class="plain-link" href="https://mailchimp.com/legal/terms/" target="_blank" rel="noopener noreferrer" style="display:inline-block; font-size: 14px; font-weight: 200; text-decoration:none;"&gt;
      Mehr über die Datenschutzpraktiken von Mailchimp erfahren Sie hier.
  &lt;/a&gt;&lt;/div&gt;&lt;/div&gt;
          &lt;/div&gt;
        &lt;/div&gt;
      &lt;/section&gt;</v>
      </c>
      <c r="AB113" s="1" t="str">
        <f>form_block_de!$A1</f>
        <v>&lt;section class="section-intro" id="abonniere"&gt;
&lt;div id="mc_embed_shell"&gt;  
&lt;div id="mc_embed_signup"&gt;
    &lt;form action="https://karmel.us6.list-manage.com/subscribe/post?u=7c9d2aa0ecc1fde64fd44bc67&amp;amp;id=10430a5833&amp;amp;f_id=009254e3f0" method="post" id="mc-embedded-subscribe-form" name="mc-embedded-subscribe-form" class="validate" target="_self" novalidate=""&gt;
        &lt;div id="mc_embed_signup_scroll"&gt;
            &lt;div class="mc-field-group"&gt;&lt;label for="mce-EMAIL"&gt;eMail Adresse&lt;span class="asterisk"&gt;* (erforderlich)&lt;/span&gt;&lt;/label&gt;
              &lt;input type="email" name="EMAIL" class="required email" id="mce-EMAIL" required="" value=""&gt;&lt;/div&gt;
              &lt;div class="mc-field-group"&gt;&lt;label for="mce-FNAME"&gt;Vorname &lt;/label&gt;
                &lt;input type="text" name="FNAME" class=" text" id="mce-FNAME" value=""&gt;&lt;/div&gt;
                &lt;div class="mc-field-group"&gt;&lt;label for="mce-LNAME"&gt;Nachname &lt;/label&gt;
                  &lt;input type="text" name="LNAME" class=" text" id="mce-LNAME" value=""&gt;&lt;/div&gt;
                                        &lt;div class="mc-field-group"&gt;&lt;label for="mce-AUFMERKS01"&gt;Wie sind Sie auf uns aufmerksam geworden? &lt;/label&gt;
                        &lt;select name="AUFMERKS01" class="" id="mce-AUFMERKS01"&gt;
                        &lt;option value="Bitte auswahlen..."&gt;Bitte auswahlen...&lt;/option&gt;
                        &lt;option value="Karmeliten in Wien"&gt;Karmeliten in Wien&lt;/option&gt;
                        &lt;option value="Karmeliten in Linz"&gt;Karmeliten in Linz&lt;/option&gt;
                        &lt;option value="Karmeliten in Graz"&gt;Karmeliten in Graz&lt;/option&gt;
                        &lt;option value="Persönliche Empfehlung"&gt;Persönliche Empfehlung&lt;/option&gt;
                        &lt;option value="Plakat"&gt;Plakat&lt;/option&gt;
                        &lt;option value="Internetsuche"&gt;Internetsuche&lt;/option&gt;
                        &lt;option value="YouTube"&gt;YouTube&lt;/option&gt;
                        &lt;option value="Facebook"&gt;Facebook&lt;/option&gt;
                        &lt;option value="Instagram"&gt;Instagram&lt;/option&gt;
                        &lt;option value="Sonstiges"&gt;Sonstiges&lt;/option&gt;&lt;/select&gt;&lt;/div&gt;
                      &lt;div class="mc-field-group" id="sonstiges-field" style="display:none"&gt;&lt;label for="mce-AUFMERKS02"&gt;Sonstiges&lt;/label&gt;
                        &lt;input type="text" name="AUFMERKS02" class=" text" id="mce-AUFMERKS02" value="" disabled&gt;&lt;span id="mce-AUFMERKS02-HELPERTEXT" class="help-block" hidden&gt;Wenn Sie „Sonstiges“ ausgewählt haben, geben Sie bitte hier &lt;/span&gt;
                      &lt;/div&gt;
                  &lt;div class="mc-field-group"&gt;&lt;label for="mce-LNAME"&gt; &lt;/label&gt;
                  &lt;/div&gt;
                    &lt;div class="mc-field-group input-group"&gt;
                      &lt;details class="interest-details"&gt;
                        &lt;summary&gt;Weitere Angebote der Karmeliten&lt;/summary&gt;
                        &lt;ul class="interest-group" style="text-align: left;"&gt;
                        &lt;li&gt;&lt;input type="checkbox" name="group[16777][64]" id="mce-group[16777]-16777-0" value=""&gt;&lt;label for="mce-group[16777]-16777-0"&gt;alle Veranstaltungen des Karmel in Österreich&lt;/label&gt;&lt;/li&gt;
                          &lt;details class="interest-details" style="padding-left: 1rem"&gt;&lt;summary&gt;Orte und Formate einschränken&lt;/summary&gt;
                            &lt;ul&gt;
                        &lt;li&gt;&lt;input type="checkbox" name="group[16777][512]" id="mce-group[16777]-16777-1" value="" &gt;&lt;label for="mce-group[16777]-16777-1"&gt;in Wien&lt;/label&gt;&lt;/li&gt;
                        &lt;li&gt;&lt;input type="checkbox" name="group[16777][1024]" id="mce-group[16777]-16777-2" value="" &gt;&lt;label for="mce-group[16777]-16777-2"&gt;in Linz&lt;/label&gt;&lt;/li&gt;
                        &lt;li&gt;&lt;input type="checkbox" name="group[16777][2048]" id="mce-group[16777]-16777-3" value="" &gt;&lt;label for="mce-group[16777]-16777-3"&gt;in Graz&lt;/label&gt;&lt;/li&gt;
                        &lt;li&gt;&lt;input type="checkbox" name="group[16777][524288]" id="mce-group[16777]-16777-4" value=""&gt;&lt;label for="mce-group[16777]-16777-4"&gt;online&lt;/label&gt;&lt;/li&gt;
                      &lt;/ul&gt;
                      &lt;/details&gt;
                        &lt;li&gt;&lt;input type="checkbox" name="group[16777][256]" id="mce-group[16777]-16777-5" value=""&gt;&lt;label for="mce-group[16777]-16777-5"&gt;Infos/Veranstaltungen der Edith Stein Gesellschaft&lt;/label&gt;&lt;/li&gt;
                        &lt;details class="interest-details" &gt;&lt;summary&gt;Novenen und Exerzitien auswählen&lt;/summary&gt;
                          &lt;ul&gt;
                        &lt;li&gt;&lt;input type="checkbox" name="group[16777][128]" id="mce-group[16777]-16777-6" value=""&gt;&lt;label for="mce-group[16777]-16777-6"&gt;Friedensgebet/Novene Hl. Edith Stein&lt;/label&gt;&lt;/li&gt;
                        &lt;li style="display:none"&gt;&lt;input type="checkbox" name="group[16777][32]" id="mce-group[16777]-16777-7" value="" checked&gt;&lt;label for="mce-group[16777]-16777-7"&gt;Exerzitien Online in Advent/Fastenzeit&lt;/label&gt;&lt;/li&gt;
                        &lt;li&gt;&lt;input type="checkbox" name="group[16777][16]" id="mce-group[16777]-16777-8" value=""&gt;&lt;label for="mce-group[16777]-16777-8"&gt;Novene Online zum Skapulierfest&lt;/label&gt;&lt;/li&gt;
                        &lt;li&gt;&lt;input type="checkbox" name="group[16777][8192]" id="mce-group[16777]-16777-9" value=""&gt;&lt;label for="mce-group[16777]-16777-9"&gt;33 Schritte mit Maria zu Jesus&lt;/label&gt;&lt;/li&gt;
                        &lt;li&gt;&lt;input type="checkbox" name="group[16777][4096]" id="mce-group[16777]-16777-10" value=""&gt;&lt;label for="mce-group[16777]-16777-10"&gt;Jesus-Gebet&lt;/label&gt;&lt;/li&gt;                      
                          &lt;/ul&gt;
                        &lt;/details&gt;
&lt;!--                                    &lt;div class="card-links"&gt;
              &lt;a href="#angebote-cards"&gt;Mehr Informationen zur Angebote nach unten&lt;/a&gt;
            &lt;/div&gt; --&gt;
                      &lt;/ul&gt;
                      &lt;/details&gt;
                      &lt;div hidden=""&gt;&lt;input type="hidden" name="tags" value="8501"&gt;&lt;/div&gt;
                    &lt;/div&gt;
        &lt;div id="mce-responses" class="clear"&gt;
            &lt;div class="response" id="mce-error-response" style="display: none;"&gt;&lt;/div&gt;
            &lt;div class="response" id="mce-success-response" style="display: none;"&gt;&lt;/div&gt;
        &lt;/div&gt;&lt;div style="position: absolute; left: -5000px;" aria-hidden="true"&gt;&lt;input type="text" name="b_7c9d2aa0ecc1fde64fd44bc67_10430a5833" tabindex="-1" value=""&gt;&lt;/div&gt;
        &lt;div class="clear"&gt;&lt;input type="submit" name="subscribe" id="mc-embedded-subscribe" class="button-signup" value="Anmelden"&gt;&lt;/div&gt;
&lt;/form&gt;
      &lt;/section&gt;
                &lt;/div&gt;
            &lt;/div&gt;
                      &lt;div class="datenschutz-toggle"&gt;
          &lt;a href="#datenschutz-wrap" id="datenschutz-toggle" aria-expanded="false" aria-controls="datenschutz-wrap"&gt;Datenschutz&lt;/a&gt;
                      &lt;div id="datenschutz-wrap" hidden&gt;
          &lt;p style="font-size: 14px;"&gt;Die Karmeliten in Österreich werden die Informationen, die Sie in diesem Formular angeben, dazu verwenden, mit Ihnen in Kontakt zu bleiben und Ihnen Informationen über Internet-Aktivitäten wie Exerzitien Online o.ä. zu übermitteln – je nach Ihrer Auswahl im obigen Formular.
            Sie können Ihre Meinung jederzeit ändern, indem Sie auf den Abbestellungs-Link klicken, den Sie in der Fußzeile jeder E-Mail, die Sie von uns erhalten, finden können, oder indem Sie uns unter online-exerzitien@karmel.at kontaktieren. Wir werden Ihre Informationen mit Sorgfalt und Respekt behandeln. Weitere Informationen zu unseren Datenschutzpraktiken finden Sie auf unserer Website www.karmel.at. Indem Sie unten klicken, erklären Sie sich damit einverstanden, dass wir Ihre Informationen in Übereinstimmung mit diesen Bedingungen verarbeiten dürfen.
          &lt;/p&gt;
          &lt;p style="font-size: 14px;"&gt;
  Wir nutzen Mailchimp als unsere Marketing-Plattform. Mit einem Klick auf den untenstehenden Button zum Abonnieren erklären Sie sich damit einverstanden, dass Ihre Daten zur Verarbeitung an Mailchimp übermittelt werden.&lt;/p&gt;
  &lt;a class="plain-link" href="https://mailchimp.com/legal/terms/" target="_blank" rel="noopener noreferrer" style="display:inline-block; font-size: 14px; font-weight: 200; text-decoration:none;"&gt;
      Mehr über die Datenschutzpraktiken von Mailchimp erfahren Sie hier.
  &lt;/a&gt;&lt;/div&gt;&lt;/div&gt;
          &lt;/div&gt;
        &lt;/div&gt;
      &lt;/section&gt;</v>
      </c>
      <c r="AC113" s="1" t="str">
        <f>form_block_de!$A1</f>
        <v>&lt;section class="section-intro" id="abonniere"&gt;
&lt;div id="mc_embed_shell"&gt;  
&lt;div id="mc_embed_signup"&gt;
    &lt;form action="https://karmel.us6.list-manage.com/subscribe/post?u=7c9d2aa0ecc1fde64fd44bc67&amp;amp;id=10430a5833&amp;amp;f_id=009254e3f0" method="post" id="mc-embedded-subscribe-form" name="mc-embedded-subscribe-form" class="validate" target="_self" novalidate=""&gt;
        &lt;div id="mc_embed_signup_scroll"&gt;
            &lt;div class="mc-field-group"&gt;&lt;label for="mce-EMAIL"&gt;eMail Adresse&lt;span class="asterisk"&gt;* (erforderlich)&lt;/span&gt;&lt;/label&gt;
              &lt;input type="email" name="EMAIL" class="required email" id="mce-EMAIL" required="" value=""&gt;&lt;/div&gt;
              &lt;div class="mc-field-group"&gt;&lt;label for="mce-FNAME"&gt;Vorname &lt;/label&gt;
                &lt;input type="text" name="FNAME" class=" text" id="mce-FNAME" value=""&gt;&lt;/div&gt;
                &lt;div class="mc-field-group"&gt;&lt;label for="mce-LNAME"&gt;Nachname &lt;/label&gt;
                  &lt;input type="text" name="LNAME" class=" text" id="mce-LNAME" value=""&gt;&lt;/div&gt;
                                        &lt;div class="mc-field-group"&gt;&lt;label for="mce-AUFMERKS01"&gt;Wie sind Sie auf uns aufmerksam geworden? &lt;/label&gt;
                        &lt;select name="AUFMERKS01" class="" id="mce-AUFMERKS01"&gt;
                        &lt;option value="Bitte auswahlen..."&gt;Bitte auswahlen...&lt;/option&gt;
                        &lt;option value="Karmeliten in Wien"&gt;Karmeliten in Wien&lt;/option&gt;
                        &lt;option value="Karmeliten in Linz"&gt;Karmeliten in Linz&lt;/option&gt;
                        &lt;option value="Karmeliten in Graz"&gt;Karmeliten in Graz&lt;/option&gt;
                        &lt;option value="Persönliche Empfehlung"&gt;Persönliche Empfehlung&lt;/option&gt;
                        &lt;option value="Plakat"&gt;Plakat&lt;/option&gt;
                        &lt;option value="Internetsuche"&gt;Internetsuche&lt;/option&gt;
                        &lt;option value="YouTube"&gt;YouTube&lt;/option&gt;
                        &lt;option value="Facebook"&gt;Facebook&lt;/option&gt;
                        &lt;option value="Instagram"&gt;Instagram&lt;/option&gt;
                        &lt;option value="Sonstiges"&gt;Sonstiges&lt;/option&gt;&lt;/select&gt;&lt;/div&gt;
                      &lt;div class="mc-field-group" id="sonstiges-field" style="display:none"&gt;&lt;label for="mce-AUFMERKS02"&gt;Sonstiges&lt;/label&gt;
                        &lt;input type="text" name="AUFMERKS02" class=" text" id="mce-AUFMERKS02" value="" disabled&gt;&lt;span id="mce-AUFMERKS02-HELPERTEXT" class="help-block" hidden&gt;Wenn Sie „Sonstiges“ ausgewählt haben, geben Sie bitte hier &lt;/span&gt;
                      &lt;/div&gt;
                  &lt;div class="mc-field-group"&gt;&lt;label for="mce-LNAME"&gt; &lt;/label&gt;
                  &lt;/div&gt;
                    &lt;div class="mc-field-group input-group"&gt;
                      &lt;details class="interest-details"&gt;
                        &lt;summary&gt;Weitere Angebote der Karmeliten&lt;/summary&gt;
                        &lt;ul class="interest-group" style="text-align: left;"&gt;
                        &lt;li&gt;&lt;input type="checkbox" name="group[16777][64]" id="mce-group[16777]-16777-0" value=""&gt;&lt;label for="mce-group[16777]-16777-0"&gt;alle Veranstaltungen des Karmel in Österreich&lt;/label&gt;&lt;/li&gt;
                          &lt;details class="interest-details" style="padding-left: 1rem"&gt;&lt;summary&gt;Orte und Formate einschränken&lt;/summary&gt;
                            &lt;ul&gt;
                        &lt;li&gt;&lt;input type="checkbox" name="group[16777][512]" id="mce-group[16777]-16777-1" value="" &gt;&lt;label for="mce-group[16777]-16777-1"&gt;in Wien&lt;/label&gt;&lt;/li&gt;
                        &lt;li&gt;&lt;input type="checkbox" name="group[16777][1024]" id="mce-group[16777]-16777-2" value="" &gt;&lt;label for="mce-group[16777]-16777-2"&gt;in Linz&lt;/label&gt;&lt;/li&gt;
                        &lt;li&gt;&lt;input type="checkbox" name="group[16777][2048]" id="mce-group[16777]-16777-3" value="" &gt;&lt;label for="mce-group[16777]-16777-3"&gt;in Graz&lt;/label&gt;&lt;/li&gt;
                        &lt;li&gt;&lt;input type="checkbox" name="group[16777][524288]" id="mce-group[16777]-16777-4" value=""&gt;&lt;label for="mce-group[16777]-16777-4"&gt;online&lt;/label&gt;&lt;/li&gt;
                      &lt;/ul&gt;
                      &lt;/details&gt;
                        &lt;li&gt;&lt;input type="checkbox" name="group[16777][256]" id="mce-group[16777]-16777-5" value=""&gt;&lt;label for="mce-group[16777]-16777-5"&gt;Infos/Veranstaltungen der Edith Stein Gesellschaft&lt;/label&gt;&lt;/li&gt;
                        &lt;details class="interest-details" &gt;&lt;summary&gt;Novenen und Exerzitien auswählen&lt;/summary&gt;
                          &lt;ul&gt;
                        &lt;li&gt;&lt;input type="checkbox" name="group[16777][128]" id="mce-group[16777]-16777-6" value=""&gt;&lt;label for="mce-group[16777]-16777-6"&gt;Friedensgebet/Novene Hl. Edith Stein&lt;/label&gt;&lt;/li&gt;
                        &lt;li style="display:none"&gt;&lt;input type="checkbox" name="group[16777][32]" id="mce-group[16777]-16777-7" value="" checked&gt;&lt;label for="mce-group[16777]-16777-7"&gt;Exerzitien Online in Advent/Fastenzeit&lt;/label&gt;&lt;/li&gt;
                        &lt;li&gt;&lt;input type="checkbox" name="group[16777][16]" id="mce-group[16777]-16777-8" value=""&gt;&lt;label for="mce-group[16777]-16777-8"&gt;Novene Online zum Skapulierfest&lt;/label&gt;&lt;/li&gt;
                        &lt;li&gt;&lt;input type="checkbox" name="group[16777][8192]" id="mce-group[16777]-16777-9" value=""&gt;&lt;label for="mce-group[16777]-16777-9"&gt;33 Schritte mit Maria zu Jesus&lt;/label&gt;&lt;/li&gt;
                        &lt;li&gt;&lt;input type="checkbox" name="group[16777][4096]" id="mce-group[16777]-16777-10" value=""&gt;&lt;label for="mce-group[16777]-16777-10"&gt;Jesus-Gebet&lt;/label&gt;&lt;/li&gt;                      
                          &lt;/ul&gt;
                        &lt;/details&gt;
&lt;!--                                    &lt;div class="card-links"&gt;
              &lt;a href="#angebote-cards"&gt;Mehr Informationen zur Angebote nach unten&lt;/a&gt;
            &lt;/div&gt; --&gt;
                      &lt;/ul&gt;
                      &lt;/details&gt;
                      &lt;div hidden=""&gt;&lt;input type="hidden" name="tags" value="8501"&gt;&lt;/div&gt;
                    &lt;/div&gt;
        &lt;div id="mce-responses" class="clear"&gt;
            &lt;div class="response" id="mce-error-response" style="display: none;"&gt;&lt;/div&gt;
            &lt;div class="response" id="mce-success-response" style="display: none;"&gt;&lt;/div&gt;
        &lt;/div&gt;&lt;div style="position: absolute; left: -5000px;" aria-hidden="true"&gt;&lt;input type="text" name="b_7c9d2aa0ecc1fde64fd44bc67_10430a5833" tabindex="-1" value=""&gt;&lt;/div&gt;
        &lt;div class="clear"&gt;&lt;input type="submit" name="subscribe" id="mc-embedded-subscribe" class="button-signup" value="Anmelden"&gt;&lt;/div&gt;
&lt;/form&gt;
      &lt;/section&gt;
                &lt;/div&gt;
            &lt;/div&gt;
                      &lt;div class="datenschutz-toggle"&gt;
          &lt;a href="#datenschutz-wrap" id="datenschutz-toggle" aria-expanded="false" aria-controls="datenschutz-wrap"&gt;Datenschutz&lt;/a&gt;
                      &lt;div id="datenschutz-wrap" hidden&gt;
          &lt;p style="font-size: 14px;"&gt;Die Karmeliten in Österreich werden die Informationen, die Sie in diesem Formular angeben, dazu verwenden, mit Ihnen in Kontakt zu bleiben und Ihnen Informationen über Internet-Aktivitäten wie Exerzitien Online o.ä. zu übermitteln – je nach Ihrer Auswahl im obigen Formular.
            Sie können Ihre Meinung jederzeit ändern, indem Sie auf den Abbestellungs-Link klicken, den Sie in der Fußzeile jeder E-Mail, die Sie von uns erhalten, finden können, oder indem Sie uns unter online-exerzitien@karmel.at kontaktieren. Wir werden Ihre Informationen mit Sorgfalt und Respekt behandeln. Weitere Informationen zu unseren Datenschutzpraktiken finden Sie auf unserer Website www.karmel.at. Indem Sie unten klicken, erklären Sie sich damit einverstanden, dass wir Ihre Informationen in Übereinstimmung mit diesen Bedingungen verarbeiten dürfen.
          &lt;/p&gt;
          &lt;p style="font-size: 14px;"&gt;
  Wir nutzen Mailchimp als unsere Marketing-Plattform. Mit einem Klick auf den untenstehenden Button zum Abonnieren erklären Sie sich damit einverstanden, dass Ihre Daten zur Verarbeitung an Mailchimp übermittelt werden.&lt;/p&gt;
  &lt;a class="plain-link" href="https://mailchimp.com/legal/terms/" target="_blank" rel="noopener noreferrer" style="display:inline-block; font-size: 14px; font-weight: 200; text-decoration:none;"&gt;
      Mehr über die Datenschutzpraktiken von Mailchimp erfahren Sie hier.
  &lt;/a&gt;&lt;/div&gt;&lt;/div&gt;
          &lt;/div&gt;
        &lt;/div&gt;
      &lt;/section&gt;</v>
      </c>
      <c r="AD113" s="1" t="str">
        <f>form_block_de!$A1</f>
        <v>&lt;section class="section-intro" id="abonniere"&gt;
&lt;div id="mc_embed_shell"&gt;  
&lt;div id="mc_embed_signup"&gt;
    &lt;form action="https://karmel.us6.list-manage.com/subscribe/post?u=7c9d2aa0ecc1fde64fd44bc67&amp;amp;id=10430a5833&amp;amp;f_id=009254e3f0" method="post" id="mc-embedded-subscribe-form" name="mc-embedded-subscribe-form" class="validate" target="_self" novalidate=""&gt;
        &lt;div id="mc_embed_signup_scroll"&gt;
            &lt;div class="mc-field-group"&gt;&lt;label for="mce-EMAIL"&gt;eMail Adresse&lt;span class="asterisk"&gt;* (erforderlich)&lt;/span&gt;&lt;/label&gt;
              &lt;input type="email" name="EMAIL" class="required email" id="mce-EMAIL" required="" value=""&gt;&lt;/div&gt;
              &lt;div class="mc-field-group"&gt;&lt;label for="mce-FNAME"&gt;Vorname &lt;/label&gt;
                &lt;input type="text" name="FNAME" class=" text" id="mce-FNAME" value=""&gt;&lt;/div&gt;
                &lt;div class="mc-field-group"&gt;&lt;label for="mce-LNAME"&gt;Nachname &lt;/label&gt;
                  &lt;input type="text" name="LNAME" class=" text" id="mce-LNAME" value=""&gt;&lt;/div&gt;
                                        &lt;div class="mc-field-group"&gt;&lt;label for="mce-AUFMERKS01"&gt;Wie sind Sie auf uns aufmerksam geworden? &lt;/label&gt;
                        &lt;select name="AUFMERKS01" class="" id="mce-AUFMERKS01"&gt;
                        &lt;option value="Bitte auswahlen..."&gt;Bitte auswahlen...&lt;/option&gt;
                        &lt;option value="Karmeliten in Wien"&gt;Karmeliten in Wien&lt;/option&gt;
                        &lt;option value="Karmeliten in Linz"&gt;Karmeliten in Linz&lt;/option&gt;
                        &lt;option value="Karmeliten in Graz"&gt;Karmeliten in Graz&lt;/option&gt;
                        &lt;option value="Persönliche Empfehlung"&gt;Persönliche Empfehlung&lt;/option&gt;
                        &lt;option value="Plakat"&gt;Plakat&lt;/option&gt;
                        &lt;option value="Internetsuche"&gt;Internetsuche&lt;/option&gt;
                        &lt;option value="YouTube"&gt;YouTube&lt;/option&gt;
                        &lt;option value="Facebook"&gt;Facebook&lt;/option&gt;
                        &lt;option value="Instagram"&gt;Instagram&lt;/option&gt;
                        &lt;option value="Sonstiges"&gt;Sonstiges&lt;/option&gt;&lt;/select&gt;&lt;/div&gt;
                      &lt;div class="mc-field-group" id="sonstiges-field" style="display:none"&gt;&lt;label for="mce-AUFMERKS02"&gt;Sonstiges&lt;/label&gt;
                        &lt;input type="text" name="AUFMERKS02" class=" text" id="mce-AUFMERKS02" value="" disabled&gt;&lt;span id="mce-AUFMERKS02-HELPERTEXT" class="help-block" hidden&gt;Wenn Sie „Sonstiges“ ausgewählt haben, geben Sie bitte hier &lt;/span&gt;
                      &lt;/div&gt;
                  &lt;div class="mc-field-group"&gt;&lt;label for="mce-LNAME"&gt; &lt;/label&gt;
                  &lt;/div&gt;
                    &lt;div class="mc-field-group input-group"&gt;
                      &lt;details class="interest-details"&gt;
                        &lt;summary&gt;Weitere Angebote der Karmeliten&lt;/summary&gt;
                        &lt;ul class="interest-group" style="text-align: left;"&gt;
                        &lt;li&gt;&lt;input type="checkbox" name="group[16777][64]" id="mce-group[16777]-16777-0" value=""&gt;&lt;label for="mce-group[16777]-16777-0"&gt;alle Veranstaltungen des Karmel in Österreich&lt;/label&gt;&lt;/li&gt;
                          &lt;details class="interest-details" style="padding-left: 1rem"&gt;&lt;summary&gt;Orte und Formate einschränken&lt;/summary&gt;
                            &lt;ul&gt;
                        &lt;li&gt;&lt;input type="checkbox" name="group[16777][512]" id="mce-group[16777]-16777-1" value="" &gt;&lt;label for="mce-group[16777]-16777-1"&gt;in Wien&lt;/label&gt;&lt;/li&gt;
                        &lt;li&gt;&lt;input type="checkbox" name="group[16777][1024]" id="mce-group[16777]-16777-2" value="" &gt;&lt;label for="mce-group[16777]-16777-2"&gt;in Linz&lt;/label&gt;&lt;/li&gt;
                        &lt;li&gt;&lt;input type="checkbox" name="group[16777][2048]" id="mce-group[16777]-16777-3" value="" &gt;&lt;label for="mce-group[16777]-16777-3"&gt;in Graz&lt;/label&gt;&lt;/li&gt;
                        &lt;li&gt;&lt;input type="checkbox" name="group[16777][524288]" id="mce-group[16777]-16777-4" value=""&gt;&lt;label for="mce-group[16777]-16777-4"&gt;online&lt;/label&gt;&lt;/li&gt;
                      &lt;/ul&gt;
                      &lt;/details&gt;
                        &lt;li&gt;&lt;input type="checkbox" name="group[16777][256]" id="mce-group[16777]-16777-5" value=""&gt;&lt;label for="mce-group[16777]-16777-5"&gt;Infos/Veranstaltungen der Edith Stein Gesellschaft&lt;/label&gt;&lt;/li&gt;
                        &lt;details class="interest-details" &gt;&lt;summary&gt;Novenen und Exerzitien auswählen&lt;/summary&gt;
                          &lt;ul&gt;
                        &lt;li&gt;&lt;input type="checkbox" name="group[16777][128]" id="mce-group[16777]-16777-6" value=""&gt;&lt;label for="mce-group[16777]-16777-6"&gt;Friedensgebet/Novene Hl. Edith Stein&lt;/label&gt;&lt;/li&gt;
                        &lt;li style="display:none"&gt;&lt;input type="checkbox" name="group[16777][32]" id="mce-group[16777]-16777-7" value="" checked&gt;&lt;label for="mce-group[16777]-16777-7"&gt;Exerzitien Online in Advent/Fastenzeit&lt;/label&gt;&lt;/li&gt;
                        &lt;li&gt;&lt;input type="checkbox" name="group[16777][16]" id="mce-group[16777]-16777-8" value=""&gt;&lt;label for="mce-group[16777]-16777-8"&gt;Novene Online zum Skapulierfest&lt;/label&gt;&lt;/li&gt;
                        &lt;li&gt;&lt;input type="checkbox" name="group[16777][8192]" id="mce-group[16777]-16777-9" value=""&gt;&lt;label for="mce-group[16777]-16777-9"&gt;33 Schritte mit Maria zu Jesus&lt;/label&gt;&lt;/li&gt;
                        &lt;li&gt;&lt;input type="checkbox" name="group[16777][4096]" id="mce-group[16777]-16777-10" value=""&gt;&lt;label for="mce-group[16777]-16777-10"&gt;Jesus-Gebet&lt;/label&gt;&lt;/li&gt;                      
                          &lt;/ul&gt;
                        &lt;/details&gt;
&lt;!--                                    &lt;div class="card-links"&gt;
              &lt;a href="#angebote-cards"&gt;Mehr Informationen zur Angebote nach unten&lt;/a&gt;
            &lt;/div&gt; --&gt;
                      &lt;/ul&gt;
                      &lt;/details&gt;
                      &lt;div hidden=""&gt;&lt;input type="hidden" name="tags" value="8501"&gt;&lt;/div&gt;
                    &lt;/div&gt;
        &lt;div id="mce-responses" class="clear"&gt;
            &lt;div class="response" id="mce-error-response" style="display: none;"&gt;&lt;/div&gt;
            &lt;div class="response" id="mce-success-response" style="display: none;"&gt;&lt;/div&gt;
        &lt;/div&gt;&lt;div style="position: absolute; left: -5000px;" aria-hidden="true"&gt;&lt;input type="text" name="b_7c9d2aa0ecc1fde64fd44bc67_10430a5833" tabindex="-1" value=""&gt;&lt;/div&gt;
        &lt;div class="clear"&gt;&lt;input type="submit" name="subscribe" id="mc-embedded-subscribe" class="button-signup" value="Anmelden"&gt;&lt;/div&gt;
&lt;/form&gt;
      &lt;/section&gt;
                &lt;/div&gt;
            &lt;/div&gt;
                      &lt;div class="datenschutz-toggle"&gt;
          &lt;a href="#datenschutz-wrap" id="datenschutz-toggle" aria-expanded="false" aria-controls="datenschutz-wrap"&gt;Datenschutz&lt;/a&gt;
                      &lt;div id="datenschutz-wrap" hidden&gt;
          &lt;p style="font-size: 14px;"&gt;Die Karmeliten in Österreich werden die Informationen, die Sie in diesem Formular angeben, dazu verwenden, mit Ihnen in Kontakt zu bleiben und Ihnen Informationen über Internet-Aktivitäten wie Exerzitien Online o.ä. zu übermitteln – je nach Ihrer Auswahl im obigen Formular.
            Sie können Ihre Meinung jederzeit ändern, indem Sie auf den Abbestellungs-Link klicken, den Sie in der Fußzeile jeder E-Mail, die Sie von uns erhalten, finden können, oder indem Sie uns unter online-exerzitien@karmel.at kontaktieren. Wir werden Ihre Informationen mit Sorgfalt und Respekt behandeln. Weitere Informationen zu unseren Datenschutzpraktiken finden Sie auf unserer Website www.karmel.at. Indem Sie unten klicken, erklären Sie sich damit einverstanden, dass wir Ihre Informationen in Übereinstimmung mit diesen Bedingungen verarbeiten dürfen.
          &lt;/p&gt;
          &lt;p style="font-size: 14px;"&gt;
  Wir nutzen Mailchimp als unsere Marketing-Plattform. Mit einem Klick auf den untenstehenden Button zum Abonnieren erklären Sie sich damit einverstanden, dass Ihre Daten zur Verarbeitung an Mailchimp übermittelt werden.&lt;/p&gt;
  &lt;a class="plain-link" href="https://mailchimp.com/legal/terms/" target="_blank" rel="noopener noreferrer" style="display:inline-block; font-size: 14px; font-weight: 200; text-decoration:none;"&gt;
      Mehr über die Datenschutzpraktiken von Mailchimp erfahren Sie hier.
  &lt;/a&gt;&lt;/div&gt;&lt;/div&gt;
          &lt;/div&gt;
        &lt;/div&gt;
      &lt;/section&gt;</v>
      </c>
      <c r="AE113" s="1" t="str">
        <f>form_block_de!$A1</f>
        <v>&lt;section class="section-intro" id="abonniere"&gt;
&lt;div id="mc_embed_shell"&gt;  
&lt;div id="mc_embed_signup"&gt;
    &lt;form action="https://karmel.us6.list-manage.com/subscribe/post?u=7c9d2aa0ecc1fde64fd44bc67&amp;amp;id=10430a5833&amp;amp;f_id=009254e3f0" method="post" id="mc-embedded-subscribe-form" name="mc-embedded-subscribe-form" class="validate" target="_self" novalidate=""&gt;
        &lt;div id="mc_embed_signup_scroll"&gt;
            &lt;div class="mc-field-group"&gt;&lt;label for="mce-EMAIL"&gt;eMail Adresse&lt;span class="asterisk"&gt;* (erforderlich)&lt;/span&gt;&lt;/label&gt;
              &lt;input type="email" name="EMAIL" class="required email" id="mce-EMAIL" required="" value=""&gt;&lt;/div&gt;
              &lt;div class="mc-field-group"&gt;&lt;label for="mce-FNAME"&gt;Vorname &lt;/label&gt;
                &lt;input type="text" name="FNAME" class=" text" id="mce-FNAME" value=""&gt;&lt;/div&gt;
                &lt;div class="mc-field-group"&gt;&lt;label for="mce-LNAME"&gt;Nachname &lt;/label&gt;
                  &lt;input type="text" name="LNAME" class=" text" id="mce-LNAME" value=""&gt;&lt;/div&gt;
                                        &lt;div class="mc-field-group"&gt;&lt;label for="mce-AUFMERKS01"&gt;Wie sind Sie auf uns aufmerksam geworden? &lt;/label&gt;
                        &lt;select name="AUFMERKS01" class="" id="mce-AUFMERKS01"&gt;
                        &lt;option value="Bitte auswahlen..."&gt;Bitte auswahlen...&lt;/option&gt;
                        &lt;option value="Karmeliten in Wien"&gt;Karmeliten in Wien&lt;/option&gt;
                        &lt;option value="Karmeliten in Linz"&gt;Karmeliten in Linz&lt;/option&gt;
                        &lt;option value="Karmeliten in Graz"&gt;Karmeliten in Graz&lt;/option&gt;
                        &lt;option value="Persönliche Empfehlung"&gt;Persönliche Empfehlung&lt;/option&gt;
                        &lt;option value="Plakat"&gt;Plakat&lt;/option&gt;
                        &lt;option value="Internetsuche"&gt;Internetsuche&lt;/option&gt;
                        &lt;option value="YouTube"&gt;YouTube&lt;/option&gt;
                        &lt;option value="Facebook"&gt;Facebook&lt;/option&gt;
                        &lt;option value="Instagram"&gt;Instagram&lt;/option&gt;
                        &lt;option value="Sonstiges"&gt;Sonstiges&lt;/option&gt;&lt;/select&gt;&lt;/div&gt;
                      &lt;div class="mc-field-group" id="sonstiges-field" style="display:none"&gt;&lt;label for="mce-AUFMERKS02"&gt;Sonstiges&lt;/label&gt;
                        &lt;input type="text" name="AUFMERKS02" class=" text" id="mce-AUFMERKS02" value="" disabled&gt;&lt;span id="mce-AUFMERKS02-HELPERTEXT" class="help-block" hidden&gt;Wenn Sie „Sonstiges“ ausgewählt haben, geben Sie bitte hier &lt;/span&gt;
                      &lt;/div&gt;
                  &lt;div class="mc-field-group"&gt;&lt;label for="mce-LNAME"&gt; &lt;/label&gt;
                  &lt;/div&gt;
                    &lt;div class="mc-field-group input-group"&gt;
                      &lt;details class="interest-details"&gt;
                        &lt;summary&gt;Weitere Angebote der Karmeliten&lt;/summary&gt;
                        &lt;ul class="interest-group" style="text-align: left;"&gt;
                        &lt;li&gt;&lt;input type="checkbox" name="group[16777][64]" id="mce-group[16777]-16777-0" value=""&gt;&lt;label for="mce-group[16777]-16777-0"&gt;alle Veranstaltungen des Karmel in Österreich&lt;/label&gt;&lt;/li&gt;
                          &lt;details class="interest-details" style="padding-left: 1rem"&gt;&lt;summary&gt;Orte und Formate einschränken&lt;/summary&gt;
                            &lt;ul&gt;
                        &lt;li&gt;&lt;input type="checkbox" name="group[16777][512]" id="mce-group[16777]-16777-1" value="" &gt;&lt;label for="mce-group[16777]-16777-1"&gt;in Wien&lt;/label&gt;&lt;/li&gt;
                        &lt;li&gt;&lt;input type="checkbox" name="group[16777][1024]" id="mce-group[16777]-16777-2" value="" &gt;&lt;label for="mce-group[16777]-16777-2"&gt;in Linz&lt;/label&gt;&lt;/li&gt;
                        &lt;li&gt;&lt;input type="checkbox" name="group[16777][2048]" id="mce-group[16777]-16777-3" value="" &gt;&lt;label for="mce-group[16777]-16777-3"&gt;in Graz&lt;/label&gt;&lt;/li&gt;
                        &lt;li&gt;&lt;input type="checkbox" name="group[16777][524288]" id="mce-group[16777]-16777-4" value=""&gt;&lt;label for="mce-group[16777]-16777-4"&gt;online&lt;/label&gt;&lt;/li&gt;
                      &lt;/ul&gt;
                      &lt;/details&gt;
                        &lt;li&gt;&lt;input type="checkbox" name="group[16777][256]" id="mce-group[16777]-16777-5" value=""&gt;&lt;label for="mce-group[16777]-16777-5"&gt;Infos/Veranstaltungen der Edith Stein Gesellschaft&lt;/label&gt;&lt;/li&gt;
                        &lt;details class="interest-details" &gt;&lt;summary&gt;Novenen und Exerzitien auswählen&lt;/summary&gt;
                          &lt;ul&gt;
                        &lt;li&gt;&lt;input type="checkbox" name="group[16777][128]" id="mce-group[16777]-16777-6" value=""&gt;&lt;label for="mce-group[16777]-16777-6"&gt;Friedensgebet/Novene Hl. Edith Stein&lt;/label&gt;&lt;/li&gt;
                        &lt;li style="display:none"&gt;&lt;input type="checkbox" name="group[16777][32]" id="mce-group[16777]-16777-7" value="" checked&gt;&lt;label for="mce-group[16777]-16777-7"&gt;Exerzitien Online in Advent/Fastenzeit&lt;/label&gt;&lt;/li&gt;
                        &lt;li&gt;&lt;input type="checkbox" name="group[16777][16]" id="mce-group[16777]-16777-8" value=""&gt;&lt;label for="mce-group[16777]-16777-8"&gt;Novene Online zum Skapulierfest&lt;/label&gt;&lt;/li&gt;
                        &lt;li&gt;&lt;input type="checkbox" name="group[16777][8192]" id="mce-group[16777]-16777-9" value=""&gt;&lt;label for="mce-group[16777]-16777-9"&gt;33 Schritte mit Maria zu Jesus&lt;/label&gt;&lt;/li&gt;
                        &lt;li&gt;&lt;input type="checkbox" name="group[16777][4096]" id="mce-group[16777]-16777-10" value=""&gt;&lt;label for="mce-group[16777]-16777-10"&gt;Jesus-Gebet&lt;/label&gt;&lt;/li&gt;                      
                          &lt;/ul&gt;
                        &lt;/details&gt;
&lt;!--                                    &lt;div class="card-links"&gt;
              &lt;a href="#angebote-cards"&gt;Mehr Informationen zur Angebote nach unten&lt;/a&gt;
            &lt;/div&gt; --&gt;
                      &lt;/ul&gt;
                      &lt;/details&gt;
                      &lt;div hidden=""&gt;&lt;input type="hidden" name="tags" value="8501"&gt;&lt;/div&gt;
                    &lt;/div&gt;
        &lt;div id="mce-responses" class="clear"&gt;
            &lt;div class="response" id="mce-error-response" style="display: none;"&gt;&lt;/div&gt;
            &lt;div class="response" id="mce-success-response" style="display: none;"&gt;&lt;/div&gt;
        &lt;/div&gt;&lt;div style="position: absolute; left: -5000px;" aria-hidden="true"&gt;&lt;input type="text" name="b_7c9d2aa0ecc1fde64fd44bc67_10430a5833" tabindex="-1" value=""&gt;&lt;/div&gt;
        &lt;div class="clear"&gt;&lt;input type="submit" name="subscribe" id="mc-embedded-subscribe" class="button-signup" value="Anmelden"&gt;&lt;/div&gt;
&lt;/form&gt;
      &lt;/section&gt;
                &lt;/div&gt;
            &lt;/div&gt;
                      &lt;div class="datenschutz-toggle"&gt;
          &lt;a href="#datenschutz-wrap" id="datenschutz-toggle" aria-expanded="false" aria-controls="datenschutz-wrap"&gt;Datenschutz&lt;/a&gt;
                      &lt;div id="datenschutz-wrap" hidden&gt;
          &lt;p style="font-size: 14px;"&gt;Die Karmeliten in Österreich werden die Informationen, die Sie in diesem Formular angeben, dazu verwenden, mit Ihnen in Kontakt zu bleiben und Ihnen Informationen über Internet-Aktivitäten wie Exerzitien Online o.ä. zu übermitteln – je nach Ihrer Auswahl im obigen Formular.
            Sie können Ihre Meinung jederzeit ändern, indem Sie auf den Abbestellungs-Link klicken, den Sie in der Fußzeile jeder E-Mail, die Sie von uns erhalten, finden können, oder indem Sie uns unter online-exerzitien@karmel.at kontaktieren. Wir werden Ihre Informationen mit Sorgfalt und Respekt behandeln. Weitere Informationen zu unseren Datenschutzpraktiken finden Sie auf unserer Website www.karmel.at. Indem Sie unten klicken, erklären Sie sich damit einverstanden, dass wir Ihre Informationen in Übereinstimmung mit diesen Bedingungen verarbeiten dürfen.
          &lt;/p&gt;
          &lt;p style="font-size: 14px;"&gt;
  Wir nutzen Mailchimp als unsere Marketing-Plattform. Mit einem Klick auf den untenstehenden Button zum Abonnieren erklären Sie sich damit einverstanden, dass Ihre Daten zur Verarbeitung an Mailchimp übermittelt werden.&lt;/p&gt;
  &lt;a class="plain-link" href="https://mailchimp.com/legal/terms/" target="_blank" rel="noopener noreferrer" style="display:inline-block; font-size: 14px; font-weight: 200; text-decoration:none;"&gt;
      Mehr über die Datenschutzpraktiken von Mailchimp erfahren Sie hier.
  &lt;/a&gt;&lt;/div&gt;&lt;/div&gt;
          &lt;/div&gt;
        &lt;/div&gt;
      &lt;/section&gt;</v>
      </c>
      <c r="AF113" s="1" t="str">
        <f>form_block_de!$A1</f>
        <v>&lt;section class="section-intro" id="abonniere"&gt;
&lt;div id="mc_embed_shell"&gt;  
&lt;div id="mc_embed_signup"&gt;
    &lt;form action="https://karmel.us6.list-manage.com/subscribe/post?u=7c9d2aa0ecc1fde64fd44bc67&amp;amp;id=10430a5833&amp;amp;f_id=009254e3f0" method="post" id="mc-embedded-subscribe-form" name="mc-embedded-subscribe-form" class="validate" target="_self" novalidate=""&gt;
        &lt;div id="mc_embed_signup_scroll"&gt;
            &lt;div class="mc-field-group"&gt;&lt;label for="mce-EMAIL"&gt;eMail Adresse&lt;span class="asterisk"&gt;* (erforderlich)&lt;/span&gt;&lt;/label&gt;
              &lt;input type="email" name="EMAIL" class="required email" id="mce-EMAIL" required="" value=""&gt;&lt;/div&gt;
              &lt;div class="mc-field-group"&gt;&lt;label for="mce-FNAME"&gt;Vorname &lt;/label&gt;
                &lt;input type="text" name="FNAME" class=" text" id="mce-FNAME" value=""&gt;&lt;/div&gt;
                &lt;div class="mc-field-group"&gt;&lt;label for="mce-LNAME"&gt;Nachname &lt;/label&gt;
                  &lt;input type="text" name="LNAME" class=" text" id="mce-LNAME" value=""&gt;&lt;/div&gt;
                                        &lt;div class="mc-field-group"&gt;&lt;label for="mce-AUFMERKS01"&gt;Wie sind Sie auf uns aufmerksam geworden? &lt;/label&gt;
                        &lt;select name="AUFMERKS01" class="" id="mce-AUFMERKS01"&gt;
                        &lt;option value="Bitte auswahlen..."&gt;Bitte auswahlen...&lt;/option&gt;
                        &lt;option value="Karmeliten in Wien"&gt;Karmeliten in Wien&lt;/option&gt;
                        &lt;option value="Karmeliten in Linz"&gt;Karmeliten in Linz&lt;/option&gt;
                        &lt;option value="Karmeliten in Graz"&gt;Karmeliten in Graz&lt;/option&gt;
                        &lt;option value="Persönliche Empfehlung"&gt;Persönliche Empfehlung&lt;/option&gt;
                        &lt;option value="Plakat"&gt;Plakat&lt;/option&gt;
                        &lt;option value="Internetsuche"&gt;Internetsuche&lt;/option&gt;
                        &lt;option value="YouTube"&gt;YouTube&lt;/option&gt;
                        &lt;option value="Facebook"&gt;Facebook&lt;/option&gt;
                        &lt;option value="Instagram"&gt;Instagram&lt;/option&gt;
                        &lt;option value="Sonstiges"&gt;Sonstiges&lt;/option&gt;&lt;/select&gt;&lt;/div&gt;
                      &lt;div class="mc-field-group" id="sonstiges-field" style="display:none"&gt;&lt;label for="mce-AUFMERKS02"&gt;Sonstiges&lt;/label&gt;
                        &lt;input type="text" name="AUFMERKS02" class=" text" id="mce-AUFMERKS02" value="" disabled&gt;&lt;span id="mce-AUFMERKS02-HELPERTEXT" class="help-block" hidden&gt;Wenn Sie „Sonstiges“ ausgewählt haben, geben Sie bitte hier &lt;/span&gt;
                      &lt;/div&gt;
                  &lt;div class="mc-field-group"&gt;&lt;label for="mce-LNAME"&gt; &lt;/label&gt;
                  &lt;/div&gt;
                    &lt;div class="mc-field-group input-group"&gt;
                      &lt;details class="interest-details"&gt;
                        &lt;summary&gt;Weitere Angebote der Karmeliten&lt;/summary&gt;
                        &lt;ul class="interest-group" style="text-align: left;"&gt;
                        &lt;li&gt;&lt;input type="checkbox" name="group[16777][64]" id="mce-group[16777]-16777-0" value=""&gt;&lt;label for="mce-group[16777]-16777-0"&gt;alle Veranstaltungen des Karmel in Österreich&lt;/label&gt;&lt;/li&gt;
                          &lt;details class="interest-details" style="padding-left: 1rem"&gt;&lt;summary&gt;Orte und Formate einschränken&lt;/summary&gt;
                            &lt;ul&gt;
                        &lt;li&gt;&lt;input type="checkbox" name="group[16777][512]" id="mce-group[16777]-16777-1" value="" &gt;&lt;label for="mce-group[16777]-16777-1"&gt;in Wien&lt;/label&gt;&lt;/li&gt;
                        &lt;li&gt;&lt;input type="checkbox" name="group[16777][1024]" id="mce-group[16777]-16777-2" value="" &gt;&lt;label for="mce-group[16777]-16777-2"&gt;in Linz&lt;/label&gt;&lt;/li&gt;
                        &lt;li&gt;&lt;input type="checkbox" name="group[16777][2048]" id="mce-group[16777]-16777-3" value="" &gt;&lt;label for="mce-group[16777]-16777-3"&gt;in Graz&lt;/label&gt;&lt;/li&gt;
                        &lt;li&gt;&lt;input type="checkbox" name="group[16777][524288]" id="mce-group[16777]-16777-4" value=""&gt;&lt;label for="mce-group[16777]-16777-4"&gt;online&lt;/label&gt;&lt;/li&gt;
                      &lt;/ul&gt;
                      &lt;/details&gt;
                        &lt;li&gt;&lt;input type="checkbox" name="group[16777][256]" id="mce-group[16777]-16777-5" value=""&gt;&lt;label for="mce-group[16777]-16777-5"&gt;Infos/Veranstaltungen der Edith Stein Gesellschaft&lt;/label&gt;&lt;/li&gt;
                        &lt;details class="interest-details" &gt;&lt;summary&gt;Novenen und Exerzitien auswählen&lt;/summary&gt;
                          &lt;ul&gt;
                        &lt;li&gt;&lt;input type="checkbox" name="group[16777][128]" id="mce-group[16777]-16777-6" value=""&gt;&lt;label for="mce-group[16777]-16777-6"&gt;Friedensgebet/Novene Hl. Edith Stein&lt;/label&gt;&lt;/li&gt;
                        &lt;li style="display:none"&gt;&lt;input type="checkbox" name="group[16777][32]" id="mce-group[16777]-16777-7" value="" checked&gt;&lt;label for="mce-group[16777]-16777-7"&gt;Exerzitien Online in Advent/Fastenzeit&lt;/label&gt;&lt;/li&gt;
                        &lt;li&gt;&lt;input type="checkbox" name="group[16777][16]" id="mce-group[16777]-16777-8" value=""&gt;&lt;label for="mce-group[16777]-16777-8"&gt;Novene Online zum Skapulierfest&lt;/label&gt;&lt;/li&gt;
                        &lt;li&gt;&lt;input type="checkbox" name="group[16777][8192]" id="mce-group[16777]-16777-9" value=""&gt;&lt;label for="mce-group[16777]-16777-9"&gt;33 Schritte mit Maria zu Jesus&lt;/label&gt;&lt;/li&gt;
                        &lt;li&gt;&lt;input type="checkbox" name="group[16777][4096]" id="mce-group[16777]-16777-10" value=""&gt;&lt;label for="mce-group[16777]-16777-10"&gt;Jesus-Gebet&lt;/label&gt;&lt;/li&gt;                      
                          &lt;/ul&gt;
                        &lt;/details&gt;
&lt;!--                                    &lt;div class="card-links"&gt;
              &lt;a href="#angebote-cards"&gt;Mehr Informationen zur Angebote nach unten&lt;/a&gt;
            &lt;/div&gt; --&gt;
                      &lt;/ul&gt;
                      &lt;/details&gt;
                      &lt;div hidden=""&gt;&lt;input type="hidden" name="tags" value="8501"&gt;&lt;/div&gt;
                    &lt;/div&gt;
        &lt;div id="mce-responses" class="clear"&gt;
            &lt;div class="response" id="mce-error-response" style="display: none;"&gt;&lt;/div&gt;
            &lt;div class="response" id="mce-success-response" style="display: none;"&gt;&lt;/div&gt;
        &lt;/div&gt;&lt;div style="position: absolute; left: -5000px;" aria-hidden="true"&gt;&lt;input type="text" name="b_7c9d2aa0ecc1fde64fd44bc67_10430a5833" tabindex="-1" value=""&gt;&lt;/div&gt;
        &lt;div class="clear"&gt;&lt;input type="submit" name="subscribe" id="mc-embedded-subscribe" class="button-signup" value="Anmelden"&gt;&lt;/div&gt;
&lt;/form&gt;
      &lt;/section&gt;
                &lt;/div&gt;
            &lt;/div&gt;
                      &lt;div class="datenschutz-toggle"&gt;
          &lt;a href="#datenschutz-wrap" id="datenschutz-toggle" aria-expanded="false" aria-controls="datenschutz-wrap"&gt;Datenschutz&lt;/a&gt;
                      &lt;div id="datenschutz-wrap" hidden&gt;
          &lt;p style="font-size: 14px;"&gt;Die Karmeliten in Österreich werden die Informationen, die Sie in diesem Formular angeben, dazu verwenden, mit Ihnen in Kontakt zu bleiben und Ihnen Informationen über Internet-Aktivitäten wie Exerzitien Online o.ä. zu übermitteln – je nach Ihrer Auswahl im obigen Formular.
            Sie können Ihre Meinung jederzeit ändern, indem Sie auf den Abbestellungs-Link klicken, den Sie in der Fußzeile jeder E-Mail, die Sie von uns erhalten, finden können, oder indem Sie uns unter online-exerzitien@karmel.at kontaktieren. Wir werden Ihre Informationen mit Sorgfalt und Respekt behandeln. Weitere Informationen zu unseren Datenschutzpraktiken finden Sie auf unserer Website www.karmel.at. Indem Sie unten klicken, erklären Sie sich damit einverstanden, dass wir Ihre Informationen in Übereinstimmung mit diesen Bedingungen verarbeiten dürfen.
          &lt;/p&gt;
          &lt;p style="font-size: 14px;"&gt;
  Wir nutzen Mailchimp als unsere Marketing-Plattform. Mit einem Klick auf den untenstehenden Button zum Abonnieren erklären Sie sich damit einverstanden, dass Ihre Daten zur Verarbeitung an Mailchimp übermittelt werden.&lt;/p&gt;
  &lt;a class="plain-link" href="https://mailchimp.com/legal/terms/" target="_blank" rel="noopener noreferrer" style="display:inline-block; font-size: 14px; font-weight: 200; text-decoration:none;"&gt;
      Mehr über die Datenschutzpraktiken von Mailchimp erfahren Sie hier.
  &lt;/a&gt;&lt;/div&gt;&lt;/div&gt;
          &lt;/div&gt;
        &lt;/div&gt;
      &lt;/section&gt;</v>
      </c>
      <c r="AG113" s="1" t="str">
        <f>form_block_de!$A1</f>
        <v>&lt;section class="section-intro" id="abonniere"&gt;
&lt;div id="mc_embed_shell"&gt;  
&lt;div id="mc_embed_signup"&gt;
    &lt;form action="https://karmel.us6.list-manage.com/subscribe/post?u=7c9d2aa0ecc1fde64fd44bc67&amp;amp;id=10430a5833&amp;amp;f_id=009254e3f0" method="post" id="mc-embedded-subscribe-form" name="mc-embedded-subscribe-form" class="validate" target="_self" novalidate=""&gt;
        &lt;div id="mc_embed_signup_scroll"&gt;
            &lt;div class="mc-field-group"&gt;&lt;label for="mce-EMAIL"&gt;eMail Adresse&lt;span class="asterisk"&gt;* (erforderlich)&lt;/span&gt;&lt;/label&gt;
              &lt;input type="email" name="EMAIL" class="required email" id="mce-EMAIL" required="" value=""&gt;&lt;/div&gt;
              &lt;div class="mc-field-group"&gt;&lt;label for="mce-FNAME"&gt;Vorname &lt;/label&gt;
                &lt;input type="text" name="FNAME" class=" text" id="mce-FNAME" value=""&gt;&lt;/div&gt;
                &lt;div class="mc-field-group"&gt;&lt;label for="mce-LNAME"&gt;Nachname &lt;/label&gt;
                  &lt;input type="text" name="LNAME" class=" text" id="mce-LNAME" value=""&gt;&lt;/div&gt;
                                        &lt;div class="mc-field-group"&gt;&lt;label for="mce-AUFMERKS01"&gt;Wie sind Sie auf uns aufmerksam geworden? &lt;/label&gt;
                        &lt;select name="AUFMERKS01" class="" id="mce-AUFMERKS01"&gt;
                        &lt;option value="Bitte auswahlen..."&gt;Bitte auswahlen...&lt;/option&gt;
                        &lt;option value="Karmeliten in Wien"&gt;Karmeliten in Wien&lt;/option&gt;
                        &lt;option value="Karmeliten in Linz"&gt;Karmeliten in Linz&lt;/option&gt;
                        &lt;option value="Karmeliten in Graz"&gt;Karmeliten in Graz&lt;/option&gt;
                        &lt;option value="Persönliche Empfehlung"&gt;Persönliche Empfehlung&lt;/option&gt;
                        &lt;option value="Plakat"&gt;Plakat&lt;/option&gt;
                        &lt;option value="Internetsuche"&gt;Internetsuche&lt;/option&gt;
                        &lt;option value="YouTube"&gt;YouTube&lt;/option&gt;
                        &lt;option value="Facebook"&gt;Facebook&lt;/option&gt;
                        &lt;option value="Instagram"&gt;Instagram&lt;/option&gt;
                        &lt;option value="Sonstiges"&gt;Sonstiges&lt;/option&gt;&lt;/select&gt;&lt;/div&gt;
                      &lt;div class="mc-field-group" id="sonstiges-field" style="display:none"&gt;&lt;label for="mce-AUFMERKS02"&gt;Sonstiges&lt;/label&gt;
                        &lt;input type="text" name="AUFMERKS02" class=" text" id="mce-AUFMERKS02" value="" disabled&gt;&lt;span id="mce-AUFMERKS02-HELPERTEXT" class="help-block" hidden&gt;Wenn Sie „Sonstiges“ ausgewählt haben, geben Sie bitte hier &lt;/span&gt;
                      &lt;/div&gt;
                  &lt;div class="mc-field-group"&gt;&lt;label for="mce-LNAME"&gt; &lt;/label&gt;
                  &lt;/div&gt;
                    &lt;div class="mc-field-group input-group"&gt;
                      &lt;details class="interest-details"&gt;
                        &lt;summary&gt;Weitere Angebote der Karmeliten&lt;/summary&gt;
                        &lt;ul class="interest-group" style="text-align: left;"&gt;
                        &lt;li&gt;&lt;input type="checkbox" name="group[16777][64]" id="mce-group[16777]-16777-0" value=""&gt;&lt;label for="mce-group[16777]-16777-0"&gt;alle Veranstaltungen des Karmel in Österreich&lt;/label&gt;&lt;/li&gt;
                          &lt;details class="interest-details" style="padding-left: 1rem"&gt;&lt;summary&gt;Orte und Formate einschränken&lt;/summary&gt;
                            &lt;ul&gt;
                        &lt;li&gt;&lt;input type="checkbox" name="group[16777][512]" id="mce-group[16777]-16777-1" value="" &gt;&lt;label for="mce-group[16777]-16777-1"&gt;in Wien&lt;/label&gt;&lt;/li&gt;
                        &lt;li&gt;&lt;input type="checkbox" name="group[16777][1024]" id="mce-group[16777]-16777-2" value="" &gt;&lt;label for="mce-group[16777]-16777-2"&gt;in Linz&lt;/label&gt;&lt;/li&gt;
                        &lt;li&gt;&lt;input type="checkbox" name="group[16777][2048]" id="mce-group[16777]-16777-3" value="" &gt;&lt;label for="mce-group[16777]-16777-3"&gt;in Graz&lt;/label&gt;&lt;/li&gt;
                        &lt;li&gt;&lt;input type="checkbox" name="group[16777][524288]" id="mce-group[16777]-16777-4" value=""&gt;&lt;label for="mce-group[16777]-16777-4"&gt;online&lt;/label&gt;&lt;/li&gt;
                      &lt;/ul&gt;
                      &lt;/details&gt;
                        &lt;li&gt;&lt;input type="checkbox" name="group[16777][256]" id="mce-group[16777]-16777-5" value=""&gt;&lt;label for="mce-group[16777]-16777-5"&gt;Infos/Veranstaltungen der Edith Stein Gesellschaft&lt;/label&gt;&lt;/li&gt;
                        &lt;details class="interest-details" &gt;&lt;summary&gt;Novenen und Exerzitien auswählen&lt;/summary&gt;
                          &lt;ul&gt;
                        &lt;li&gt;&lt;input type="checkbox" name="group[16777][128]" id="mce-group[16777]-16777-6" value=""&gt;&lt;label for="mce-group[16777]-16777-6"&gt;Friedensgebet/Novene Hl. Edith Stein&lt;/label&gt;&lt;/li&gt;
                        &lt;li style="display:none"&gt;&lt;input type="checkbox" name="group[16777][32]" id="mce-group[16777]-16777-7" value="" checked&gt;&lt;label for="mce-group[16777]-16777-7"&gt;Exerzitien Online in Advent/Fastenzeit&lt;/label&gt;&lt;/li&gt;
                        &lt;li&gt;&lt;input type="checkbox" name="group[16777][16]" id="mce-group[16777]-16777-8" value=""&gt;&lt;label for="mce-group[16777]-16777-8"&gt;Novene Online zum Skapulierfest&lt;/label&gt;&lt;/li&gt;
                        &lt;li&gt;&lt;input type="checkbox" name="group[16777][8192]" id="mce-group[16777]-16777-9" value=""&gt;&lt;label for="mce-group[16777]-16777-9"&gt;33 Schritte mit Maria zu Jesus&lt;/label&gt;&lt;/li&gt;
                        &lt;li&gt;&lt;input type="checkbox" name="group[16777][4096]" id="mce-group[16777]-16777-10" value=""&gt;&lt;label for="mce-group[16777]-16777-10"&gt;Jesus-Gebet&lt;/label&gt;&lt;/li&gt;                      
                          &lt;/ul&gt;
                        &lt;/details&gt;
&lt;!--                                    &lt;div class="card-links"&gt;
              &lt;a href="#angebote-cards"&gt;Mehr Informationen zur Angebote nach unten&lt;/a&gt;
            &lt;/div&gt; --&gt;
                      &lt;/ul&gt;
                      &lt;/details&gt;
                      &lt;div hidden=""&gt;&lt;input type="hidden" name="tags" value="8501"&gt;&lt;/div&gt;
                    &lt;/div&gt;
        &lt;div id="mce-responses" class="clear"&gt;
            &lt;div class="response" id="mce-error-response" style="display: none;"&gt;&lt;/div&gt;
            &lt;div class="response" id="mce-success-response" style="display: none;"&gt;&lt;/div&gt;
        &lt;/div&gt;&lt;div style="position: absolute; left: -5000px;" aria-hidden="true"&gt;&lt;input type="text" name="b_7c9d2aa0ecc1fde64fd44bc67_10430a5833" tabindex="-1" value=""&gt;&lt;/div&gt;
        &lt;div class="clear"&gt;&lt;input type="submit" name="subscribe" id="mc-embedded-subscribe" class="button-signup" value="Anmelden"&gt;&lt;/div&gt;
&lt;/form&gt;
      &lt;/section&gt;
                &lt;/div&gt;
            &lt;/div&gt;
                      &lt;div class="datenschutz-toggle"&gt;
          &lt;a href="#datenschutz-wrap" id="datenschutz-toggle" aria-expanded="false" aria-controls="datenschutz-wrap"&gt;Datenschutz&lt;/a&gt;
                      &lt;div id="datenschutz-wrap" hidden&gt;
          &lt;p style="font-size: 14px;"&gt;Die Karmeliten in Österreich werden die Informationen, die Sie in diesem Formular angeben, dazu verwenden, mit Ihnen in Kontakt zu bleiben und Ihnen Informationen über Internet-Aktivitäten wie Exerzitien Online o.ä. zu übermitteln – je nach Ihrer Auswahl im obigen Formular.
            Sie können Ihre Meinung jederzeit ändern, indem Sie auf den Abbestellungs-Link klicken, den Sie in der Fußzeile jeder E-Mail, die Sie von uns erhalten, finden können, oder indem Sie uns unter online-exerzitien@karmel.at kontaktieren. Wir werden Ihre Informationen mit Sorgfalt und Respekt behandeln. Weitere Informationen zu unseren Datenschutzpraktiken finden Sie auf unserer Website www.karmel.at. Indem Sie unten klicken, erklären Sie sich damit einverstanden, dass wir Ihre Informationen in Übereinstimmung mit diesen Bedingungen verarbeiten dürfen.
          &lt;/p&gt;
          &lt;p style="font-size: 14px;"&gt;
  Wir nutzen Mailchimp als unsere Marketing-Plattform. Mit einem Klick auf den untenstehenden Button zum Abonnieren erklären Sie sich damit einverstanden, dass Ihre Daten zur Verarbeitung an Mailchimp übermittelt werden.&lt;/p&gt;
  &lt;a class="plain-link" href="https://mailchimp.com/legal/terms/" target="_blank" rel="noopener noreferrer" style="display:inline-block; font-size: 14px; font-weight: 200; text-decoration:none;"&gt;
      Mehr über die Datenschutzpraktiken von Mailchimp erfahren Sie hier.
  &lt;/a&gt;&lt;/div&gt;&lt;/div&gt;
          &lt;/div&gt;
        &lt;/div&gt;
      &lt;/section&gt;</v>
      </c>
    </row>
    <row r="114" spans="2:33" x14ac:dyDescent="0.25">
      <c r="B114" s="4" t="s">
        <v>721</v>
      </c>
      <c r="C114" t="s">
        <v>721</v>
      </c>
      <c r="D114" t="s">
        <v>721</v>
      </c>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row>
    <row r="115" spans="2:33" x14ac:dyDescent="0.25">
      <c r="B115" s="4" t="s">
        <v>722</v>
      </c>
      <c r="C115" t="s">
        <v>722</v>
      </c>
      <c r="D115" t="s">
        <v>722</v>
      </c>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row>
    <row r="116" spans="2:33" x14ac:dyDescent="0.25">
      <c r="B116" s="4" t="s">
        <v>723</v>
      </c>
      <c r="C116" t="s">
        <v>723</v>
      </c>
      <c r="D116" t="s">
        <v>723</v>
      </c>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row>
    <row r="117" spans="2:33" x14ac:dyDescent="0.25">
      <c r="B117" s="4" t="s">
        <v>724</v>
      </c>
      <c r="C117" t="s">
        <v>724</v>
      </c>
      <c r="D117" t="s">
        <v>724</v>
      </c>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row>
    <row r="118" spans="2:33" x14ac:dyDescent="0.25">
      <c r="B118" s="4" t="s">
        <v>725</v>
      </c>
      <c r="C118" t="s">
        <v>725</v>
      </c>
      <c r="D118" t="s">
        <v>725</v>
      </c>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row>
    <row r="119" spans="2:33" x14ac:dyDescent="0.25">
      <c r="B119" s="4" t="s">
        <v>726</v>
      </c>
      <c r="C119" t="s">
        <v>726</v>
      </c>
      <c r="D119" t="s">
        <v>726</v>
      </c>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row>
    <row r="120" spans="2:33" x14ac:dyDescent="0.25">
      <c r="B120" s="4" t="s">
        <v>727</v>
      </c>
      <c r="C120" t="s">
        <v>727</v>
      </c>
      <c r="D120" t="s">
        <v>727</v>
      </c>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row>
    <row r="121" spans="2:33" x14ac:dyDescent="0.25">
      <c r="B121" s="4" t="s">
        <v>728</v>
      </c>
      <c r="C121" t="s">
        <v>728</v>
      </c>
      <c r="D121" t="s">
        <v>728</v>
      </c>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row>
    <row r="122" spans="2:33" x14ac:dyDescent="0.25">
      <c r="B122" s="4" t="s">
        <v>729</v>
      </c>
      <c r="C122" t="s">
        <v>729</v>
      </c>
      <c r="D122" t="s">
        <v>729</v>
      </c>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row>
    <row r="123" spans="2:33" x14ac:dyDescent="0.25">
      <c r="B123" s="4" t="s">
        <v>721</v>
      </c>
      <c r="C123" t="s">
        <v>721</v>
      </c>
      <c r="D123" t="s">
        <v>721</v>
      </c>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row>
    <row r="124" spans="2:33" x14ac:dyDescent="0.25">
      <c r="B124" s="4" t="s">
        <v>730</v>
      </c>
      <c r="C124" t="s">
        <v>730</v>
      </c>
      <c r="D124" t="s">
        <v>730</v>
      </c>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row>
    <row r="125" spans="2:33" x14ac:dyDescent="0.25">
      <c r="B125" s="4" t="s">
        <v>731</v>
      </c>
      <c r="C125" t="s">
        <v>731</v>
      </c>
      <c r="D125" t="s">
        <v>731</v>
      </c>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row>
    <row r="126" spans="2:33" x14ac:dyDescent="0.25">
      <c r="B126" s="4" t="s">
        <v>732</v>
      </c>
      <c r="C126" t="s">
        <v>732</v>
      </c>
      <c r="D126" t="s">
        <v>732</v>
      </c>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row>
    <row r="127" spans="2:33" x14ac:dyDescent="0.25">
      <c r="B127" s="4" t="s">
        <v>733</v>
      </c>
      <c r="C127" t="s">
        <v>733</v>
      </c>
      <c r="D127" t="s">
        <v>733</v>
      </c>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row>
    <row r="128" spans="2:33" x14ac:dyDescent="0.25">
      <c r="B128" s="4" t="s">
        <v>734</v>
      </c>
      <c r="C128" t="s">
        <v>734</v>
      </c>
      <c r="D128" t="s">
        <v>734</v>
      </c>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row>
    <row r="129" spans="2:33" x14ac:dyDescent="0.25">
      <c r="B129" s="4" t="s">
        <v>726</v>
      </c>
      <c r="C129" t="s">
        <v>726</v>
      </c>
      <c r="D129" t="s">
        <v>726</v>
      </c>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row>
    <row r="130" spans="2:33" x14ac:dyDescent="0.25">
      <c r="B130" s="4" t="s">
        <v>727</v>
      </c>
      <c r="C130" t="s">
        <v>727</v>
      </c>
      <c r="D130" t="s">
        <v>727</v>
      </c>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row>
    <row r="131" spans="2:33" x14ac:dyDescent="0.25">
      <c r="B131" s="8" t="s">
        <v>735</v>
      </c>
      <c r="C131" t="s">
        <v>735</v>
      </c>
      <c r="D131" t="s">
        <v>735</v>
      </c>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row>
    <row r="132" spans="2:33" x14ac:dyDescent="0.25">
      <c r="B132" s="8" t="s">
        <v>736</v>
      </c>
      <c r="C132" t="s">
        <v>736</v>
      </c>
      <c r="D132" t="s">
        <v>736</v>
      </c>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row>
    <row r="133" spans="2:33" x14ac:dyDescent="0.25">
      <c r="B133" s="8" t="s">
        <v>737</v>
      </c>
      <c r="C133" t="s">
        <v>737</v>
      </c>
      <c r="D133" t="s">
        <v>737</v>
      </c>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row>
    <row r="134" spans="2:33" x14ac:dyDescent="0.25">
      <c r="B134" s="4" t="s">
        <v>726</v>
      </c>
      <c r="C134" t="s">
        <v>726</v>
      </c>
      <c r="D134" t="s">
        <v>726</v>
      </c>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row>
    <row r="135" spans="2:33" x14ac:dyDescent="0.25">
      <c r="B135" s="4" t="s">
        <v>738</v>
      </c>
      <c r="C135" t="s">
        <v>738</v>
      </c>
      <c r="D135" t="s">
        <v>738</v>
      </c>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row>
    <row r="136" spans="2:33" x14ac:dyDescent="0.25">
      <c r="B136" s="4" t="s">
        <v>117</v>
      </c>
      <c r="C136" t="s">
        <v>117</v>
      </c>
      <c r="D136" t="s">
        <v>117</v>
      </c>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row>
    <row r="137" spans="2:33" x14ac:dyDescent="0.25">
      <c r="B137" s="4" t="s">
        <v>739</v>
      </c>
      <c r="C137" t="s">
        <v>739</v>
      </c>
      <c r="D137" t="s">
        <v>739</v>
      </c>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row>
    <row r="138" spans="2:33" x14ac:dyDescent="0.25">
      <c r="B138" s="4" t="s">
        <v>740</v>
      </c>
      <c r="C138" t="s">
        <v>740</v>
      </c>
      <c r="D138" t="s">
        <v>740</v>
      </c>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row>
    <row r="139" spans="2:33" x14ac:dyDescent="0.25">
      <c r="B139" s="4" t="s">
        <v>741</v>
      </c>
      <c r="C139" t="s">
        <v>741</v>
      </c>
      <c r="D139" t="s">
        <v>741</v>
      </c>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row>
    <row r="140" spans="2:33" x14ac:dyDescent="0.25">
      <c r="B140" s="4" t="s">
        <v>742</v>
      </c>
      <c r="C140" t="s">
        <v>742</v>
      </c>
      <c r="D140" t="s">
        <v>742</v>
      </c>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row>
    <row r="141" spans="2:33" x14ac:dyDescent="0.25">
      <c r="B141" s="4" t="s">
        <v>743</v>
      </c>
      <c r="C141" t="s">
        <v>743</v>
      </c>
      <c r="D141" t="s">
        <v>743</v>
      </c>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row>
    <row r="142" spans="2:33" x14ac:dyDescent="0.25">
      <c r="B142" s="4" t="s">
        <v>744</v>
      </c>
      <c r="C142" t="s">
        <v>744</v>
      </c>
      <c r="D142" t="s">
        <v>744</v>
      </c>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row>
    <row r="143" spans="2:33" x14ac:dyDescent="0.25">
      <c r="B143" s="4" t="s">
        <v>745</v>
      </c>
      <c r="C143" t="s">
        <v>745</v>
      </c>
      <c r="D143" t="s">
        <v>745</v>
      </c>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row>
    <row r="144" spans="2:33" x14ac:dyDescent="0.25">
      <c r="B144" s="4" t="s">
        <v>746</v>
      </c>
      <c r="C144" t="s">
        <v>746</v>
      </c>
      <c r="D144" t="s">
        <v>746</v>
      </c>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row>
    <row r="145" spans="2:33" x14ac:dyDescent="0.25">
      <c r="B145" s="4" t="s">
        <v>747</v>
      </c>
      <c r="C145" t="s">
        <v>747</v>
      </c>
      <c r="D145" t="s">
        <v>747</v>
      </c>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row>
    <row r="146" spans="2:33" x14ac:dyDescent="0.25">
      <c r="B146" s="4" t="s">
        <v>748</v>
      </c>
      <c r="C146" t="s">
        <v>748</v>
      </c>
      <c r="D146" t="s">
        <v>748</v>
      </c>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row>
    <row r="147" spans="2:33" x14ac:dyDescent="0.25">
      <c r="B147" s="4" t="s">
        <v>749</v>
      </c>
      <c r="C147" t="s">
        <v>749</v>
      </c>
      <c r="D147" t="s">
        <v>749</v>
      </c>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row>
    <row r="148" spans="2:33" x14ac:dyDescent="0.25">
      <c r="B148" s="4" t="s">
        <v>750</v>
      </c>
      <c r="C148" t="s">
        <v>750</v>
      </c>
      <c r="D148" t="s">
        <v>750</v>
      </c>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row>
    <row r="149" spans="2:33" x14ac:dyDescent="0.25">
      <c r="B149" s="4" t="s">
        <v>751</v>
      </c>
      <c r="C149" t="s">
        <v>751</v>
      </c>
      <c r="D149" t="s">
        <v>751</v>
      </c>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row>
    <row r="150" spans="2:33" x14ac:dyDescent="0.25">
      <c r="B150" s="4" t="s">
        <v>752</v>
      </c>
      <c r="C150" t="s">
        <v>752</v>
      </c>
      <c r="D150" t="s">
        <v>752</v>
      </c>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row>
    <row r="151" spans="2:33" x14ac:dyDescent="0.25">
      <c r="B151" s="4" t="s">
        <v>753</v>
      </c>
      <c r="C151" t="s">
        <v>753</v>
      </c>
      <c r="D151" t="s">
        <v>753</v>
      </c>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row>
    <row r="152" spans="2:33" x14ac:dyDescent="0.25">
      <c r="B152" s="4" t="s">
        <v>117</v>
      </c>
      <c r="C152" t="s">
        <v>117</v>
      </c>
      <c r="D152" t="s">
        <v>117</v>
      </c>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row>
    <row r="153" spans="2:33" x14ac:dyDescent="0.25">
      <c r="B153" s="4" t="s">
        <v>754</v>
      </c>
      <c r="C153" t="s">
        <v>754</v>
      </c>
      <c r="D153" t="s">
        <v>754</v>
      </c>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row>
    <row r="154" spans="2:33" x14ac:dyDescent="0.25">
      <c r="B154" s="4" t="s">
        <v>755</v>
      </c>
      <c r="C154" t="s">
        <v>755</v>
      </c>
      <c r="D154" t="s">
        <v>755</v>
      </c>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row>
    <row r="155" spans="2:33" x14ac:dyDescent="0.25">
      <c r="B155" s="4" t="s">
        <v>756</v>
      </c>
      <c r="C155" t="s">
        <v>756</v>
      </c>
      <c r="D155" t="s">
        <v>756</v>
      </c>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row>
    <row r="156" spans="2:33" x14ac:dyDescent="0.25">
      <c r="B156" s="4" t="s">
        <v>757</v>
      </c>
      <c r="C156" t="s">
        <v>757</v>
      </c>
      <c r="D156" t="s">
        <v>757</v>
      </c>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row>
    <row r="157" spans="2:33" x14ac:dyDescent="0.25">
      <c r="B157" s="4" t="s">
        <v>758</v>
      </c>
      <c r="C157" t="s">
        <v>758</v>
      </c>
      <c r="D157" t="s">
        <v>758</v>
      </c>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row>
    <row r="158" spans="2:33" x14ac:dyDescent="0.25">
      <c r="B158" s="4"/>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row>
    <row r="159" spans="2:33" x14ac:dyDescent="0.25">
      <c r="B159" s="4"/>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row>
    <row r="160" spans="2:33" x14ac:dyDescent="0.25">
      <c r="B160" s="4" t="s">
        <v>759</v>
      </c>
      <c r="C160" t="s">
        <v>759</v>
      </c>
      <c r="D160" t="s">
        <v>759</v>
      </c>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row>
    <row r="161" spans="2:33" x14ac:dyDescent="0.25">
      <c r="B161" s="4" t="s">
        <v>760</v>
      </c>
      <c r="C161" t="s">
        <v>760</v>
      </c>
      <c r="D161" t="s">
        <v>760</v>
      </c>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row>
    <row r="162" spans="2:33" x14ac:dyDescent="0.25">
      <c r="B162" s="4" t="s">
        <v>761</v>
      </c>
      <c r="C162" t="s">
        <v>761</v>
      </c>
      <c r="D162" t="s">
        <v>761</v>
      </c>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row>
    <row r="163" spans="2:33" x14ac:dyDescent="0.25">
      <c r="B163" s="4" t="s">
        <v>762</v>
      </c>
      <c r="C163" t="s">
        <v>762</v>
      </c>
      <c r="D163" t="s">
        <v>762</v>
      </c>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row>
    <row r="164" spans="2:33" x14ac:dyDescent="0.25">
      <c r="B164" s="4" t="s">
        <v>763</v>
      </c>
      <c r="C164" t="s">
        <v>763</v>
      </c>
      <c r="D164" t="s">
        <v>763</v>
      </c>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row>
    <row r="165" spans="2:33" x14ac:dyDescent="0.25">
      <c r="B165" s="4" t="s">
        <v>764</v>
      </c>
      <c r="C165" t="s">
        <v>764</v>
      </c>
      <c r="D165" t="s">
        <v>764</v>
      </c>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row>
    <row r="166" spans="2:33" x14ac:dyDescent="0.25">
      <c r="B166" s="4" t="s">
        <v>317</v>
      </c>
      <c r="C166" t="s">
        <v>317</v>
      </c>
      <c r="D166" t="s">
        <v>317</v>
      </c>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row>
    <row r="167" spans="2:33" x14ac:dyDescent="0.25">
      <c r="B167" s="4" t="s">
        <v>765</v>
      </c>
      <c r="C167" t="s">
        <v>765</v>
      </c>
      <c r="D167" t="s">
        <v>765</v>
      </c>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row>
    <row r="168" spans="2:33" x14ac:dyDescent="0.25">
      <c r="B168" s="4" t="s">
        <v>766</v>
      </c>
      <c r="C168" t="s">
        <v>766</v>
      </c>
      <c r="D168" t="s">
        <v>766</v>
      </c>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row>
    <row r="169" spans="2:33" x14ac:dyDescent="0.25">
      <c r="B169" s="4" t="s">
        <v>767</v>
      </c>
      <c r="C169" t="s">
        <v>767</v>
      </c>
      <c r="D169" t="s">
        <v>767</v>
      </c>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row>
    <row r="170" spans="2:33" x14ac:dyDescent="0.25">
      <c r="B170" s="4" t="s">
        <v>768</v>
      </c>
      <c r="C170" t="s">
        <v>768</v>
      </c>
      <c r="D170" t="s">
        <v>768</v>
      </c>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row>
    <row r="171" spans="2:33" x14ac:dyDescent="0.25">
      <c r="B171" s="4" t="s">
        <v>769</v>
      </c>
      <c r="C171" t="s">
        <v>769</v>
      </c>
      <c r="D171" t="s">
        <v>769</v>
      </c>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row>
    <row r="172" spans="2:33" x14ac:dyDescent="0.25">
      <c r="B172" s="3" t="s">
        <v>303</v>
      </c>
      <c r="C172" t="s">
        <v>304</v>
      </c>
      <c r="D172" t="s">
        <v>304</v>
      </c>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row>
    <row r="173" spans="2:33" x14ac:dyDescent="0.25">
      <c r="B173" s="3" t="s">
        <v>305</v>
      </c>
      <c r="C173" t="s">
        <v>306</v>
      </c>
      <c r="D173" t="s">
        <v>306</v>
      </c>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row>
    <row r="174" spans="2:33" x14ac:dyDescent="0.25">
      <c r="B174" s="4" t="s">
        <v>770</v>
      </c>
      <c r="C174" t="s">
        <v>770</v>
      </c>
      <c r="D174" t="s">
        <v>770</v>
      </c>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row>
    <row r="175" spans="2:33" x14ac:dyDescent="0.25">
      <c r="B175" s="4" t="s">
        <v>771</v>
      </c>
      <c r="C175" t="s">
        <v>771</v>
      </c>
      <c r="D175" t="s">
        <v>771</v>
      </c>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row>
    <row r="176" spans="2:33" x14ac:dyDescent="0.25">
      <c r="B176" s="4" t="s">
        <v>772</v>
      </c>
      <c r="C176" t="s">
        <v>772</v>
      </c>
      <c r="D176" t="s">
        <v>772</v>
      </c>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row>
    <row r="177" spans="2:33" x14ac:dyDescent="0.25">
      <c r="B177" s="4" t="s">
        <v>773</v>
      </c>
      <c r="C177" t="s">
        <v>773</v>
      </c>
      <c r="D177" t="s">
        <v>773</v>
      </c>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row>
    <row r="178" spans="2:33" x14ac:dyDescent="0.25">
      <c r="B178" s="3" t="s">
        <v>316</v>
      </c>
      <c r="C178" t="s">
        <v>317</v>
      </c>
      <c r="D178" t="s">
        <v>317</v>
      </c>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row>
    <row r="179" spans="2:33" x14ac:dyDescent="0.25">
      <c r="B179" s="3" t="s">
        <v>116</v>
      </c>
      <c r="C179" t="s">
        <v>117</v>
      </c>
      <c r="D179" t="s">
        <v>117</v>
      </c>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row>
    <row r="180" spans="2:33" x14ac:dyDescent="0.25">
      <c r="B180" s="4" t="s">
        <v>688</v>
      </c>
      <c r="C180" t="s">
        <v>688</v>
      </c>
      <c r="D180" t="s">
        <v>688</v>
      </c>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row>
    <row r="181" spans="2:33" x14ac:dyDescent="0.25">
      <c r="B181" s="4" t="s">
        <v>117</v>
      </c>
      <c r="C181" t="s">
        <v>117</v>
      </c>
      <c r="D181" t="s">
        <v>117</v>
      </c>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row>
    <row r="182" spans="2:33" x14ac:dyDescent="0.25">
      <c r="B182" s="4"/>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row>
    <row r="183" spans="2:33" x14ac:dyDescent="0.25">
      <c r="B183" s="4" t="s">
        <v>117</v>
      </c>
      <c r="C183" t="s">
        <v>117</v>
      </c>
      <c r="D183" t="s">
        <v>117</v>
      </c>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row>
    <row r="184" spans="2:33" x14ac:dyDescent="0.25">
      <c r="B184" s="4" t="s">
        <v>117</v>
      </c>
      <c r="C184" t="s">
        <v>117</v>
      </c>
      <c r="D184" t="s">
        <v>117</v>
      </c>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row>
    <row r="185" spans="2:33" x14ac:dyDescent="0.25">
      <c r="B185" s="4" t="s">
        <v>117</v>
      </c>
      <c r="C185" t="s">
        <v>117</v>
      </c>
      <c r="D185" t="s">
        <v>117</v>
      </c>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row>
    <row r="186" spans="2:33" x14ac:dyDescent="0.25">
      <c r="B186" s="4" t="s">
        <v>688</v>
      </c>
      <c r="C186" t="s">
        <v>688</v>
      </c>
      <c r="D186" t="s">
        <v>688</v>
      </c>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row>
    <row r="187" spans="2:33" x14ac:dyDescent="0.25">
      <c r="B187" s="5"/>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row>
    <row r="188" spans="2:33" x14ac:dyDescent="0.25">
      <c r="B188" s="4" t="s">
        <v>774</v>
      </c>
      <c r="C188" t="s">
        <v>774</v>
      </c>
      <c r="D188" t="s">
        <v>774</v>
      </c>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row>
    <row r="189" spans="2:33" x14ac:dyDescent="0.25">
      <c r="B189" s="4" t="s">
        <v>692</v>
      </c>
      <c r="C189" t="s">
        <v>692</v>
      </c>
      <c r="D189" t="s">
        <v>692</v>
      </c>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row>
    <row r="190" spans="2:33" x14ac:dyDescent="0.25">
      <c r="B190" s="4" t="s">
        <v>775</v>
      </c>
      <c r="C190" t="s">
        <v>775</v>
      </c>
      <c r="D190" t="s">
        <v>775</v>
      </c>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row>
    <row r="191" spans="2:33" x14ac:dyDescent="0.25">
      <c r="B191" s="3" t="s">
        <v>328</v>
      </c>
      <c r="C191" t="s">
        <v>329</v>
      </c>
      <c r="D191" t="s">
        <v>329</v>
      </c>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row>
    <row r="192" spans="2:33" x14ac:dyDescent="0.25">
      <c r="B192" s="4" t="s">
        <v>776</v>
      </c>
      <c r="C192" t="s">
        <v>776</v>
      </c>
      <c r="D192" t="s">
        <v>776</v>
      </c>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row>
    <row r="193" spans="2:33" x14ac:dyDescent="0.25">
      <c r="B193" s="4" t="s">
        <v>777</v>
      </c>
      <c r="C193" t="s">
        <v>777</v>
      </c>
      <c r="D193" t="s">
        <v>777</v>
      </c>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row>
    <row r="194" spans="2:33" x14ac:dyDescent="0.25">
      <c r="B194" s="4" t="s">
        <v>778</v>
      </c>
      <c r="C194" t="s">
        <v>778</v>
      </c>
      <c r="D194" t="s">
        <v>778</v>
      </c>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row>
    <row r="195" spans="2:33" x14ac:dyDescent="0.25">
      <c r="B195" s="4" t="s">
        <v>779</v>
      </c>
      <c r="C195" t="s">
        <v>779</v>
      </c>
      <c r="D195" t="s">
        <v>779</v>
      </c>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row>
    <row r="196" spans="2:33" x14ac:dyDescent="0.25">
      <c r="B196" s="4" t="s">
        <v>780</v>
      </c>
      <c r="C196" t="s">
        <v>780</v>
      </c>
      <c r="D196" t="s">
        <v>780</v>
      </c>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row>
    <row r="197" spans="2:33" x14ac:dyDescent="0.25">
      <c r="B197" s="5"/>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row>
    <row r="198" spans="2:33" x14ac:dyDescent="0.25">
      <c r="B198" s="4" t="s">
        <v>777</v>
      </c>
      <c r="C198" t="s">
        <v>777</v>
      </c>
      <c r="D198" t="s">
        <v>777</v>
      </c>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row>
    <row r="199" spans="2:33" x14ac:dyDescent="0.25">
      <c r="B199" s="4" t="s">
        <v>781</v>
      </c>
      <c r="C199" t="s">
        <v>781</v>
      </c>
      <c r="D199" t="s">
        <v>781</v>
      </c>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row>
    <row r="200" spans="2:33" x14ac:dyDescent="0.25">
      <c r="B200" s="4" t="s">
        <v>782</v>
      </c>
      <c r="C200" t="s">
        <v>782</v>
      </c>
      <c r="D200" t="s">
        <v>782</v>
      </c>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row>
    <row r="201" spans="2:33" x14ac:dyDescent="0.25">
      <c r="B201" s="4" t="s">
        <v>780</v>
      </c>
      <c r="C201" t="s">
        <v>780</v>
      </c>
      <c r="D201" t="s">
        <v>780</v>
      </c>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row>
    <row r="202" spans="2:33" x14ac:dyDescent="0.25">
      <c r="B202" s="5"/>
      <c r="E202" s="1" t="s">
        <v>117</v>
      </c>
      <c r="F202" s="2" t="s">
        <v>117</v>
      </c>
      <c r="G202" s="1" t="s">
        <v>117</v>
      </c>
      <c r="H202" s="1" t="s">
        <v>117</v>
      </c>
      <c r="I202" s="1" t="s">
        <v>117</v>
      </c>
      <c r="J202" s="1" t="s">
        <v>117</v>
      </c>
      <c r="K202" s="1" t="s">
        <v>117</v>
      </c>
      <c r="L202" s="1" t="s">
        <v>117</v>
      </c>
      <c r="M202" s="1" t="s">
        <v>117</v>
      </c>
      <c r="N202" s="1" t="s">
        <v>117</v>
      </c>
      <c r="O202" s="1" t="s">
        <v>117</v>
      </c>
      <c r="P202" s="1" t="s">
        <v>117</v>
      </c>
      <c r="Q202" s="1" t="s">
        <v>117</v>
      </c>
      <c r="R202" s="1" t="s">
        <v>117</v>
      </c>
      <c r="S202" s="1" t="s">
        <v>117</v>
      </c>
      <c r="T202" s="1" t="s">
        <v>117</v>
      </c>
      <c r="U202" s="1" t="s">
        <v>117</v>
      </c>
      <c r="V202" s="1" t="s">
        <v>117</v>
      </c>
      <c r="W202" s="1" t="s">
        <v>117</v>
      </c>
      <c r="X202" s="1" t="s">
        <v>117</v>
      </c>
      <c r="Y202" s="1" t="s">
        <v>117</v>
      </c>
      <c r="Z202" s="1" t="s">
        <v>117</v>
      </c>
      <c r="AA202" s="1" t="s">
        <v>117</v>
      </c>
      <c r="AB202" s="1" t="s">
        <v>117</v>
      </c>
      <c r="AC202" s="1" t="s">
        <v>117</v>
      </c>
      <c r="AD202" s="1" t="s">
        <v>117</v>
      </c>
      <c r="AE202" s="1" t="s">
        <v>117</v>
      </c>
      <c r="AF202" s="1" t="s">
        <v>117</v>
      </c>
      <c r="AG202" s="1" t="s">
        <v>117</v>
      </c>
    </row>
    <row r="203" spans="2:33" x14ac:dyDescent="0.25">
      <c r="B203" s="4" t="s">
        <v>777</v>
      </c>
      <c r="C203" t="s">
        <v>777</v>
      </c>
      <c r="D203" t="s">
        <v>777</v>
      </c>
      <c r="E203" s="1" t="s">
        <v>117</v>
      </c>
      <c r="F203" s="2" t="s">
        <v>117</v>
      </c>
      <c r="G203" s="1" t="s">
        <v>117</v>
      </c>
      <c r="H203" s="1" t="s">
        <v>117</v>
      </c>
      <c r="I203" s="1" t="s">
        <v>117</v>
      </c>
      <c r="J203" s="1" t="s">
        <v>117</v>
      </c>
      <c r="K203" s="1" t="s">
        <v>117</v>
      </c>
      <c r="L203" s="1" t="s">
        <v>117</v>
      </c>
      <c r="M203" s="1" t="s">
        <v>117</v>
      </c>
      <c r="N203" s="1" t="s">
        <v>117</v>
      </c>
      <c r="O203" s="1" t="s">
        <v>117</v>
      </c>
      <c r="P203" s="1" t="s">
        <v>117</v>
      </c>
      <c r="Q203" s="1" t="s">
        <v>117</v>
      </c>
      <c r="R203" s="1" t="s">
        <v>117</v>
      </c>
      <c r="S203" s="1" t="s">
        <v>117</v>
      </c>
      <c r="T203" s="1" t="s">
        <v>117</v>
      </c>
      <c r="U203" s="1" t="s">
        <v>117</v>
      </c>
      <c r="V203" s="1" t="s">
        <v>117</v>
      </c>
      <c r="W203" s="1" t="s">
        <v>117</v>
      </c>
      <c r="X203" s="1" t="s">
        <v>117</v>
      </c>
      <c r="Y203" s="1" t="s">
        <v>117</v>
      </c>
      <c r="Z203" s="1" t="s">
        <v>117</v>
      </c>
      <c r="AA203" s="1" t="s">
        <v>117</v>
      </c>
      <c r="AB203" s="1" t="s">
        <v>117</v>
      </c>
      <c r="AC203" s="1" t="s">
        <v>117</v>
      </c>
      <c r="AD203" s="1" t="s">
        <v>117</v>
      </c>
      <c r="AE203" s="1" t="s">
        <v>117</v>
      </c>
      <c r="AF203" s="1" t="s">
        <v>117</v>
      </c>
      <c r="AG203" s="1" t="s">
        <v>117</v>
      </c>
    </row>
    <row r="204" spans="2:33" x14ac:dyDescent="0.25">
      <c r="B204" s="4" t="s">
        <v>783</v>
      </c>
      <c r="C204" t="s">
        <v>783</v>
      </c>
      <c r="D204" t="s">
        <v>783</v>
      </c>
      <c r="E204" s="1" t="s">
        <v>117</v>
      </c>
      <c r="F204" s="2" t="s">
        <v>117</v>
      </c>
      <c r="G204" s="1" t="s">
        <v>117</v>
      </c>
      <c r="H204" s="1" t="s">
        <v>117</v>
      </c>
      <c r="I204" s="1" t="s">
        <v>117</v>
      </c>
      <c r="J204" s="1" t="s">
        <v>117</v>
      </c>
      <c r="K204" s="1" t="s">
        <v>117</v>
      </c>
      <c r="L204" s="1" t="s">
        <v>117</v>
      </c>
      <c r="M204" s="1" t="s">
        <v>117</v>
      </c>
      <c r="N204" s="1" t="s">
        <v>117</v>
      </c>
      <c r="O204" s="1" t="s">
        <v>117</v>
      </c>
      <c r="P204" s="1" t="s">
        <v>117</v>
      </c>
      <c r="Q204" s="1" t="s">
        <v>117</v>
      </c>
      <c r="R204" s="1" t="s">
        <v>117</v>
      </c>
      <c r="S204" s="1" t="s">
        <v>117</v>
      </c>
      <c r="T204" s="1" t="s">
        <v>117</v>
      </c>
      <c r="U204" s="1" t="s">
        <v>117</v>
      </c>
      <c r="V204" s="1" t="s">
        <v>117</v>
      </c>
      <c r="W204" s="1" t="s">
        <v>117</v>
      </c>
      <c r="X204" s="1" t="s">
        <v>117</v>
      </c>
      <c r="Y204" s="1" t="s">
        <v>117</v>
      </c>
      <c r="Z204" s="1" t="s">
        <v>117</v>
      </c>
      <c r="AA204" s="1" t="s">
        <v>117</v>
      </c>
      <c r="AB204" s="1" t="s">
        <v>117</v>
      </c>
      <c r="AC204" s="1" t="s">
        <v>117</v>
      </c>
      <c r="AD204" s="1" t="s">
        <v>117</v>
      </c>
      <c r="AE204" s="1" t="s">
        <v>117</v>
      </c>
      <c r="AF204" s="1" t="s">
        <v>117</v>
      </c>
      <c r="AG204" s="1" t="s">
        <v>117</v>
      </c>
    </row>
    <row r="205" spans="2:33" x14ac:dyDescent="0.25">
      <c r="B205" s="4" t="s">
        <v>784</v>
      </c>
      <c r="C205" t="s">
        <v>784</v>
      </c>
      <c r="D205" t="s">
        <v>784</v>
      </c>
      <c r="E205" s="1" t="s">
        <v>688</v>
      </c>
      <c r="F205" s="2" t="s">
        <v>688</v>
      </c>
      <c r="G205" s="1" t="s">
        <v>688</v>
      </c>
      <c r="H205" s="1" t="s">
        <v>688</v>
      </c>
      <c r="I205" s="1" t="s">
        <v>688</v>
      </c>
      <c r="J205" s="1" t="s">
        <v>688</v>
      </c>
      <c r="K205" s="1" t="s">
        <v>688</v>
      </c>
      <c r="L205" s="1" t="s">
        <v>688</v>
      </c>
      <c r="M205" s="1" t="s">
        <v>688</v>
      </c>
      <c r="N205" s="1" t="s">
        <v>688</v>
      </c>
      <c r="O205" s="1" t="s">
        <v>688</v>
      </c>
      <c r="P205" s="1" t="s">
        <v>688</v>
      </c>
      <c r="Q205" s="1" t="s">
        <v>688</v>
      </c>
      <c r="R205" s="1" t="s">
        <v>688</v>
      </c>
      <c r="S205" s="1" t="s">
        <v>688</v>
      </c>
      <c r="T205" s="1" t="s">
        <v>688</v>
      </c>
      <c r="U205" s="1" t="s">
        <v>688</v>
      </c>
      <c r="V205" s="1" t="s">
        <v>688</v>
      </c>
      <c r="W205" s="1" t="s">
        <v>688</v>
      </c>
      <c r="X205" s="1" t="s">
        <v>688</v>
      </c>
      <c r="Y205" s="1" t="s">
        <v>688</v>
      </c>
      <c r="Z205" s="1" t="s">
        <v>688</v>
      </c>
      <c r="AA205" s="1" t="s">
        <v>688</v>
      </c>
      <c r="AB205" s="1" t="s">
        <v>688</v>
      </c>
      <c r="AC205" s="1" t="s">
        <v>688</v>
      </c>
      <c r="AD205" s="1" t="s">
        <v>688</v>
      </c>
      <c r="AE205" s="1" t="s">
        <v>688</v>
      </c>
      <c r="AF205" s="1" t="s">
        <v>688</v>
      </c>
      <c r="AG205" s="1" t="s">
        <v>688</v>
      </c>
    </row>
    <row r="206" spans="2:33" x14ac:dyDescent="0.25">
      <c r="B206" s="4" t="s">
        <v>780</v>
      </c>
      <c r="C206" t="s">
        <v>780</v>
      </c>
      <c r="D206" t="s">
        <v>780</v>
      </c>
      <c r="E206" s="1" t="s">
        <v>785</v>
      </c>
      <c r="F206" s="2" t="s">
        <v>785</v>
      </c>
      <c r="G206" s="1" t="s">
        <v>785</v>
      </c>
      <c r="H206" s="1" t="s">
        <v>785</v>
      </c>
      <c r="I206" s="1" t="s">
        <v>785</v>
      </c>
      <c r="J206" s="1" t="s">
        <v>785</v>
      </c>
      <c r="K206" s="1" t="s">
        <v>785</v>
      </c>
      <c r="L206" s="1" t="s">
        <v>785</v>
      </c>
      <c r="M206" s="1" t="s">
        <v>785</v>
      </c>
      <c r="N206" s="1" t="s">
        <v>785</v>
      </c>
      <c r="O206" s="1" t="s">
        <v>785</v>
      </c>
      <c r="P206" s="1" t="s">
        <v>785</v>
      </c>
      <c r="Q206" s="1" t="s">
        <v>785</v>
      </c>
      <c r="R206" s="1" t="s">
        <v>785</v>
      </c>
      <c r="S206" s="1" t="s">
        <v>785</v>
      </c>
      <c r="T206" s="1" t="s">
        <v>785</v>
      </c>
      <c r="U206" s="1" t="s">
        <v>785</v>
      </c>
      <c r="V206" s="1" t="s">
        <v>785</v>
      </c>
      <c r="W206" s="1" t="s">
        <v>785</v>
      </c>
      <c r="X206" s="1" t="s">
        <v>785</v>
      </c>
      <c r="Y206" s="1" t="s">
        <v>785</v>
      </c>
      <c r="Z206" s="1" t="s">
        <v>785</v>
      </c>
      <c r="AA206" s="1" t="s">
        <v>785</v>
      </c>
      <c r="AB206" s="1" t="s">
        <v>785</v>
      </c>
      <c r="AC206" s="1" t="s">
        <v>785</v>
      </c>
      <c r="AD206" s="1" t="s">
        <v>785</v>
      </c>
      <c r="AE206" s="1" t="s">
        <v>785</v>
      </c>
      <c r="AF206" s="1" t="s">
        <v>785</v>
      </c>
      <c r="AG206" s="1" t="s">
        <v>785</v>
      </c>
    </row>
    <row r="207" spans="2:33" x14ac:dyDescent="0.25">
      <c r="B207" s="4" t="s">
        <v>777</v>
      </c>
      <c r="C207" t="s">
        <v>777</v>
      </c>
      <c r="D207" t="s">
        <v>777</v>
      </c>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row>
    <row r="208" spans="2:33" x14ac:dyDescent="0.25">
      <c r="B208" s="4" t="s">
        <v>786</v>
      </c>
      <c r="C208" t="s">
        <v>786</v>
      </c>
      <c r="D208" t="s">
        <v>786</v>
      </c>
      <c r="E208" s="1" t="s">
        <v>787</v>
      </c>
      <c r="F208" s="2" t="s">
        <v>787</v>
      </c>
      <c r="G208" s="1" t="s">
        <v>787</v>
      </c>
      <c r="H208" s="1" t="s">
        <v>787</v>
      </c>
      <c r="I208" s="1" t="s">
        <v>787</v>
      </c>
      <c r="J208" s="1" t="s">
        <v>787</v>
      </c>
      <c r="K208" s="1" t="s">
        <v>787</v>
      </c>
      <c r="L208" s="1" t="s">
        <v>787</v>
      </c>
      <c r="M208" s="1" t="s">
        <v>787</v>
      </c>
      <c r="N208" s="1" t="s">
        <v>787</v>
      </c>
      <c r="O208" s="1" t="s">
        <v>787</v>
      </c>
      <c r="P208" s="1" t="s">
        <v>787</v>
      </c>
      <c r="Q208" s="1" t="s">
        <v>787</v>
      </c>
      <c r="R208" s="1" t="s">
        <v>787</v>
      </c>
      <c r="S208" s="1" t="s">
        <v>787</v>
      </c>
      <c r="T208" s="1" t="s">
        <v>787</v>
      </c>
      <c r="U208" s="1" t="s">
        <v>787</v>
      </c>
      <c r="V208" s="1" t="s">
        <v>787</v>
      </c>
      <c r="W208" s="1" t="s">
        <v>787</v>
      </c>
      <c r="X208" s="1" t="s">
        <v>787</v>
      </c>
      <c r="Y208" s="1" t="s">
        <v>787</v>
      </c>
      <c r="Z208" s="1" t="s">
        <v>787</v>
      </c>
      <c r="AA208" s="1" t="s">
        <v>787</v>
      </c>
      <c r="AB208" s="1" t="s">
        <v>787</v>
      </c>
      <c r="AC208" s="1" t="s">
        <v>787</v>
      </c>
      <c r="AD208" s="1" t="s">
        <v>787</v>
      </c>
      <c r="AE208" s="1" t="s">
        <v>787</v>
      </c>
      <c r="AF208" s="1" t="s">
        <v>787</v>
      </c>
      <c r="AG208" s="1" t="s">
        <v>787</v>
      </c>
    </row>
    <row r="209" spans="2:33" x14ac:dyDescent="0.25">
      <c r="B209" s="4" t="s">
        <v>788</v>
      </c>
      <c r="C209" t="s">
        <v>788</v>
      </c>
      <c r="D209" t="s">
        <v>788</v>
      </c>
      <c r="E209" s="1" t="s">
        <v>789</v>
      </c>
      <c r="F209" s="2" t="s">
        <v>789</v>
      </c>
      <c r="G209" s="1" t="s">
        <v>789</v>
      </c>
      <c r="H209" s="1" t="s">
        <v>789</v>
      </c>
      <c r="I209" s="1" t="s">
        <v>789</v>
      </c>
      <c r="J209" s="1" t="s">
        <v>789</v>
      </c>
      <c r="K209" s="1" t="s">
        <v>789</v>
      </c>
      <c r="L209" s="1" t="s">
        <v>789</v>
      </c>
      <c r="M209" s="1" t="s">
        <v>789</v>
      </c>
      <c r="N209" s="1" t="s">
        <v>789</v>
      </c>
      <c r="O209" s="1" t="s">
        <v>789</v>
      </c>
      <c r="P209" s="1" t="s">
        <v>789</v>
      </c>
      <c r="Q209" s="1" t="s">
        <v>789</v>
      </c>
      <c r="R209" s="1" t="s">
        <v>789</v>
      </c>
      <c r="S209" s="1" t="s">
        <v>789</v>
      </c>
      <c r="T209" s="1" t="s">
        <v>789</v>
      </c>
      <c r="U209" s="1" t="s">
        <v>789</v>
      </c>
      <c r="V209" s="1" t="s">
        <v>789</v>
      </c>
      <c r="W209" s="1" t="s">
        <v>789</v>
      </c>
      <c r="X209" s="1" t="s">
        <v>789</v>
      </c>
      <c r="Y209" s="1" t="s">
        <v>789</v>
      </c>
      <c r="Z209" s="1" t="s">
        <v>789</v>
      </c>
      <c r="AA209" s="1" t="s">
        <v>789</v>
      </c>
      <c r="AB209" s="1" t="s">
        <v>789</v>
      </c>
      <c r="AC209" s="1" t="s">
        <v>789</v>
      </c>
      <c r="AD209" s="1" t="s">
        <v>789</v>
      </c>
      <c r="AE209" s="1" t="s">
        <v>789</v>
      </c>
      <c r="AF209" s="1" t="s">
        <v>789</v>
      </c>
      <c r="AG209" s="1" t="s">
        <v>789</v>
      </c>
    </row>
    <row r="210" spans="2:33" x14ac:dyDescent="0.25">
      <c r="B210" s="4" t="s">
        <v>780</v>
      </c>
      <c r="C210" t="s">
        <v>780</v>
      </c>
      <c r="D210" t="s">
        <v>780</v>
      </c>
      <c r="E210" s="1" t="s">
        <v>790</v>
      </c>
      <c r="F210" s="2" t="s">
        <v>790</v>
      </c>
      <c r="G210" s="1" t="s">
        <v>790</v>
      </c>
      <c r="H210" s="1" t="s">
        <v>790</v>
      </c>
      <c r="I210" s="1" t="s">
        <v>790</v>
      </c>
      <c r="J210" s="1" t="s">
        <v>790</v>
      </c>
      <c r="K210" s="1" t="s">
        <v>790</v>
      </c>
      <c r="L210" s="1" t="s">
        <v>790</v>
      </c>
      <c r="M210" s="1" t="s">
        <v>790</v>
      </c>
      <c r="N210" s="1" t="s">
        <v>790</v>
      </c>
      <c r="O210" s="1" t="s">
        <v>790</v>
      </c>
      <c r="P210" s="1" t="s">
        <v>790</v>
      </c>
      <c r="Q210" s="1" t="s">
        <v>790</v>
      </c>
      <c r="R210" s="1" t="s">
        <v>790</v>
      </c>
      <c r="S210" s="1" t="s">
        <v>790</v>
      </c>
      <c r="T210" s="1" t="s">
        <v>790</v>
      </c>
      <c r="U210" s="1" t="s">
        <v>790</v>
      </c>
      <c r="V210" s="1" t="s">
        <v>790</v>
      </c>
      <c r="W210" s="1" t="s">
        <v>790</v>
      </c>
      <c r="X210" s="1" t="s">
        <v>790</v>
      </c>
      <c r="Y210" s="1" t="s">
        <v>790</v>
      </c>
      <c r="Z210" s="1" t="s">
        <v>790</v>
      </c>
      <c r="AA210" s="1" t="s">
        <v>790</v>
      </c>
      <c r="AB210" s="1" t="s">
        <v>790</v>
      </c>
      <c r="AC210" s="1" t="s">
        <v>790</v>
      </c>
      <c r="AD210" s="1" t="s">
        <v>790</v>
      </c>
      <c r="AE210" s="1" t="s">
        <v>790</v>
      </c>
      <c r="AF210" s="1" t="s">
        <v>790</v>
      </c>
      <c r="AG210" s="1" t="s">
        <v>790</v>
      </c>
    </row>
    <row r="211" spans="2:33" x14ac:dyDescent="0.25">
      <c r="B211" s="4" t="s">
        <v>777</v>
      </c>
      <c r="C211" t="s">
        <v>777</v>
      </c>
      <c r="D211" t="s">
        <v>777</v>
      </c>
      <c r="E211" s="1" t="s">
        <v>791</v>
      </c>
      <c r="F211" s="2" t="s">
        <v>791</v>
      </c>
      <c r="G211" s="1" t="s">
        <v>791</v>
      </c>
      <c r="H211" s="1" t="s">
        <v>791</v>
      </c>
      <c r="I211" s="1" t="s">
        <v>791</v>
      </c>
      <c r="J211" s="1" t="s">
        <v>791</v>
      </c>
      <c r="K211" s="1" t="s">
        <v>791</v>
      </c>
      <c r="L211" s="1" t="s">
        <v>791</v>
      </c>
      <c r="M211" s="1" t="s">
        <v>791</v>
      </c>
      <c r="N211" s="1" t="s">
        <v>791</v>
      </c>
      <c r="O211" s="1" t="s">
        <v>791</v>
      </c>
      <c r="P211" s="1" t="s">
        <v>791</v>
      </c>
      <c r="Q211" s="1" t="s">
        <v>791</v>
      </c>
      <c r="R211" s="1" t="s">
        <v>791</v>
      </c>
      <c r="S211" s="1" t="s">
        <v>791</v>
      </c>
      <c r="T211" s="1" t="s">
        <v>791</v>
      </c>
      <c r="U211" s="1" t="s">
        <v>791</v>
      </c>
      <c r="V211" s="1" t="s">
        <v>791</v>
      </c>
      <c r="W211" s="1" t="s">
        <v>791</v>
      </c>
      <c r="X211" s="1" t="s">
        <v>791</v>
      </c>
      <c r="Y211" s="1" t="s">
        <v>791</v>
      </c>
      <c r="Z211" s="1" t="s">
        <v>791</v>
      </c>
      <c r="AA211" s="1" t="s">
        <v>791</v>
      </c>
      <c r="AB211" s="1" t="s">
        <v>791</v>
      </c>
      <c r="AC211" s="1" t="s">
        <v>791</v>
      </c>
      <c r="AD211" s="1" t="s">
        <v>791</v>
      </c>
      <c r="AE211" s="1" t="s">
        <v>791</v>
      </c>
      <c r="AF211" s="1" t="s">
        <v>791</v>
      </c>
      <c r="AG211" s="1" t="s">
        <v>791</v>
      </c>
    </row>
    <row r="212" spans="2:33" x14ac:dyDescent="0.25">
      <c r="B212" s="4" t="s">
        <v>792</v>
      </c>
      <c r="C212" t="s">
        <v>792</v>
      </c>
      <c r="D212" t="s">
        <v>792</v>
      </c>
      <c r="E212" s="1" t="s">
        <v>117</v>
      </c>
      <c r="F212" s="2" t="s">
        <v>117</v>
      </c>
      <c r="G212" s="1" t="s">
        <v>117</v>
      </c>
      <c r="H212" s="1" t="s">
        <v>117</v>
      </c>
      <c r="I212" s="1" t="s">
        <v>117</v>
      </c>
      <c r="J212" s="1" t="s">
        <v>117</v>
      </c>
      <c r="K212" s="1" t="s">
        <v>117</v>
      </c>
      <c r="L212" s="1" t="s">
        <v>117</v>
      </c>
      <c r="M212" s="1" t="s">
        <v>117</v>
      </c>
      <c r="N212" s="1" t="s">
        <v>117</v>
      </c>
      <c r="O212" s="1" t="s">
        <v>117</v>
      </c>
      <c r="P212" s="1" t="s">
        <v>117</v>
      </c>
      <c r="Q212" s="1" t="s">
        <v>117</v>
      </c>
      <c r="R212" s="1" t="s">
        <v>117</v>
      </c>
      <c r="S212" s="1" t="s">
        <v>117</v>
      </c>
      <c r="T212" s="1" t="s">
        <v>117</v>
      </c>
      <c r="U212" s="1" t="s">
        <v>117</v>
      </c>
      <c r="V212" s="1" t="s">
        <v>117</v>
      </c>
      <c r="W212" s="1" t="s">
        <v>117</v>
      </c>
      <c r="X212" s="1" t="s">
        <v>117</v>
      </c>
      <c r="Y212" s="1" t="s">
        <v>117</v>
      </c>
      <c r="Z212" s="1" t="s">
        <v>117</v>
      </c>
      <c r="AA212" s="1" t="s">
        <v>117</v>
      </c>
      <c r="AB212" s="1" t="s">
        <v>117</v>
      </c>
      <c r="AC212" s="1" t="s">
        <v>117</v>
      </c>
      <c r="AD212" s="1" t="s">
        <v>117</v>
      </c>
      <c r="AE212" s="1" t="s">
        <v>117</v>
      </c>
      <c r="AF212" s="1" t="s">
        <v>117</v>
      </c>
      <c r="AG212" s="1" t="s">
        <v>117</v>
      </c>
    </row>
    <row r="213" spans="2:33" x14ac:dyDescent="0.25">
      <c r="B213" s="4" t="s">
        <v>793</v>
      </c>
      <c r="C213" t="s">
        <v>793</v>
      </c>
      <c r="D213" t="s">
        <v>793</v>
      </c>
      <c r="E213" s="1" t="s">
        <v>794</v>
      </c>
      <c r="F213" s="2" t="s">
        <v>794</v>
      </c>
      <c r="G213" s="1" t="s">
        <v>794</v>
      </c>
      <c r="H213" s="1" t="s">
        <v>794</v>
      </c>
      <c r="I213" s="1" t="s">
        <v>794</v>
      </c>
      <c r="J213" s="1" t="s">
        <v>794</v>
      </c>
      <c r="K213" s="1" t="s">
        <v>794</v>
      </c>
      <c r="L213" s="1" t="s">
        <v>794</v>
      </c>
      <c r="M213" s="1" t="s">
        <v>794</v>
      </c>
      <c r="N213" s="1" t="s">
        <v>794</v>
      </c>
      <c r="O213" s="1" t="s">
        <v>794</v>
      </c>
      <c r="P213" s="1" t="s">
        <v>794</v>
      </c>
      <c r="Q213" s="1" t="s">
        <v>794</v>
      </c>
      <c r="R213" s="1" t="s">
        <v>794</v>
      </c>
      <c r="S213" s="1" t="s">
        <v>794</v>
      </c>
      <c r="T213" s="1" t="s">
        <v>794</v>
      </c>
      <c r="U213" s="1" t="s">
        <v>794</v>
      </c>
      <c r="V213" s="1" t="s">
        <v>794</v>
      </c>
      <c r="W213" s="1" t="s">
        <v>794</v>
      </c>
      <c r="X213" s="1" t="s">
        <v>794</v>
      </c>
      <c r="Y213" s="1" t="s">
        <v>794</v>
      </c>
      <c r="Z213" s="1" t="s">
        <v>794</v>
      </c>
      <c r="AA213" s="1" t="s">
        <v>794</v>
      </c>
      <c r="AB213" s="1" t="s">
        <v>794</v>
      </c>
      <c r="AC213" s="1" t="s">
        <v>794</v>
      </c>
      <c r="AD213" s="1" t="s">
        <v>794</v>
      </c>
      <c r="AE213" s="1" t="s">
        <v>794</v>
      </c>
      <c r="AF213" s="1" t="s">
        <v>794</v>
      </c>
      <c r="AG213" s="1" t="s">
        <v>794</v>
      </c>
    </row>
    <row r="214" spans="2:33" x14ac:dyDescent="0.25">
      <c r="B214" s="4" t="s">
        <v>780</v>
      </c>
      <c r="C214" t="s">
        <v>780</v>
      </c>
      <c r="D214" t="s">
        <v>780</v>
      </c>
      <c r="E214" s="1" t="s">
        <v>795</v>
      </c>
      <c r="F214" s="2" t="s">
        <v>795</v>
      </c>
      <c r="G214" s="1" t="s">
        <v>795</v>
      </c>
      <c r="H214" s="1" t="s">
        <v>795</v>
      </c>
      <c r="I214" s="1" t="s">
        <v>795</v>
      </c>
      <c r="J214" s="1" t="s">
        <v>795</v>
      </c>
      <c r="K214" s="1" t="s">
        <v>795</v>
      </c>
      <c r="L214" s="1" t="s">
        <v>795</v>
      </c>
      <c r="M214" s="1" t="s">
        <v>795</v>
      </c>
      <c r="N214" s="1" t="s">
        <v>795</v>
      </c>
      <c r="O214" s="1" t="s">
        <v>795</v>
      </c>
      <c r="P214" s="1" t="s">
        <v>795</v>
      </c>
      <c r="Q214" s="1" t="s">
        <v>795</v>
      </c>
      <c r="R214" s="1" t="s">
        <v>795</v>
      </c>
      <c r="S214" s="1" t="s">
        <v>795</v>
      </c>
      <c r="T214" s="1" t="s">
        <v>795</v>
      </c>
      <c r="U214" s="1" t="s">
        <v>795</v>
      </c>
      <c r="V214" s="1" t="s">
        <v>795</v>
      </c>
      <c r="W214" s="1" t="s">
        <v>795</v>
      </c>
      <c r="X214" s="1" t="s">
        <v>795</v>
      </c>
      <c r="Y214" s="1" t="s">
        <v>795</v>
      </c>
      <c r="Z214" s="1" t="s">
        <v>795</v>
      </c>
      <c r="AA214" s="1" t="s">
        <v>795</v>
      </c>
      <c r="AB214" s="1" t="s">
        <v>795</v>
      </c>
      <c r="AC214" s="1" t="s">
        <v>795</v>
      </c>
      <c r="AD214" s="1" t="s">
        <v>795</v>
      </c>
      <c r="AE214" s="1" t="s">
        <v>795</v>
      </c>
      <c r="AF214" s="1" t="s">
        <v>795</v>
      </c>
      <c r="AG214" s="1" t="s">
        <v>795</v>
      </c>
    </row>
    <row r="215" spans="2:33" x14ac:dyDescent="0.25">
      <c r="B215" s="4" t="s">
        <v>777</v>
      </c>
      <c r="C215" t="s">
        <v>777</v>
      </c>
      <c r="D215" t="s">
        <v>777</v>
      </c>
      <c r="E215" s="1" t="s">
        <v>796</v>
      </c>
      <c r="F215" s="2" t="s">
        <v>796</v>
      </c>
      <c r="G215" s="1" t="s">
        <v>796</v>
      </c>
      <c r="H215" s="1" t="s">
        <v>796</v>
      </c>
      <c r="I215" s="1" t="s">
        <v>796</v>
      </c>
      <c r="J215" s="1" t="s">
        <v>796</v>
      </c>
      <c r="K215" s="1" t="s">
        <v>796</v>
      </c>
      <c r="L215" s="1" t="s">
        <v>796</v>
      </c>
      <c r="M215" s="1" t="s">
        <v>796</v>
      </c>
      <c r="N215" s="1" t="s">
        <v>796</v>
      </c>
      <c r="O215" s="1" t="s">
        <v>796</v>
      </c>
      <c r="P215" s="1" t="s">
        <v>796</v>
      </c>
      <c r="Q215" s="1" t="s">
        <v>796</v>
      </c>
      <c r="R215" s="1" t="s">
        <v>796</v>
      </c>
      <c r="S215" s="1" t="s">
        <v>796</v>
      </c>
      <c r="T215" s="1" t="s">
        <v>796</v>
      </c>
      <c r="U215" s="1" t="s">
        <v>796</v>
      </c>
      <c r="V215" s="1" t="s">
        <v>796</v>
      </c>
      <c r="W215" s="1" t="s">
        <v>796</v>
      </c>
      <c r="X215" s="1" t="s">
        <v>796</v>
      </c>
      <c r="Y215" s="1" t="s">
        <v>796</v>
      </c>
      <c r="Z215" s="1" t="s">
        <v>796</v>
      </c>
      <c r="AA215" s="1" t="s">
        <v>796</v>
      </c>
      <c r="AB215" s="1" t="s">
        <v>796</v>
      </c>
      <c r="AC215" s="1" t="s">
        <v>796</v>
      </c>
      <c r="AD215" s="1" t="s">
        <v>796</v>
      </c>
      <c r="AE215" s="1" t="s">
        <v>796</v>
      </c>
      <c r="AF215" s="1" t="s">
        <v>796</v>
      </c>
      <c r="AG215" s="1" t="s">
        <v>796</v>
      </c>
    </row>
    <row r="216" spans="2:33" x14ac:dyDescent="0.25">
      <c r="B216" s="4" t="s">
        <v>797</v>
      </c>
      <c r="C216" t="s">
        <v>797</v>
      </c>
      <c r="D216" t="s">
        <v>797</v>
      </c>
      <c r="E216" s="1" t="s">
        <v>798</v>
      </c>
      <c r="F216" s="2" t="s">
        <v>798</v>
      </c>
      <c r="G216" s="1" t="s">
        <v>798</v>
      </c>
      <c r="H216" s="1" t="s">
        <v>798</v>
      </c>
      <c r="I216" s="1" t="s">
        <v>798</v>
      </c>
      <c r="J216" s="1" t="s">
        <v>798</v>
      </c>
      <c r="K216" s="1" t="s">
        <v>798</v>
      </c>
      <c r="L216" s="1" t="s">
        <v>798</v>
      </c>
      <c r="M216" s="1" t="s">
        <v>798</v>
      </c>
      <c r="N216" s="1" t="s">
        <v>798</v>
      </c>
      <c r="O216" s="1" t="s">
        <v>798</v>
      </c>
      <c r="P216" s="1" t="s">
        <v>798</v>
      </c>
      <c r="Q216" s="1" t="s">
        <v>798</v>
      </c>
      <c r="R216" s="1" t="s">
        <v>798</v>
      </c>
      <c r="S216" s="1" t="s">
        <v>798</v>
      </c>
      <c r="T216" s="1" t="s">
        <v>798</v>
      </c>
      <c r="U216" s="1" t="s">
        <v>798</v>
      </c>
      <c r="V216" s="1" t="s">
        <v>798</v>
      </c>
      <c r="W216" s="1" t="s">
        <v>798</v>
      </c>
      <c r="X216" s="1" t="s">
        <v>798</v>
      </c>
      <c r="Y216" s="1" t="s">
        <v>798</v>
      </c>
      <c r="Z216" s="1" t="s">
        <v>798</v>
      </c>
      <c r="AA216" s="1" t="s">
        <v>798</v>
      </c>
      <c r="AB216" s="1" t="s">
        <v>798</v>
      </c>
      <c r="AC216" s="1" t="s">
        <v>798</v>
      </c>
      <c r="AD216" s="1" t="s">
        <v>798</v>
      </c>
      <c r="AE216" s="1" t="s">
        <v>798</v>
      </c>
      <c r="AF216" s="1" t="s">
        <v>798</v>
      </c>
      <c r="AG216" s="1" t="s">
        <v>798</v>
      </c>
    </row>
    <row r="217" spans="2:33" x14ac:dyDescent="0.25">
      <c r="B217" s="4" t="s">
        <v>799</v>
      </c>
      <c r="C217" t="s">
        <v>799</v>
      </c>
      <c r="D217" t="s">
        <v>799</v>
      </c>
      <c r="E217" s="1" t="s">
        <v>800</v>
      </c>
      <c r="F217" s="2" t="s">
        <v>800</v>
      </c>
      <c r="G217" s="1" t="s">
        <v>800</v>
      </c>
      <c r="H217" s="1" t="s">
        <v>800</v>
      </c>
      <c r="I217" s="1" t="s">
        <v>800</v>
      </c>
      <c r="J217" s="1" t="s">
        <v>800</v>
      </c>
      <c r="K217" s="1" t="s">
        <v>800</v>
      </c>
      <c r="L217" s="1" t="s">
        <v>800</v>
      </c>
      <c r="M217" s="1" t="s">
        <v>800</v>
      </c>
      <c r="N217" s="1" t="s">
        <v>800</v>
      </c>
      <c r="O217" s="1" t="s">
        <v>800</v>
      </c>
      <c r="P217" s="1" t="s">
        <v>800</v>
      </c>
      <c r="Q217" s="1" t="s">
        <v>800</v>
      </c>
      <c r="R217" s="1" t="s">
        <v>800</v>
      </c>
      <c r="S217" s="1" t="s">
        <v>800</v>
      </c>
      <c r="T217" s="1" t="s">
        <v>800</v>
      </c>
      <c r="U217" s="1" t="s">
        <v>800</v>
      </c>
      <c r="V217" s="1" t="s">
        <v>800</v>
      </c>
      <c r="W217" s="1" t="s">
        <v>800</v>
      </c>
      <c r="X217" s="1" t="s">
        <v>800</v>
      </c>
      <c r="Y217" s="1" t="s">
        <v>800</v>
      </c>
      <c r="Z217" s="1" t="s">
        <v>800</v>
      </c>
      <c r="AA217" s="1" t="s">
        <v>800</v>
      </c>
      <c r="AB217" s="1" t="s">
        <v>800</v>
      </c>
      <c r="AC217" s="1" t="s">
        <v>800</v>
      </c>
      <c r="AD217" s="1" t="s">
        <v>800</v>
      </c>
      <c r="AE217" s="1" t="s">
        <v>800</v>
      </c>
      <c r="AF217" s="1" t="s">
        <v>800</v>
      </c>
      <c r="AG217" s="1" t="s">
        <v>800</v>
      </c>
    </row>
    <row r="218" spans="2:33" x14ac:dyDescent="0.25">
      <c r="B218" s="4" t="s">
        <v>780</v>
      </c>
      <c r="C218" t="s">
        <v>780</v>
      </c>
      <c r="D218" t="s">
        <v>780</v>
      </c>
      <c r="E218" s="1" t="s">
        <v>372</v>
      </c>
      <c r="F218" s="2" t="s">
        <v>372</v>
      </c>
      <c r="G218" s="1" t="s">
        <v>372</v>
      </c>
      <c r="H218" s="1" t="s">
        <v>372</v>
      </c>
      <c r="I218" s="1" t="s">
        <v>372</v>
      </c>
      <c r="J218" s="1" t="s">
        <v>372</v>
      </c>
      <c r="K218" s="1" t="s">
        <v>372</v>
      </c>
      <c r="L218" s="1" t="s">
        <v>372</v>
      </c>
      <c r="M218" s="1" t="s">
        <v>372</v>
      </c>
      <c r="N218" s="1" t="s">
        <v>372</v>
      </c>
      <c r="O218" s="1" t="s">
        <v>372</v>
      </c>
      <c r="P218" s="1" t="s">
        <v>372</v>
      </c>
      <c r="Q218" s="1" t="s">
        <v>372</v>
      </c>
      <c r="R218" s="1" t="s">
        <v>372</v>
      </c>
      <c r="S218" s="1" t="s">
        <v>372</v>
      </c>
      <c r="T218" s="1" t="s">
        <v>372</v>
      </c>
      <c r="U218" s="1" t="s">
        <v>372</v>
      </c>
      <c r="V218" s="1" t="s">
        <v>372</v>
      </c>
      <c r="W218" s="1" t="s">
        <v>372</v>
      </c>
      <c r="X218" s="1" t="s">
        <v>372</v>
      </c>
      <c r="Y218" s="1" t="s">
        <v>372</v>
      </c>
      <c r="Z218" s="1" t="s">
        <v>372</v>
      </c>
      <c r="AA218" s="1" t="s">
        <v>372</v>
      </c>
      <c r="AB218" s="1" t="s">
        <v>372</v>
      </c>
      <c r="AC218" s="1" t="s">
        <v>372</v>
      </c>
      <c r="AD218" s="1" t="s">
        <v>372</v>
      </c>
      <c r="AE218" s="1" t="s">
        <v>372</v>
      </c>
      <c r="AF218" s="1" t="s">
        <v>372</v>
      </c>
      <c r="AG218" s="1" t="s">
        <v>372</v>
      </c>
    </row>
    <row r="219" spans="2:33" x14ac:dyDescent="0.25">
      <c r="B219" s="4" t="s">
        <v>117</v>
      </c>
      <c r="C219" t="s">
        <v>117</v>
      </c>
      <c r="D219" t="s">
        <v>117</v>
      </c>
      <c r="G219" s="1"/>
      <c r="H219" s="1"/>
      <c r="I219" s="1"/>
      <c r="J219" s="1"/>
      <c r="K219" s="1"/>
      <c r="L219" s="1"/>
      <c r="M219" s="1"/>
      <c r="N219" s="1"/>
      <c r="O219" s="1"/>
      <c r="P219" s="1"/>
      <c r="Q219" s="1"/>
      <c r="R219" s="1"/>
    </row>
    <row r="220" spans="2:33" x14ac:dyDescent="0.25">
      <c r="B220" s="4" t="s">
        <v>117</v>
      </c>
      <c r="C220" t="s">
        <v>117</v>
      </c>
      <c r="D220" t="s">
        <v>117</v>
      </c>
      <c r="G220" s="1"/>
      <c r="H220" s="1"/>
      <c r="I220" s="1"/>
      <c r="J220" s="1"/>
      <c r="K220" s="1"/>
      <c r="L220" s="1"/>
      <c r="M220" s="1"/>
      <c r="N220" s="1"/>
      <c r="O220" s="1"/>
      <c r="P220" s="1"/>
      <c r="Q220" s="1"/>
      <c r="R220" s="1"/>
    </row>
    <row r="221" spans="2:33" x14ac:dyDescent="0.25">
      <c r="B221" s="4" t="s">
        <v>688</v>
      </c>
      <c r="C221" t="s">
        <v>688</v>
      </c>
      <c r="D221" t="s">
        <v>688</v>
      </c>
      <c r="G221" s="1"/>
      <c r="H221" s="1"/>
      <c r="I221" s="1"/>
      <c r="J221" s="1"/>
      <c r="K221" s="1"/>
      <c r="L221" s="1"/>
      <c r="M221" s="1"/>
      <c r="N221" s="1"/>
      <c r="O221" s="1"/>
      <c r="P221" s="1"/>
      <c r="Q221" s="1"/>
      <c r="R221" s="1"/>
    </row>
    <row r="222" spans="2:33" x14ac:dyDescent="0.25">
      <c r="B222" s="5"/>
      <c r="G222" s="1"/>
      <c r="H222" s="1"/>
      <c r="I222" s="1"/>
      <c r="J222" s="1"/>
      <c r="K222" s="1"/>
      <c r="L222" s="1"/>
      <c r="M222" s="1"/>
      <c r="N222" s="1"/>
      <c r="O222" s="1"/>
      <c r="P222" s="1"/>
      <c r="Q222" s="1"/>
      <c r="R222" s="1"/>
    </row>
    <row r="223" spans="2:33" x14ac:dyDescent="0.25">
      <c r="B223" s="4" t="s">
        <v>690</v>
      </c>
      <c r="C223" t="s">
        <v>690</v>
      </c>
      <c r="D223" t="s">
        <v>690</v>
      </c>
      <c r="G223" s="1"/>
      <c r="H223" s="1"/>
      <c r="I223" s="1"/>
      <c r="J223" s="1"/>
      <c r="K223" s="1"/>
      <c r="L223" s="1"/>
      <c r="M223" s="1"/>
      <c r="N223" s="1"/>
      <c r="O223" s="1"/>
      <c r="P223" s="1"/>
      <c r="Q223" s="1"/>
      <c r="R223" s="1"/>
    </row>
    <row r="224" spans="2:33" x14ac:dyDescent="0.25">
      <c r="B224" s="4" t="s">
        <v>692</v>
      </c>
      <c r="C224" t="s">
        <v>692</v>
      </c>
      <c r="D224" t="s">
        <v>692</v>
      </c>
      <c r="G224" s="1"/>
      <c r="H224" s="1"/>
      <c r="I224" s="1"/>
      <c r="J224" s="1"/>
      <c r="K224" s="1"/>
      <c r="L224" s="1"/>
      <c r="M224" s="1"/>
      <c r="N224" s="1"/>
      <c r="O224" s="1"/>
      <c r="P224" s="1"/>
      <c r="Q224" s="1"/>
      <c r="R224" s="1"/>
    </row>
    <row r="225" spans="2:18" x14ac:dyDescent="0.25">
      <c r="B225" s="4" t="s">
        <v>694</v>
      </c>
      <c r="C225" t="s">
        <v>694</v>
      </c>
      <c r="D225" t="s">
        <v>694</v>
      </c>
      <c r="G225" s="1"/>
      <c r="H225" s="1"/>
      <c r="I225" s="1"/>
      <c r="J225" s="1"/>
      <c r="K225" s="1"/>
      <c r="L225" s="1"/>
      <c r="M225" s="1"/>
      <c r="N225" s="1"/>
      <c r="O225" s="1"/>
      <c r="P225" s="1"/>
      <c r="Q225" s="1"/>
      <c r="R225" s="1"/>
    </row>
    <row r="226" spans="2:18" x14ac:dyDescent="0.25">
      <c r="B226" s="4" t="s">
        <v>696</v>
      </c>
      <c r="C226" t="s">
        <v>696</v>
      </c>
      <c r="D226" t="s">
        <v>696</v>
      </c>
      <c r="G226" s="1"/>
      <c r="H226" s="1"/>
      <c r="I226" s="1"/>
      <c r="J226" s="1"/>
      <c r="K226" s="1"/>
      <c r="L226" s="1"/>
      <c r="M226" s="1"/>
      <c r="N226" s="1"/>
      <c r="O226" s="1"/>
      <c r="P226" s="1"/>
      <c r="Q226" s="1"/>
      <c r="R226" s="1"/>
    </row>
    <row r="227" spans="2:18" x14ac:dyDescent="0.25">
      <c r="B227" s="4" t="s">
        <v>698</v>
      </c>
      <c r="C227" t="s">
        <v>698</v>
      </c>
      <c r="D227" t="s">
        <v>698</v>
      </c>
      <c r="G227" s="1"/>
      <c r="H227" s="1"/>
      <c r="I227" s="1"/>
      <c r="J227" s="1"/>
      <c r="K227" s="1"/>
      <c r="L227" s="1"/>
      <c r="M227" s="1"/>
      <c r="N227" s="1"/>
      <c r="O227" s="1"/>
      <c r="P227" s="1"/>
      <c r="Q227" s="1"/>
      <c r="R227" s="1"/>
    </row>
    <row r="228" spans="2:18" x14ac:dyDescent="0.25">
      <c r="B228" s="4" t="s">
        <v>117</v>
      </c>
      <c r="C228" t="s">
        <v>117</v>
      </c>
      <c r="D228" t="s">
        <v>117</v>
      </c>
      <c r="G228" s="1"/>
      <c r="H228" s="1"/>
      <c r="I228" s="1"/>
      <c r="J228" s="1"/>
      <c r="K228" s="1"/>
      <c r="L228" s="1"/>
      <c r="M228" s="1"/>
      <c r="N228" s="1"/>
      <c r="O228" s="1"/>
      <c r="P228" s="1"/>
      <c r="Q228" s="1"/>
      <c r="R228" s="1"/>
    </row>
    <row r="229" spans="2:18" x14ac:dyDescent="0.25">
      <c r="B229" s="5"/>
      <c r="G229" s="1"/>
      <c r="H229" s="1"/>
      <c r="I229" s="1"/>
      <c r="J229" s="1"/>
      <c r="K229" s="1"/>
      <c r="L229" s="1"/>
      <c r="M229" s="1"/>
      <c r="N229" s="1"/>
      <c r="O229" s="1"/>
      <c r="P229" s="1"/>
      <c r="Q229" s="1"/>
      <c r="R229" s="1"/>
    </row>
    <row r="230" spans="2:18" x14ac:dyDescent="0.25">
      <c r="B230" s="4" t="s">
        <v>801</v>
      </c>
      <c r="C230" t="s">
        <v>801</v>
      </c>
      <c r="D230" t="s">
        <v>801</v>
      </c>
      <c r="G230" s="1"/>
      <c r="H230" s="1"/>
      <c r="I230" s="1"/>
      <c r="J230" s="1"/>
      <c r="K230" s="1"/>
      <c r="L230" s="1"/>
      <c r="M230" s="1"/>
      <c r="N230" s="1"/>
      <c r="O230" s="1"/>
      <c r="P230" s="1"/>
      <c r="Q230" s="1"/>
      <c r="R230" s="1"/>
    </row>
    <row r="231" spans="2:18" x14ac:dyDescent="0.25">
      <c r="B231" s="4" t="s">
        <v>701</v>
      </c>
      <c r="C231" t="s">
        <v>701</v>
      </c>
      <c r="D231" t="s">
        <v>701</v>
      </c>
      <c r="G231" s="1"/>
      <c r="H231" s="1"/>
      <c r="I231" s="1"/>
      <c r="J231" s="1"/>
      <c r="K231" s="1"/>
      <c r="L231" s="1"/>
      <c r="M231" s="1"/>
      <c r="N231" s="1"/>
      <c r="O231" s="1"/>
      <c r="P231" s="1"/>
      <c r="Q231" s="1"/>
      <c r="R231" s="1"/>
    </row>
    <row r="232" spans="2:18" x14ac:dyDescent="0.25">
      <c r="B232" s="4" t="s">
        <v>703</v>
      </c>
      <c r="C232" t="s">
        <v>703</v>
      </c>
      <c r="D232" t="s">
        <v>703</v>
      </c>
      <c r="G232" s="1"/>
      <c r="H232" s="1"/>
      <c r="I232" s="1"/>
      <c r="J232" s="1"/>
      <c r="K232" s="1"/>
      <c r="L232" s="1"/>
      <c r="M232" s="1"/>
      <c r="N232" s="1"/>
      <c r="O232" s="1"/>
      <c r="P232" s="1"/>
      <c r="Q232" s="1"/>
      <c r="R232" s="1"/>
    </row>
    <row r="233" spans="2:18" x14ac:dyDescent="0.25">
      <c r="B233" s="4" t="s">
        <v>117</v>
      </c>
      <c r="C233" t="s">
        <v>117</v>
      </c>
      <c r="D233" t="s">
        <v>117</v>
      </c>
      <c r="G233" s="1"/>
      <c r="H233" s="1"/>
      <c r="I233" s="1"/>
      <c r="J233" s="1"/>
      <c r="K233" s="1"/>
      <c r="L233" s="1"/>
      <c r="M233" s="1"/>
      <c r="N233" s="1"/>
      <c r="O233" s="1"/>
      <c r="P233" s="1"/>
      <c r="Q233" s="1"/>
      <c r="R233" s="1"/>
    </row>
    <row r="234" spans="2:18" x14ac:dyDescent="0.25">
      <c r="B234" s="4" t="s">
        <v>117</v>
      </c>
      <c r="C234" t="s">
        <v>117</v>
      </c>
      <c r="D234" t="s">
        <v>117</v>
      </c>
      <c r="G234" s="1"/>
      <c r="H234" s="1"/>
      <c r="I234" s="1"/>
      <c r="J234" s="1"/>
      <c r="K234" s="1"/>
      <c r="L234" s="1"/>
      <c r="M234" s="1"/>
      <c r="N234" s="1"/>
      <c r="O234" s="1"/>
      <c r="P234" s="1"/>
      <c r="Q234" s="1"/>
      <c r="R234" s="1"/>
    </row>
    <row r="235" spans="2:18" x14ac:dyDescent="0.25">
      <c r="B235" s="4" t="s">
        <v>688</v>
      </c>
      <c r="C235" t="s">
        <v>688</v>
      </c>
      <c r="D235" t="s">
        <v>688</v>
      </c>
      <c r="G235" s="1"/>
      <c r="H235" s="1"/>
      <c r="I235" s="1"/>
      <c r="J235" s="1"/>
      <c r="K235" s="1"/>
      <c r="L235" s="1"/>
      <c r="M235" s="1"/>
      <c r="N235" s="1"/>
      <c r="O235" s="1"/>
      <c r="P235" s="1"/>
      <c r="Q235" s="1"/>
      <c r="R235" s="1"/>
    </row>
    <row r="236" spans="2:18" x14ac:dyDescent="0.25">
      <c r="B236" s="4" t="s">
        <v>785</v>
      </c>
      <c r="C236" t="s">
        <v>785</v>
      </c>
      <c r="D236" t="s">
        <v>785</v>
      </c>
      <c r="G236" s="1"/>
      <c r="H236" s="1"/>
      <c r="I236" s="1"/>
      <c r="J236" s="1"/>
      <c r="K236" s="1"/>
      <c r="L236" s="1"/>
      <c r="M236" s="1"/>
      <c r="N236" s="1"/>
      <c r="O236" s="1"/>
      <c r="P236" s="1"/>
      <c r="Q236" s="1"/>
      <c r="R236" s="1"/>
    </row>
    <row r="237" spans="2:18" x14ac:dyDescent="0.25">
      <c r="B237" s="5"/>
      <c r="G237" s="1"/>
      <c r="H237" s="1"/>
      <c r="I237" s="1"/>
      <c r="J237" s="1"/>
      <c r="K237" s="1"/>
      <c r="L237" s="1"/>
      <c r="M237" s="1"/>
      <c r="N237" s="1"/>
      <c r="O237" s="1"/>
      <c r="P237" s="1"/>
      <c r="Q237" s="1"/>
      <c r="R237" s="1"/>
    </row>
    <row r="238" spans="2:18" x14ac:dyDescent="0.25">
      <c r="B238" s="4" t="s">
        <v>787</v>
      </c>
      <c r="C238" t="s">
        <v>787</v>
      </c>
      <c r="D238" t="s">
        <v>787</v>
      </c>
      <c r="G238" s="1"/>
      <c r="H238" s="1"/>
      <c r="I238" s="1"/>
      <c r="J238" s="1"/>
      <c r="K238" s="1"/>
      <c r="L238" s="1"/>
      <c r="M238" s="1"/>
      <c r="N238" s="1"/>
      <c r="O238" s="1"/>
      <c r="P238" s="1"/>
      <c r="Q238" s="1"/>
      <c r="R238" s="1"/>
    </row>
    <row r="239" spans="2:18" x14ac:dyDescent="0.25">
      <c r="B239" s="4" t="s">
        <v>789</v>
      </c>
      <c r="C239" t="s">
        <v>789</v>
      </c>
      <c r="D239" t="s">
        <v>789</v>
      </c>
      <c r="G239" s="1"/>
      <c r="H239" s="1"/>
      <c r="I239" s="1"/>
      <c r="J239" s="1"/>
      <c r="K239" s="1"/>
      <c r="L239" s="1"/>
      <c r="M239" s="1"/>
      <c r="N239" s="1"/>
      <c r="O239" s="1"/>
      <c r="P239" s="1"/>
      <c r="Q239" s="1"/>
      <c r="R239" s="1"/>
    </row>
    <row r="240" spans="2:18" x14ac:dyDescent="0.25">
      <c r="B240" s="4" t="s">
        <v>790</v>
      </c>
      <c r="C240" t="s">
        <v>790</v>
      </c>
      <c r="D240" t="s">
        <v>790</v>
      </c>
      <c r="G240" s="1"/>
      <c r="H240" s="1"/>
      <c r="I240" s="1"/>
      <c r="J240" s="1"/>
      <c r="K240" s="1"/>
      <c r="L240" s="1"/>
      <c r="M240" s="1"/>
      <c r="N240" s="1"/>
      <c r="O240" s="1"/>
      <c r="P240" s="1"/>
      <c r="Q240" s="1"/>
      <c r="R240" s="1"/>
    </row>
    <row r="241" spans="2:18" x14ac:dyDescent="0.25">
      <c r="B241" s="4" t="s">
        <v>791</v>
      </c>
      <c r="C241" t="s">
        <v>791</v>
      </c>
      <c r="D241" t="s">
        <v>791</v>
      </c>
      <c r="G241" s="1"/>
      <c r="H241" s="1"/>
      <c r="I241" s="1"/>
      <c r="J241" s="1"/>
      <c r="K241" s="1"/>
      <c r="L241" s="1"/>
      <c r="M241" s="1"/>
      <c r="N241" s="1"/>
      <c r="O241" s="1"/>
      <c r="P241" s="1"/>
      <c r="Q241" s="1"/>
      <c r="R241" s="1"/>
    </row>
    <row r="242" spans="2:18" x14ac:dyDescent="0.25">
      <c r="B242" s="4" t="s">
        <v>117</v>
      </c>
      <c r="C242" t="s">
        <v>117</v>
      </c>
      <c r="D242" t="s">
        <v>117</v>
      </c>
      <c r="G242" s="1"/>
      <c r="H242" s="1"/>
      <c r="I242" s="1"/>
      <c r="J242" s="1"/>
      <c r="K242" s="1"/>
      <c r="L242" s="1"/>
      <c r="M242" s="1"/>
      <c r="N242" s="1"/>
      <c r="O242" s="1"/>
      <c r="P242" s="1"/>
      <c r="Q242" s="1"/>
      <c r="R242" s="1"/>
    </row>
    <row r="243" spans="2:18" x14ac:dyDescent="0.25">
      <c r="B243" s="4" t="s">
        <v>794</v>
      </c>
      <c r="C243" t="s">
        <v>794</v>
      </c>
      <c r="D243" t="s">
        <v>794</v>
      </c>
      <c r="G243" s="1"/>
      <c r="H243" s="1"/>
      <c r="I243" s="1"/>
      <c r="J243" s="1"/>
      <c r="K243" s="1"/>
      <c r="L243" s="1"/>
      <c r="M243" s="1"/>
      <c r="N243" s="1"/>
      <c r="O243" s="1"/>
      <c r="P243" s="1"/>
      <c r="Q243" s="1"/>
      <c r="R243" s="1"/>
    </row>
    <row r="244" spans="2:18" x14ac:dyDescent="0.25">
      <c r="B244" s="4" t="s">
        <v>795</v>
      </c>
      <c r="C244" t="s">
        <v>795</v>
      </c>
      <c r="D244" t="s">
        <v>795</v>
      </c>
      <c r="G244" s="1"/>
      <c r="H244" s="1"/>
      <c r="I244" s="1"/>
      <c r="J244" s="1"/>
      <c r="K244" s="1"/>
      <c r="L244" s="1"/>
      <c r="M244" s="1"/>
      <c r="N244" s="1"/>
      <c r="O244" s="1"/>
      <c r="P244" s="1"/>
      <c r="Q244" s="1"/>
      <c r="R244" s="1"/>
    </row>
    <row r="245" spans="2:18" x14ac:dyDescent="0.25">
      <c r="B245" s="4" t="s">
        <v>796</v>
      </c>
      <c r="C245" t="s">
        <v>796</v>
      </c>
      <c r="D245" t="s">
        <v>796</v>
      </c>
      <c r="G245" s="1"/>
      <c r="H245" s="1"/>
      <c r="I245" s="1"/>
      <c r="J245" s="1"/>
      <c r="K245" s="1"/>
      <c r="L245" s="1"/>
      <c r="M245" s="1"/>
      <c r="N245" s="1"/>
      <c r="O245" s="1"/>
      <c r="P245" s="1"/>
      <c r="Q245" s="1"/>
      <c r="R245" s="1"/>
    </row>
    <row r="246" spans="2:18" x14ac:dyDescent="0.25">
      <c r="B246" s="4" t="s">
        <v>802</v>
      </c>
      <c r="C246" t="s">
        <v>798</v>
      </c>
      <c r="D246" t="s">
        <v>798</v>
      </c>
      <c r="G246" s="1"/>
      <c r="H246" s="1"/>
      <c r="I246" s="1"/>
      <c r="J246" s="1"/>
      <c r="K246" s="1"/>
      <c r="L246" s="1"/>
      <c r="M246" s="1"/>
      <c r="N246" s="1"/>
      <c r="O246" s="1"/>
      <c r="P246" s="1"/>
      <c r="Q246" s="1"/>
      <c r="R246" s="1"/>
    </row>
    <row r="247" spans="2:18" x14ac:dyDescent="0.25">
      <c r="B247" s="9" t="s">
        <v>800</v>
      </c>
      <c r="C247" t="s">
        <v>800</v>
      </c>
      <c r="D247" t="s">
        <v>800</v>
      </c>
      <c r="G247" s="1"/>
      <c r="H247" s="1"/>
      <c r="I247" s="1"/>
      <c r="J247" s="1"/>
      <c r="K247" s="1"/>
      <c r="L247" s="1"/>
      <c r="M247" s="1"/>
      <c r="N247" s="1"/>
      <c r="O247" s="1"/>
      <c r="P247" s="1"/>
      <c r="Q247" s="1"/>
      <c r="R247" s="1"/>
    </row>
    <row r="248" spans="2:18" x14ac:dyDescent="0.25">
      <c r="B248" s="3" t="s">
        <v>391</v>
      </c>
      <c r="C248" t="s">
        <v>372</v>
      </c>
      <c r="D248" t="s">
        <v>372</v>
      </c>
      <c r="G248" s="1"/>
      <c r="H248" s="1"/>
      <c r="I248" s="1"/>
      <c r="J248" s="1"/>
      <c r="K248" s="1"/>
      <c r="L248" s="1"/>
      <c r="M248" s="1"/>
      <c r="N248" s="1"/>
      <c r="O248" s="1"/>
      <c r="P248" s="1"/>
      <c r="Q248" s="1"/>
      <c r="R248" s="1"/>
    </row>
  </sheetData>
  <pageMargins left="0.7" right="0.7" top="0.78749999999999998" bottom="0.78749999999999998"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abSelected="1" zoomScaleNormal="100" workbookViewId="0"/>
  </sheetViews>
  <sheetFormatPr baseColWidth="10" defaultColWidth="10.7109375" defaultRowHeight="15" x14ac:dyDescent="0.25"/>
  <sheetData>
    <row r="1" spans="1:1" ht="409.5" x14ac:dyDescent="0.25">
      <c r="A1" s="7" t="s">
        <v>839</v>
      </c>
    </row>
  </sheetData>
  <pageMargins left="0.7" right="0.7" top="0.78749999999999998" bottom="0.78749999999999998"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zoomScaleNormal="100" workbookViewId="0"/>
  </sheetViews>
  <sheetFormatPr baseColWidth="10" defaultColWidth="10.7109375" defaultRowHeight="15" x14ac:dyDescent="0.25"/>
  <sheetData>
    <row r="1" spans="1:1" ht="409.5" x14ac:dyDescent="0.25">
      <c r="A1" s="7" t="s">
        <v>392</v>
      </c>
    </row>
  </sheetData>
  <pageMargins left="0.7" right="0.7" top="0.78749999999999998" bottom="0.78749999999999998"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0"/>
  <sheetViews>
    <sheetView topLeftCell="A19" zoomScaleNormal="100" workbookViewId="0">
      <selection activeCell="F20" sqref="F20"/>
    </sheetView>
  </sheetViews>
  <sheetFormatPr baseColWidth="10" defaultColWidth="10.7109375" defaultRowHeight="15" x14ac:dyDescent="0.25"/>
  <cols>
    <col min="1" max="1" width="57" customWidth="1"/>
    <col min="2" max="2" width="14.140625" customWidth="1"/>
    <col min="3" max="3" width="15.42578125" customWidth="1"/>
    <col min="4" max="4" width="56.42578125" customWidth="1"/>
    <col min="5" max="5" width="57" customWidth="1"/>
    <col min="6" max="6" width="22.42578125" customWidth="1"/>
    <col min="7" max="7" width="21.7109375" customWidth="1"/>
    <col min="8" max="8" width="74.5703125" customWidth="1"/>
    <col min="9" max="9" width="79.42578125" customWidth="1"/>
    <col min="10" max="10" width="79.28515625" customWidth="1"/>
    <col min="11" max="11" width="81.140625" customWidth="1"/>
    <col min="12" max="12" width="25" customWidth="1"/>
    <col min="13" max="13" width="17.28515625" customWidth="1"/>
    <col min="14" max="14" width="15" customWidth="1"/>
    <col min="15" max="15" width="28.85546875" customWidth="1"/>
    <col min="16" max="16" width="22.140625" customWidth="1"/>
    <col min="17" max="17" width="17.85546875" customWidth="1"/>
    <col min="18" max="18" width="74.5703125" customWidth="1"/>
    <col min="19" max="19" width="11.140625" customWidth="1"/>
    <col min="20" max="20" width="11.42578125" customWidth="1"/>
  </cols>
  <sheetData>
    <row r="1" spans="1:12" x14ac:dyDescent="0.25">
      <c r="A1" t="s">
        <v>393</v>
      </c>
      <c r="B1" t="s">
        <v>394</v>
      </c>
      <c r="C1" t="s">
        <v>395</v>
      </c>
      <c r="D1" t="s">
        <v>396</v>
      </c>
      <c r="E1" t="s">
        <v>397</v>
      </c>
      <c r="F1" t="s">
        <v>398</v>
      </c>
      <c r="G1" t="s">
        <v>399</v>
      </c>
      <c r="H1" t="s">
        <v>400</v>
      </c>
      <c r="I1" t="s">
        <v>401</v>
      </c>
      <c r="J1" t="s">
        <v>402</v>
      </c>
      <c r="K1" t="s">
        <v>403</v>
      </c>
      <c r="L1" t="s">
        <v>404</v>
      </c>
    </row>
    <row r="2" spans="1:12" x14ac:dyDescent="0.25">
      <c r="A2" t="s">
        <v>405</v>
      </c>
      <c r="B2" t="s">
        <v>406</v>
      </c>
      <c r="C2">
        <v>2026</v>
      </c>
      <c r="D2" t="s">
        <v>407</v>
      </c>
      <c r="E2" t="s">
        <v>408</v>
      </c>
      <c r="F2" t="s">
        <v>409</v>
      </c>
      <c r="G2" t="s">
        <v>410</v>
      </c>
      <c r="H2" t="s">
        <v>411</v>
      </c>
      <c r="I2" t="s">
        <v>412</v>
      </c>
      <c r="J2" t="s">
        <v>413</v>
      </c>
      <c r="K2" t="s">
        <v>414</v>
      </c>
      <c r="L2" t="s">
        <v>415</v>
      </c>
    </row>
    <row r="3" spans="1:12" x14ac:dyDescent="0.25">
      <c r="A3" t="s">
        <v>416</v>
      </c>
      <c r="B3" t="s">
        <v>417</v>
      </c>
      <c r="C3">
        <v>2025</v>
      </c>
      <c r="D3" t="s">
        <v>418</v>
      </c>
      <c r="E3" t="s">
        <v>419</v>
      </c>
      <c r="F3" t="s">
        <v>420</v>
      </c>
      <c r="G3" t="s">
        <v>421</v>
      </c>
      <c r="H3" t="s">
        <v>422</v>
      </c>
      <c r="I3" t="s">
        <v>423</v>
      </c>
      <c r="J3" t="s">
        <v>424</v>
      </c>
      <c r="K3" t="s">
        <v>425</v>
      </c>
      <c r="L3" t="s">
        <v>426</v>
      </c>
    </row>
    <row r="4" spans="1:12" ht="210" x14ac:dyDescent="0.25">
      <c r="A4" t="s">
        <v>427</v>
      </c>
      <c r="B4" t="s">
        <v>406</v>
      </c>
      <c r="C4">
        <v>2025</v>
      </c>
      <c r="D4" t="s">
        <v>428</v>
      </c>
      <c r="E4" t="s">
        <v>429</v>
      </c>
      <c r="F4" t="s">
        <v>430</v>
      </c>
      <c r="G4" t="s">
        <v>431</v>
      </c>
      <c r="H4" t="s">
        <v>432</v>
      </c>
      <c r="I4" t="s">
        <v>433</v>
      </c>
      <c r="J4" t="s">
        <v>434</v>
      </c>
      <c r="K4" s="7" t="s">
        <v>435</v>
      </c>
      <c r="L4" t="s">
        <v>436</v>
      </c>
    </row>
    <row r="5" spans="1:12" x14ac:dyDescent="0.25">
      <c r="A5" t="s">
        <v>437</v>
      </c>
      <c r="B5" t="s">
        <v>417</v>
      </c>
      <c r="C5">
        <v>2024</v>
      </c>
      <c r="D5" t="s">
        <v>438</v>
      </c>
      <c r="E5" t="s">
        <v>429</v>
      </c>
      <c r="F5" t="s">
        <v>439</v>
      </c>
      <c r="G5" t="s">
        <v>440</v>
      </c>
      <c r="H5" t="s">
        <v>441</v>
      </c>
      <c r="I5" t="s">
        <v>442</v>
      </c>
      <c r="J5" t="s">
        <v>443</v>
      </c>
      <c r="K5" t="s">
        <v>444</v>
      </c>
      <c r="L5" t="s">
        <v>445</v>
      </c>
    </row>
    <row r="6" spans="1:12" x14ac:dyDescent="0.25">
      <c r="A6" t="s">
        <v>446</v>
      </c>
      <c r="B6" t="s">
        <v>406</v>
      </c>
      <c r="C6">
        <v>2024</v>
      </c>
      <c r="D6" t="s">
        <v>447</v>
      </c>
      <c r="E6" t="s">
        <v>448</v>
      </c>
      <c r="F6" t="s">
        <v>449</v>
      </c>
      <c r="G6" t="s">
        <v>450</v>
      </c>
      <c r="H6" t="s">
        <v>451</v>
      </c>
      <c r="I6" t="s">
        <v>452</v>
      </c>
      <c r="J6" t="s">
        <v>453</v>
      </c>
      <c r="K6" t="s">
        <v>454</v>
      </c>
      <c r="L6" t="s">
        <v>455</v>
      </c>
    </row>
    <row r="7" spans="1:12" x14ac:dyDescent="0.25">
      <c r="A7" t="s">
        <v>456</v>
      </c>
      <c r="B7" t="s">
        <v>417</v>
      </c>
      <c r="C7">
        <v>2023</v>
      </c>
      <c r="D7" t="s">
        <v>457</v>
      </c>
      <c r="E7" t="s">
        <v>458</v>
      </c>
      <c r="F7" t="s">
        <v>459</v>
      </c>
      <c r="G7" t="s">
        <v>460</v>
      </c>
      <c r="H7" t="s">
        <v>461</v>
      </c>
      <c r="I7" t="s">
        <v>462</v>
      </c>
      <c r="J7" t="s">
        <v>463</v>
      </c>
      <c r="K7" t="s">
        <v>464</v>
      </c>
      <c r="L7" t="s">
        <v>465</v>
      </c>
    </row>
    <row r="8" spans="1:12" x14ac:dyDescent="0.25">
      <c r="A8" t="s">
        <v>466</v>
      </c>
      <c r="B8" t="s">
        <v>406</v>
      </c>
      <c r="C8">
        <v>2023</v>
      </c>
      <c r="D8" t="s">
        <v>467</v>
      </c>
      <c r="E8" t="s">
        <v>468</v>
      </c>
      <c r="F8" t="s">
        <v>469</v>
      </c>
      <c r="G8" t="s">
        <v>470</v>
      </c>
      <c r="H8" t="s">
        <v>471</v>
      </c>
      <c r="I8" t="s">
        <v>472</v>
      </c>
      <c r="J8" t="s">
        <v>473</v>
      </c>
      <c r="K8" t="s">
        <v>474</v>
      </c>
      <c r="L8" t="s">
        <v>475</v>
      </c>
    </row>
    <row r="9" spans="1:12" x14ac:dyDescent="0.25">
      <c r="A9" t="s">
        <v>476</v>
      </c>
      <c r="B9" t="s">
        <v>417</v>
      </c>
      <c r="C9">
        <v>2022</v>
      </c>
      <c r="D9" t="s">
        <v>477</v>
      </c>
      <c r="E9" t="s">
        <v>468</v>
      </c>
      <c r="F9" s="10" t="s">
        <v>638</v>
      </c>
      <c r="G9" s="10" t="s">
        <v>637</v>
      </c>
      <c r="H9" t="s">
        <v>478</v>
      </c>
      <c r="I9" t="s">
        <v>479</v>
      </c>
      <c r="J9" t="s">
        <v>480</v>
      </c>
      <c r="K9" t="s">
        <v>481</v>
      </c>
      <c r="L9" t="s">
        <v>482</v>
      </c>
    </row>
    <row r="10" spans="1:12" x14ac:dyDescent="0.25">
      <c r="A10" t="s">
        <v>483</v>
      </c>
      <c r="B10" t="s">
        <v>406</v>
      </c>
      <c r="C10">
        <v>2022</v>
      </c>
      <c r="D10" t="s">
        <v>484</v>
      </c>
      <c r="E10" t="s">
        <v>468</v>
      </c>
      <c r="F10" s="10" t="s">
        <v>639</v>
      </c>
      <c r="G10" s="10" t="s">
        <v>640</v>
      </c>
      <c r="H10" t="s">
        <v>485</v>
      </c>
      <c r="I10" t="s">
        <v>486</v>
      </c>
      <c r="J10" t="s">
        <v>487</v>
      </c>
      <c r="L10" t="s">
        <v>488</v>
      </c>
    </row>
    <row r="11" spans="1:12" x14ac:dyDescent="0.25">
      <c r="A11" t="s">
        <v>489</v>
      </c>
      <c r="B11" t="s">
        <v>417</v>
      </c>
      <c r="C11">
        <v>2021</v>
      </c>
      <c r="D11" t="s">
        <v>490</v>
      </c>
      <c r="E11" t="s">
        <v>491</v>
      </c>
      <c r="F11" t="s">
        <v>492</v>
      </c>
      <c r="G11" t="s">
        <v>493</v>
      </c>
      <c r="H11" t="s">
        <v>494</v>
      </c>
      <c r="I11" t="s">
        <v>495</v>
      </c>
      <c r="J11" t="s">
        <v>496</v>
      </c>
      <c r="K11" t="s">
        <v>497</v>
      </c>
      <c r="L11" t="s">
        <v>498</v>
      </c>
    </row>
    <row r="12" spans="1:12" ht="210" x14ac:dyDescent="0.25">
      <c r="A12" t="s">
        <v>499</v>
      </c>
      <c r="B12" t="s">
        <v>406</v>
      </c>
      <c r="C12">
        <v>2021</v>
      </c>
      <c r="D12" t="s">
        <v>500</v>
      </c>
      <c r="E12" t="s">
        <v>501</v>
      </c>
      <c r="F12" s="11" t="s">
        <v>805</v>
      </c>
      <c r="G12" s="10" t="s">
        <v>806</v>
      </c>
      <c r="H12" t="s">
        <v>502</v>
      </c>
      <c r="I12" t="s">
        <v>503</v>
      </c>
      <c r="J12" t="s">
        <v>504</v>
      </c>
      <c r="K12" s="7" t="s">
        <v>505</v>
      </c>
      <c r="L12" t="s">
        <v>506</v>
      </c>
    </row>
    <row r="13" spans="1:12" x14ac:dyDescent="0.25">
      <c r="A13" t="s">
        <v>507</v>
      </c>
      <c r="B13" t="s">
        <v>417</v>
      </c>
      <c r="C13">
        <v>2020</v>
      </c>
      <c r="D13" t="s">
        <v>508</v>
      </c>
      <c r="E13" t="s">
        <v>509</v>
      </c>
      <c r="F13" s="10" t="s">
        <v>807</v>
      </c>
      <c r="G13" s="10" t="s">
        <v>808</v>
      </c>
      <c r="H13" t="s">
        <v>510</v>
      </c>
      <c r="I13" t="s">
        <v>511</v>
      </c>
      <c r="J13" t="s">
        <v>512</v>
      </c>
      <c r="K13" t="s">
        <v>513</v>
      </c>
      <c r="L13" t="s">
        <v>514</v>
      </c>
    </row>
    <row r="14" spans="1:12" x14ac:dyDescent="0.25">
      <c r="A14" t="s">
        <v>515</v>
      </c>
      <c r="B14" t="s">
        <v>406</v>
      </c>
      <c r="C14">
        <v>2020</v>
      </c>
      <c r="D14" t="s">
        <v>516</v>
      </c>
      <c r="E14" t="s">
        <v>408</v>
      </c>
      <c r="F14" s="10" t="s">
        <v>809</v>
      </c>
      <c r="G14" s="10" t="s">
        <v>810</v>
      </c>
      <c r="H14" t="s">
        <v>517</v>
      </c>
      <c r="I14" t="s">
        <v>518</v>
      </c>
      <c r="J14" t="s">
        <v>519</v>
      </c>
      <c r="K14" t="s">
        <v>520</v>
      </c>
      <c r="L14" t="s">
        <v>521</v>
      </c>
    </row>
    <row r="15" spans="1:12" x14ac:dyDescent="0.25">
      <c r="A15" t="s">
        <v>522</v>
      </c>
      <c r="B15" t="s">
        <v>417</v>
      </c>
      <c r="C15">
        <v>2019</v>
      </c>
      <c r="D15" t="s">
        <v>523</v>
      </c>
      <c r="E15" t="s">
        <v>524</v>
      </c>
      <c r="F15" s="10" t="s">
        <v>811</v>
      </c>
      <c r="G15" s="10" t="s">
        <v>813</v>
      </c>
      <c r="H15" t="s">
        <v>525</v>
      </c>
      <c r="I15" t="s">
        <v>526</v>
      </c>
      <c r="J15" t="s">
        <v>527</v>
      </c>
      <c r="K15" t="s">
        <v>528</v>
      </c>
      <c r="L15" t="s">
        <v>529</v>
      </c>
    </row>
    <row r="16" spans="1:12" x14ac:dyDescent="0.25">
      <c r="A16" t="s">
        <v>530</v>
      </c>
      <c r="B16" t="s">
        <v>406</v>
      </c>
      <c r="C16">
        <v>2019</v>
      </c>
      <c r="D16" t="s">
        <v>531</v>
      </c>
      <c r="E16" t="s">
        <v>532</v>
      </c>
      <c r="F16" s="10" t="s">
        <v>814</v>
      </c>
      <c r="G16" s="10" t="s">
        <v>815</v>
      </c>
      <c r="H16" t="s">
        <v>533</v>
      </c>
      <c r="I16" t="s">
        <v>534</v>
      </c>
      <c r="J16" t="s">
        <v>535</v>
      </c>
      <c r="K16" t="s">
        <v>536</v>
      </c>
      <c r="L16" t="s">
        <v>537</v>
      </c>
    </row>
    <row r="17" spans="1:12" x14ac:dyDescent="0.25">
      <c r="A17" t="s">
        <v>538</v>
      </c>
      <c r="B17" t="s">
        <v>417</v>
      </c>
      <c r="C17">
        <v>2018</v>
      </c>
      <c r="D17" t="s">
        <v>539</v>
      </c>
      <c r="E17" t="s">
        <v>524</v>
      </c>
      <c r="F17" s="12" t="s">
        <v>812</v>
      </c>
      <c r="G17" s="12" t="s">
        <v>816</v>
      </c>
      <c r="H17" t="s">
        <v>540</v>
      </c>
      <c r="I17" t="s">
        <v>541</v>
      </c>
      <c r="J17" t="s">
        <v>542</v>
      </c>
      <c r="K17" t="s">
        <v>543</v>
      </c>
      <c r="L17" t="s">
        <v>544</v>
      </c>
    </row>
    <row r="18" spans="1:12" x14ac:dyDescent="0.25">
      <c r="A18" t="s">
        <v>545</v>
      </c>
      <c r="B18" t="s">
        <v>406</v>
      </c>
      <c r="C18">
        <v>2018</v>
      </c>
      <c r="D18" t="s">
        <v>546</v>
      </c>
      <c r="E18" t="s">
        <v>547</v>
      </c>
      <c r="F18" s="12" t="s">
        <v>817</v>
      </c>
      <c r="G18" s="12" t="s">
        <v>818</v>
      </c>
      <c r="H18" t="s">
        <v>548</v>
      </c>
      <c r="I18" t="s">
        <v>549</v>
      </c>
      <c r="J18" t="s">
        <v>550</v>
      </c>
      <c r="K18" t="s">
        <v>551</v>
      </c>
      <c r="L18" t="s">
        <v>552</v>
      </c>
    </row>
    <row r="19" spans="1:12" ht="180" x14ac:dyDescent="0.25">
      <c r="A19" t="s">
        <v>553</v>
      </c>
      <c r="B19" t="s">
        <v>417</v>
      </c>
      <c r="C19">
        <v>2017</v>
      </c>
      <c r="D19" t="s">
        <v>554</v>
      </c>
      <c r="E19" t="s">
        <v>555</v>
      </c>
      <c r="F19" s="12" t="s">
        <v>835</v>
      </c>
      <c r="G19" s="12" t="s">
        <v>836</v>
      </c>
      <c r="H19" t="s">
        <v>556</v>
      </c>
      <c r="I19" t="s">
        <v>557</v>
      </c>
      <c r="J19" t="s">
        <v>558</v>
      </c>
      <c r="K19" s="7" t="s">
        <v>559</v>
      </c>
      <c r="L19" t="s">
        <v>560</v>
      </c>
    </row>
    <row r="20" spans="1:12" x14ac:dyDescent="0.25">
      <c r="A20" t="s">
        <v>561</v>
      </c>
      <c r="B20" t="s">
        <v>406</v>
      </c>
      <c r="C20">
        <v>2017</v>
      </c>
      <c r="D20" t="s">
        <v>562</v>
      </c>
      <c r="E20" t="s">
        <v>563</v>
      </c>
      <c r="F20" s="12" t="s">
        <v>833</v>
      </c>
      <c r="G20" s="12" t="s">
        <v>834</v>
      </c>
      <c r="H20" t="s">
        <v>564</v>
      </c>
      <c r="I20" t="s">
        <v>565</v>
      </c>
      <c r="J20" t="s">
        <v>566</v>
      </c>
      <c r="L20" t="s">
        <v>567</v>
      </c>
    </row>
    <row r="21" spans="1:12" x14ac:dyDescent="0.25">
      <c r="A21" t="s">
        <v>568</v>
      </c>
      <c r="B21" t="s">
        <v>417</v>
      </c>
      <c r="C21">
        <v>2016</v>
      </c>
      <c r="D21" t="s">
        <v>569</v>
      </c>
      <c r="E21" t="s">
        <v>570</v>
      </c>
      <c r="F21" s="12" t="s">
        <v>831</v>
      </c>
      <c r="G21" s="12" t="s">
        <v>832</v>
      </c>
      <c r="H21" t="s">
        <v>571</v>
      </c>
      <c r="I21" t="s">
        <v>572</v>
      </c>
      <c r="L21" t="s">
        <v>573</v>
      </c>
    </row>
    <row r="22" spans="1:12" x14ac:dyDescent="0.25">
      <c r="A22" t="s">
        <v>574</v>
      </c>
      <c r="B22" t="s">
        <v>406</v>
      </c>
      <c r="C22">
        <v>2016</v>
      </c>
      <c r="D22" t="s">
        <v>575</v>
      </c>
      <c r="E22" t="s">
        <v>576</v>
      </c>
      <c r="F22" s="12" t="s">
        <v>829</v>
      </c>
      <c r="G22" s="12" t="s">
        <v>830</v>
      </c>
      <c r="H22" t="s">
        <v>577</v>
      </c>
      <c r="I22" t="s">
        <v>578</v>
      </c>
      <c r="J22" t="s">
        <v>579</v>
      </c>
      <c r="K22" t="s">
        <v>580</v>
      </c>
      <c r="L22" t="s">
        <v>581</v>
      </c>
    </row>
    <row r="23" spans="1:12" x14ac:dyDescent="0.25">
      <c r="A23" t="s">
        <v>582</v>
      </c>
      <c r="B23" t="s">
        <v>417</v>
      </c>
      <c r="C23">
        <v>2015</v>
      </c>
      <c r="D23" t="s">
        <v>583</v>
      </c>
      <c r="E23" t="s">
        <v>584</v>
      </c>
      <c r="F23" s="12" t="s">
        <v>827</v>
      </c>
      <c r="G23" s="12" t="s">
        <v>828</v>
      </c>
      <c r="H23" t="s">
        <v>585</v>
      </c>
      <c r="I23" t="s">
        <v>586</v>
      </c>
      <c r="J23" t="s">
        <v>587</v>
      </c>
      <c r="K23" t="s">
        <v>588</v>
      </c>
      <c r="L23" t="s">
        <v>589</v>
      </c>
    </row>
    <row r="24" spans="1:12" ht="90" x14ac:dyDescent="0.25">
      <c r="A24" t="s">
        <v>590</v>
      </c>
      <c r="B24" t="s">
        <v>406</v>
      </c>
      <c r="C24">
        <v>2015</v>
      </c>
      <c r="D24" t="s">
        <v>591</v>
      </c>
      <c r="E24" t="s">
        <v>501</v>
      </c>
      <c r="F24" s="12" t="s">
        <v>825</v>
      </c>
      <c r="G24" s="12" t="s">
        <v>826</v>
      </c>
      <c r="H24" t="s">
        <v>592</v>
      </c>
      <c r="I24" t="s">
        <v>593</v>
      </c>
      <c r="J24" t="s">
        <v>594</v>
      </c>
      <c r="K24" s="7" t="s">
        <v>595</v>
      </c>
      <c r="L24" t="s">
        <v>596</v>
      </c>
    </row>
    <row r="25" spans="1:12" x14ac:dyDescent="0.25">
      <c r="A25" t="s">
        <v>597</v>
      </c>
      <c r="B25" t="s">
        <v>417</v>
      </c>
      <c r="C25">
        <v>2014</v>
      </c>
      <c r="D25" t="s">
        <v>598</v>
      </c>
      <c r="E25" t="s">
        <v>448</v>
      </c>
      <c r="F25" s="12" t="s">
        <v>823</v>
      </c>
      <c r="G25" s="12" t="s">
        <v>824</v>
      </c>
      <c r="H25" t="s">
        <v>599</v>
      </c>
      <c r="I25" t="s">
        <v>600</v>
      </c>
      <c r="J25" t="s">
        <v>601</v>
      </c>
      <c r="K25" t="s">
        <v>602</v>
      </c>
      <c r="L25" t="s">
        <v>603</v>
      </c>
    </row>
    <row r="26" spans="1:12" x14ac:dyDescent="0.25">
      <c r="A26" t="s">
        <v>604</v>
      </c>
      <c r="B26" t="s">
        <v>406</v>
      </c>
      <c r="C26">
        <v>2014</v>
      </c>
      <c r="D26" t="s">
        <v>605</v>
      </c>
      <c r="E26" t="s">
        <v>532</v>
      </c>
      <c r="F26" s="12" t="s">
        <v>612</v>
      </c>
      <c r="G26" s="12" t="s">
        <v>613</v>
      </c>
      <c r="H26" t="s">
        <v>606</v>
      </c>
      <c r="I26" t="s">
        <v>607</v>
      </c>
      <c r="J26" t="s">
        <v>535</v>
      </c>
      <c r="K26" t="s">
        <v>608</v>
      </c>
      <c r="L26" t="s">
        <v>609</v>
      </c>
    </row>
    <row r="27" spans="1:12" x14ac:dyDescent="0.25">
      <c r="A27" t="s">
        <v>610</v>
      </c>
      <c r="B27" t="s">
        <v>417</v>
      </c>
      <c r="C27">
        <v>2013</v>
      </c>
      <c r="D27" t="s">
        <v>611</v>
      </c>
      <c r="E27" t="s">
        <v>532</v>
      </c>
      <c r="F27" s="12" t="s">
        <v>612</v>
      </c>
      <c r="G27" s="12" t="s">
        <v>613</v>
      </c>
      <c r="H27" t="s">
        <v>614</v>
      </c>
      <c r="I27" t="s">
        <v>615</v>
      </c>
      <c r="J27" t="s">
        <v>616</v>
      </c>
      <c r="K27" t="s">
        <v>617</v>
      </c>
      <c r="L27" t="s">
        <v>618</v>
      </c>
    </row>
    <row r="28" spans="1:12" x14ac:dyDescent="0.25">
      <c r="A28" t="s">
        <v>619</v>
      </c>
      <c r="B28" t="s">
        <v>406</v>
      </c>
      <c r="C28">
        <v>2013</v>
      </c>
      <c r="D28" t="s">
        <v>620</v>
      </c>
      <c r="E28" t="s">
        <v>532</v>
      </c>
      <c r="F28" s="12" t="s">
        <v>821</v>
      </c>
      <c r="G28" s="12" t="s">
        <v>822</v>
      </c>
      <c r="H28" t="s">
        <v>621</v>
      </c>
      <c r="I28" t="s">
        <v>622</v>
      </c>
      <c r="J28" t="s">
        <v>535</v>
      </c>
      <c r="K28" t="s">
        <v>608</v>
      </c>
      <c r="L28" t="s">
        <v>623</v>
      </c>
    </row>
    <row r="29" spans="1:12" x14ac:dyDescent="0.25">
      <c r="A29" t="s">
        <v>624</v>
      </c>
      <c r="B29" t="s">
        <v>417</v>
      </c>
      <c r="C29">
        <v>2012</v>
      </c>
      <c r="D29" t="s">
        <v>625</v>
      </c>
      <c r="F29" s="12"/>
      <c r="G29" s="12"/>
      <c r="H29" t="s">
        <v>626</v>
      </c>
      <c r="L29" t="s">
        <v>627</v>
      </c>
    </row>
    <row r="30" spans="1:12" x14ac:dyDescent="0.25">
      <c r="A30" t="s">
        <v>628</v>
      </c>
      <c r="B30" t="s">
        <v>406</v>
      </c>
      <c r="C30">
        <v>2012</v>
      </c>
      <c r="D30" t="s">
        <v>629</v>
      </c>
      <c r="E30" t="s">
        <v>532</v>
      </c>
      <c r="F30" s="12" t="s">
        <v>819</v>
      </c>
      <c r="G30" s="12" t="s">
        <v>820</v>
      </c>
      <c r="H30" t="s">
        <v>630</v>
      </c>
      <c r="I30" t="s">
        <v>631</v>
      </c>
      <c r="J30" t="s">
        <v>632</v>
      </c>
      <c r="K30" t="s">
        <v>633</v>
      </c>
    </row>
  </sheetData>
  <pageMargins left="0.7" right="0.7" top="0.78749999999999998" bottom="0.78749999999999998"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zoomScaleNormal="100" workbookViewId="0"/>
  </sheetViews>
  <sheetFormatPr baseColWidth="10" defaultColWidth="10.7109375" defaultRowHeight="15" x14ac:dyDescent="0.25"/>
  <cols>
    <col min="1" max="1" width="11.42578125" customWidth="1"/>
  </cols>
  <sheetData/>
  <pageMargins left="0.7" right="0.7" top="0.78749999999999998" bottom="0.78749999999999998"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Q248"/>
  <sheetViews>
    <sheetView zoomScaleNormal="100" workbookViewId="0">
      <selection activeCell="A6" sqref="A6"/>
    </sheetView>
  </sheetViews>
  <sheetFormatPr baseColWidth="10" defaultColWidth="10.7109375" defaultRowHeight="15" x14ac:dyDescent="0.25"/>
  <cols>
    <col min="1" max="2" width="20.140625" customWidth="1"/>
    <col min="3" max="3" width="28.42578125" customWidth="1"/>
    <col min="4" max="4" width="63.7109375" style="1" customWidth="1"/>
    <col min="5" max="5" width="31.140625" customWidth="1"/>
    <col min="6" max="6" width="39.140625" customWidth="1"/>
    <col min="7" max="7" width="30.42578125" customWidth="1"/>
  </cols>
  <sheetData>
    <row r="2" spans="1:17" x14ac:dyDescent="0.25">
      <c r="D2" s="1" t="s">
        <v>0</v>
      </c>
      <c r="E2" t="s">
        <v>1</v>
      </c>
      <c r="F2" t="s">
        <v>2</v>
      </c>
      <c r="G2" t="s">
        <v>3</v>
      </c>
    </row>
    <row r="3" spans="1:17" x14ac:dyDescent="0.25">
      <c r="A3" t="str">
        <f>'exerzitien-katalog'!I2</f>
        <v>Fastenzeit 2026 mit dem heiligen Johannes vom Kreuz</v>
      </c>
      <c r="B3" t="str">
        <f>'exerzitien-katalog'!$I3</f>
        <v>Advent 2025 mit der heiligen Mirjam von Jesus, dem Gekreuzigten</v>
      </c>
      <c r="C3" t="str">
        <f>'exerzitien-katalog'!$I4</f>
        <v>Fastenzeit 2025 mit Thérèse von Lisieux und das Östergeheimnis</v>
      </c>
      <c r="D3" s="1" t="str">
        <f>'exerzitien-katalog'!$I5</f>
        <v>Advent 2024 mit der Hl. Thérèse vom Kind Jesu</v>
      </c>
      <c r="E3" t="str">
        <f>'exerzitien-katalog'!$I6</f>
        <v>Fastenzeit 2024 mit Pater Jacuqes von Jesus (1900-1945)</v>
      </c>
      <c r="F3" t="str">
        <f>'exerzitien-katalog'!$I7</f>
        <v>Advent 2023 mit der heiligen Teresa de Los Andes (1900-1920)</v>
      </c>
      <c r="G3" t="str">
        <f>'exerzitien-katalog'!$I8</f>
        <v>Fastenzeit 2023: Das Gebet</v>
      </c>
      <c r="H3" t="str">
        <f>'exerzitien-katalog'!$I9</f>
        <v>Advent 2022 in der Schule der Heiligen des Karmel</v>
      </c>
      <c r="I3" t="str">
        <f>'exerzitien-katalog'!$I7</f>
        <v>Advent 2023 mit der heiligen Teresa de Los Andes (1900-1920)</v>
      </c>
      <c r="J3" t="str">
        <f>'exerzitien-katalog'!$I7</f>
        <v>Advent 2023 mit der heiligen Teresa de Los Andes (1900-1920)</v>
      </c>
      <c r="K3" t="str">
        <f>'exerzitien-katalog'!$I7</f>
        <v>Advent 2023 mit der heiligen Teresa de Los Andes (1900-1920)</v>
      </c>
      <c r="L3" t="str">
        <f>'exerzitien-katalog'!$I7</f>
        <v>Advent 2023 mit der heiligen Teresa de Los Andes (1900-1920)</v>
      </c>
      <c r="M3" t="str">
        <f>'exerzitien-katalog'!$I7</f>
        <v>Advent 2023 mit der heiligen Teresa de Los Andes (1900-1920)</v>
      </c>
      <c r="N3" t="str">
        <f>'exerzitien-katalog'!$I7</f>
        <v>Advent 2023 mit der heiligen Teresa de Los Andes (1900-1920)</v>
      </c>
      <c r="O3" t="str">
        <f>'exerzitien-katalog'!$I7</f>
        <v>Advent 2023 mit der heiligen Teresa de Los Andes (1900-1920)</v>
      </c>
      <c r="P3" t="str">
        <f>'exerzitien-katalog'!$I7</f>
        <v>Advent 2023 mit der heiligen Teresa de Los Andes (1900-1920)</v>
      </c>
      <c r="Q3" t="str">
        <f>'exerzitien-katalog'!$I7</f>
        <v>Advent 2023 mit der heiligen Teresa de Los Andes (1900-1920)</v>
      </c>
    </row>
    <row r="4" spans="1:17" x14ac:dyDescent="0.25">
      <c r="A4" t="str">
        <f>'exerzitien-katalog'!J2</f>
        <v>Christus in der Tiefe des Herzens begegnen</v>
      </c>
      <c r="B4" t="str">
        <f>'exerzitien-katalog'!$J3</f>
        <v>Mariam oder der Weg der Armen des Herrn</v>
      </c>
      <c r="C4" t="str">
        <f>'exerzitien-katalog'!$J4</f>
        <v>„Aus Liebe sterben, das ist meine Hoffnung“</v>
      </c>
      <c r="D4" s="1" t="str">
        <f>'exerzitien-katalog'!$J5</f>
        <v>„Kind sein vor Gott“</v>
      </c>
      <c r="E4" t="str">
        <f>'exerzitien-katalog'!$J6</f>
        <v>Durch das Kreuz zum Licht</v>
      </c>
      <c r="F4" t="str">
        <f>'exerzitien-katalog'!$J7</f>
        <v>Leben in der Göttlichen Freude</v>
      </c>
      <c r="G4" t="str">
        <f>'exerzitien-katalog'!$J8</f>
        <v>Das Gebet - ein Weg, unsere Berufung als Kind Gottes zu leben</v>
      </c>
      <c r="H4" t="str">
        <f>'exerzitien-katalog'!$J9</f>
        <v>Die Gegenwart Gottes in unserem Leben erfahren</v>
      </c>
      <c r="I4" t="str">
        <f>'exerzitien-katalog'!$J7</f>
        <v>Leben in der Göttlichen Freude</v>
      </c>
      <c r="J4" t="str">
        <f>'exerzitien-katalog'!$J7</f>
        <v>Leben in der Göttlichen Freude</v>
      </c>
      <c r="K4" t="str">
        <f>'exerzitien-katalog'!$J7</f>
        <v>Leben in der Göttlichen Freude</v>
      </c>
      <c r="L4" t="str">
        <f>'exerzitien-katalog'!$J7</f>
        <v>Leben in der Göttlichen Freude</v>
      </c>
      <c r="M4" t="str">
        <f>'exerzitien-katalog'!$J7</f>
        <v>Leben in der Göttlichen Freude</v>
      </c>
      <c r="N4" t="str">
        <f>'exerzitien-katalog'!$J7</f>
        <v>Leben in der Göttlichen Freude</v>
      </c>
      <c r="O4" t="str">
        <f>'exerzitien-katalog'!$J7</f>
        <v>Leben in der Göttlichen Freude</v>
      </c>
      <c r="P4" t="str">
        <f>'exerzitien-katalog'!$J7</f>
        <v>Leben in der Göttlichen Freude</v>
      </c>
      <c r="Q4" t="str">
        <f>'exerzitien-katalog'!$J7</f>
        <v>Leben in der Göttlichen Freude</v>
      </c>
    </row>
    <row r="5" spans="1:17" x14ac:dyDescent="0.25">
      <c r="A5" t="str">
        <f>'exerzitien-katalog'!K2</f>
        <v>Wir bieten Ihnen Online-Exerzitien in der Schule des heiligen Johannes vom Kreuz an. In diesen Exerzitien werden wir im Lichte der Evangelien unsere Beziehung zu Jesus vertiefen, um im Heiligen Geist wieder zur Vertrautheit mit Ihm und mit Gott Vater in der Tiefe unseres Herzens zu gelangen. Es wird ein Weg der inneren Befreiung sein, auf dem uns Johannes vom Kreuz zuverlässig und sicher führen wird. Er wird uns in einer zunehmend auf das Äußere hin orientierten Welt lehren, wieder in unser tiefstes Inneres einzugehen, wo Christus, der Bräutigam der Kirche, uns begegnen und reinigen will, damit wir mit Ihm im Feuer des Heiligen Geistes zu den innig geliebten Kindern des Vaters werden.</v>
      </c>
      <c r="B5" t="str">
        <f>'exerzitien-katalog'!$K3</f>
        <v>Die heilige Maria von Jesus, dem Gekreuzigten (1846-1878), die „kleine Araberin“, geboren im Heiligen Land, Analphabetin und demütige Karmelitin, gründete dennoch mehrere Karmelklöster im Orient und in Indien. Ihr schlichtes Leben im Glanz der Heiligkeit, geführt vom Heiligen Geist, lädt uns ein, uns von Jesus lieben und verwandeln zu lassen …</v>
      </c>
      <c r="C5" t="str">
        <f>'exerzitien-katalog'!$K4</f>
        <v>Die heilige Thérèse von Lisieux wird uns in sechs Schritten zur Osterfreude führen: 
-   1. Sonntag: „Selig jener, der würdig erachtet wurde, Anfechtung zu erleiden!“ 
-   2. Sonntag: „O [Heiliges] Antlitz, schöner als die Lilien und Rosen im Frühling!“ 
-   3. Sonntag: „Ich fühlte ein großes Verlangen, für die Bekehrung der Sünder zu arbeiten“
 -   4. Sonntag: „Hätte ich auch alle begehbaren Sünden auf dem Gewissen ...“ 
-   5. Sonntag: „Eine arme Sünderin wie ich“ 
-   Karwoche: „Schau Jesus ins Antlitz ... Da wirst du sehen, wie er uns liebt!“ 
-   Ostern: „Dies ist mein Himmel ... dies ist meine Bestimmung: Leben aus Liebe!!!...“ Jeden Freitag erhalten Sie eine E-Mail-Nachricht: Dort können Sie den Text herunterladen (in drei Formaten: PDF, Word, PDF im Handyformat) oder die Audio-Version als Podcast anhören. Der Inhalt der Betrachtung wird vom Sonntagsevangelium ausgehen und uns in die Schule der heiligen Thérèse von Lisieux führen. Ein Fastenkalender (Zitate und Bilder) wird Sie außerdem jeden Tag, von Montag bis Samstag, durch geistliche Impulse inspirieren.</v>
      </c>
      <c r="D5" s="1" t="str">
        <f>'exerzitien-katalog'!$K5</f>
        <v>Diese Online-Exerzitien wollen in den Geist und das Gebet der Jüngsten unter allen Kirchenlehrern einführen, deren Geburtstag sich letztes Jahr zum 150. Mal jährte: die hl. Thérèse vom Kinde Jesus (von Lisieux). Wir werden dies tun, indem wir uns in erster Linie auf die Schriften der Heiligen stützen, die uns ein umfangreiches schriftliches Werk hinterlassen hat. Doch diese erklären nicht alles. Thérèses fulminante Berufung kann nur vor dem Hintergrund des unergründlichen Geheimnisses, von dem ihr ganzes Leben Zeugnis ablegt, vollständig verstanden werden: dem der göttlichen Barmherzigkeit.</v>
      </c>
      <c r="E5" t="str">
        <f>'exerzitien-katalog'!$K6</f>
        <v>„Durch das Kreuz zum Licht“: So lautet der Anfang der Worte, die Pater Jacques von Jesus im März 1945 im Konzentrationslager Gusen (Österreich) mit Bleistift in ein Notizbuch kritzelte. Sie haben den Wert eines geistlichen Testaments. Dieser bemerkenswerte Erzieher, der im Januar 1944 im Karmeliterkloster von Avon von der Gestapo verhaftet worden war (ein Vorfall, der in dem Film „Auf Wiedersehen, Kinder“  von Louis Malle aufgegriffen wird) und dessen Seligsprechungsprozess im Gange ist, wird uns einen wirkkräftigen Fastenweg aufzeigen, um dem Licht Christi entgegenzugehen.</v>
      </c>
      <c r="F5" t="str">
        <f>'exerzitien-katalog'!$K7</f>
        <v>„Gott ist unendliche Freude." Dieser berühmte Ausspruch der heiligen Teresa de Los Andes (1900-1920), der ersten Chilenin, die heiliggesprochen wurde, ist das Leitmotiv für diese Exerzitien im Advent 2023: Ja, Gott ist sehr viel liebenswürdiger, schöner und liebevoller als wir im Allgemeinen denken! Teresa wird uns dies erkennen lassen, indem sie uns das Beispiel einer liebenswürdigen Heiligkeit vor Augen führt und uns leicht verständliche Ratschläge gibt, damit auch wir unser Leben in der göttlichen Freude verankern können. In ihrer Schule werden wir erkennen, dass wir – an der Seite des göttlichen Neugeborenen – zu einer frohen Heiligkeit gelangen können …</v>
      </c>
      <c r="G5" t="str">
        <f>'exerzitien-katalog'!$K8</f>
        <v>„Kinder Gottes: Wir sind es bereits im Keim durch unsere Taufe. Aber wie können wir unsere tiefe Berufung, für Gott Söhne und Töchter zu werden, voll und ganz verwirklichen? Das Gebet, das persönliche Gebet ist ein bevorzugter Weg für diese Neuschöpfung in Christus. Diese Exerzitien in der Fastenzeit werden uns helfen, unser geistliches Leben tiefgreifend zu erneuern, damit wir uns an der Ostergnade in kindlicher Dankbarkeit erfreuen können!"</v>
      </c>
      <c r="H5" t="str">
        <f>'exerzitien-katalog'!$K9</f>
        <v>Das Weihnachtsgeheimnis ist das Geheimnis Gottes, der sich in unserem Menschsein zu unserer Erlösung gegenwärtig macht. Vor 2000 Jahren in der Krippe von Bethlehem anwesend, ist Christus Jesus hier und jetzt, mitten unter uns und in jedem von uns gegenwärtig. Während dieser Einkehrtage im Advent werden wir uns in die Schule der Heiligen des Karmel begeben, um diese Gegenwart Gottes in unserem Leben auf erneuerte Weise zu empfangen. Gehen wir "auf dieser wunderbaren Straße der Gegenwart Gottes"!</v>
      </c>
      <c r="I5" t="str">
        <f>'exerzitien-katalog'!$K7</f>
        <v>„Gott ist unendliche Freude." Dieser berühmte Ausspruch der heiligen Teresa de Los Andes (1900-1920), der ersten Chilenin, die heiliggesprochen wurde, ist das Leitmotiv für diese Exerzitien im Advent 2023: Ja, Gott ist sehr viel liebenswürdiger, schöner und liebevoller als wir im Allgemeinen denken! Teresa wird uns dies erkennen lassen, indem sie uns das Beispiel einer liebenswürdigen Heiligkeit vor Augen führt und uns leicht verständliche Ratschläge gibt, damit auch wir unser Leben in der göttlichen Freude verankern können. In ihrer Schule werden wir erkennen, dass wir – an der Seite des göttlichen Neugeborenen – zu einer frohen Heiligkeit gelangen können …</v>
      </c>
      <c r="J5" t="str">
        <f>'exerzitien-katalog'!$K7</f>
        <v>„Gott ist unendliche Freude." Dieser berühmte Ausspruch der heiligen Teresa de Los Andes (1900-1920), der ersten Chilenin, die heiliggesprochen wurde, ist das Leitmotiv für diese Exerzitien im Advent 2023: Ja, Gott ist sehr viel liebenswürdiger, schöner und liebevoller als wir im Allgemeinen denken! Teresa wird uns dies erkennen lassen, indem sie uns das Beispiel einer liebenswürdigen Heiligkeit vor Augen führt und uns leicht verständliche Ratschläge gibt, damit auch wir unser Leben in der göttlichen Freude verankern können. In ihrer Schule werden wir erkennen, dass wir – an der Seite des göttlichen Neugeborenen – zu einer frohen Heiligkeit gelangen können …</v>
      </c>
      <c r="K5" t="str">
        <f>'exerzitien-katalog'!$K7</f>
        <v>„Gott ist unendliche Freude." Dieser berühmte Ausspruch der heiligen Teresa de Los Andes (1900-1920), der ersten Chilenin, die heiliggesprochen wurde, ist das Leitmotiv für diese Exerzitien im Advent 2023: Ja, Gott ist sehr viel liebenswürdiger, schöner und liebevoller als wir im Allgemeinen denken! Teresa wird uns dies erkennen lassen, indem sie uns das Beispiel einer liebenswürdigen Heiligkeit vor Augen führt und uns leicht verständliche Ratschläge gibt, damit auch wir unser Leben in der göttlichen Freude verankern können. In ihrer Schule werden wir erkennen, dass wir – an der Seite des göttlichen Neugeborenen – zu einer frohen Heiligkeit gelangen können …</v>
      </c>
      <c r="L5" t="str">
        <f>'exerzitien-katalog'!$K7</f>
        <v>„Gott ist unendliche Freude." Dieser berühmte Ausspruch der heiligen Teresa de Los Andes (1900-1920), der ersten Chilenin, die heiliggesprochen wurde, ist das Leitmotiv für diese Exerzitien im Advent 2023: Ja, Gott ist sehr viel liebenswürdiger, schöner und liebevoller als wir im Allgemeinen denken! Teresa wird uns dies erkennen lassen, indem sie uns das Beispiel einer liebenswürdigen Heiligkeit vor Augen führt und uns leicht verständliche Ratschläge gibt, damit auch wir unser Leben in der göttlichen Freude verankern können. In ihrer Schule werden wir erkennen, dass wir – an der Seite des göttlichen Neugeborenen – zu einer frohen Heiligkeit gelangen können …</v>
      </c>
      <c r="M5" t="str">
        <f>'exerzitien-katalog'!$K7</f>
        <v>„Gott ist unendliche Freude." Dieser berühmte Ausspruch der heiligen Teresa de Los Andes (1900-1920), der ersten Chilenin, die heiliggesprochen wurde, ist das Leitmotiv für diese Exerzitien im Advent 2023: Ja, Gott ist sehr viel liebenswürdiger, schöner und liebevoller als wir im Allgemeinen denken! Teresa wird uns dies erkennen lassen, indem sie uns das Beispiel einer liebenswürdigen Heiligkeit vor Augen führt und uns leicht verständliche Ratschläge gibt, damit auch wir unser Leben in der göttlichen Freude verankern können. In ihrer Schule werden wir erkennen, dass wir – an der Seite des göttlichen Neugeborenen – zu einer frohen Heiligkeit gelangen können …</v>
      </c>
      <c r="N5" t="str">
        <f>'exerzitien-katalog'!$K7</f>
        <v>„Gott ist unendliche Freude." Dieser berühmte Ausspruch der heiligen Teresa de Los Andes (1900-1920), der ersten Chilenin, die heiliggesprochen wurde, ist das Leitmotiv für diese Exerzitien im Advent 2023: Ja, Gott ist sehr viel liebenswürdiger, schöner und liebevoller als wir im Allgemeinen denken! Teresa wird uns dies erkennen lassen, indem sie uns das Beispiel einer liebenswürdigen Heiligkeit vor Augen führt und uns leicht verständliche Ratschläge gibt, damit auch wir unser Leben in der göttlichen Freude verankern können. In ihrer Schule werden wir erkennen, dass wir – an der Seite des göttlichen Neugeborenen – zu einer frohen Heiligkeit gelangen können …</v>
      </c>
      <c r="O5" t="str">
        <f>'exerzitien-katalog'!$K7</f>
        <v>„Gott ist unendliche Freude." Dieser berühmte Ausspruch der heiligen Teresa de Los Andes (1900-1920), der ersten Chilenin, die heiliggesprochen wurde, ist das Leitmotiv für diese Exerzitien im Advent 2023: Ja, Gott ist sehr viel liebenswürdiger, schöner und liebevoller als wir im Allgemeinen denken! Teresa wird uns dies erkennen lassen, indem sie uns das Beispiel einer liebenswürdigen Heiligkeit vor Augen führt und uns leicht verständliche Ratschläge gibt, damit auch wir unser Leben in der göttlichen Freude verankern können. In ihrer Schule werden wir erkennen, dass wir – an der Seite des göttlichen Neugeborenen – zu einer frohen Heiligkeit gelangen können …</v>
      </c>
      <c r="P5" t="str">
        <f>'exerzitien-katalog'!$K7</f>
        <v>„Gott ist unendliche Freude." Dieser berühmte Ausspruch der heiligen Teresa de Los Andes (1900-1920), der ersten Chilenin, die heiliggesprochen wurde, ist das Leitmotiv für diese Exerzitien im Advent 2023: Ja, Gott ist sehr viel liebenswürdiger, schöner und liebevoller als wir im Allgemeinen denken! Teresa wird uns dies erkennen lassen, indem sie uns das Beispiel einer liebenswürdigen Heiligkeit vor Augen führt und uns leicht verständliche Ratschläge gibt, damit auch wir unser Leben in der göttlichen Freude verankern können. In ihrer Schule werden wir erkennen, dass wir – an der Seite des göttlichen Neugeborenen – zu einer frohen Heiligkeit gelangen können …</v>
      </c>
      <c r="Q5" t="str">
        <f>'exerzitien-katalog'!$K7</f>
        <v>„Gott ist unendliche Freude." Dieser berühmte Ausspruch der heiligen Teresa de Los Andes (1900-1920), der ersten Chilenin, die heiliggesprochen wurde, ist das Leitmotiv für diese Exerzitien im Advent 2023: Ja, Gott ist sehr viel liebenswürdiger, schöner und liebevoller als wir im Allgemeinen denken! Teresa wird uns dies erkennen lassen, indem sie uns das Beispiel einer liebenswürdigen Heiligkeit vor Augen führt und uns leicht verständliche Ratschläge gibt, damit auch wir unser Leben in der göttlichen Freude verankern können. In ihrer Schule werden wir erkennen, dass wir – an der Seite des göttlichen Neugeborenen – zu einer frohen Heiligkeit gelangen können …</v>
      </c>
    </row>
    <row r="6" spans="1:17" x14ac:dyDescent="0.25">
      <c r="A6" t="str">
        <f>'exerzitien-katalog'!L2</f>
        <v>img/FS26_header_DE.png</v>
      </c>
      <c r="B6" t="str">
        <f>'exerzitien-katalog'!$L3</f>
        <v>img/AD25_header_DE.png</v>
      </c>
      <c r="C6" t="str">
        <f>'exerzitien-katalog'!$L4</f>
        <v>img/FS25_header_DE.png</v>
      </c>
      <c r="D6" s="1" t="str">
        <f>'exerzitien-katalog'!$L5</f>
        <v>img/AD24_header_DE.png</v>
      </c>
      <c r="E6" t="str">
        <f>'exerzitien-katalog'!$L6</f>
        <v>img/FS24_header_DE.png</v>
      </c>
      <c r="F6" t="str">
        <f>'exerzitien-katalog'!$L7</f>
        <v>img/AD23_header_DE.png</v>
      </c>
      <c r="G6" t="str">
        <f>'exerzitien-katalog'!$L8</f>
        <v>img/FS23_header_DE.png</v>
      </c>
      <c r="H6" t="str">
        <f>'exerzitien-katalog'!$L9</f>
        <v>img/AD22_header_DE.png</v>
      </c>
      <c r="I6" t="str">
        <f>'exerzitien-katalog'!$L7</f>
        <v>img/AD23_header_DE.png</v>
      </c>
      <c r="J6" t="str">
        <f>'exerzitien-katalog'!$L7</f>
        <v>img/AD23_header_DE.png</v>
      </c>
      <c r="K6" t="str">
        <f>'exerzitien-katalog'!$L7</f>
        <v>img/AD23_header_DE.png</v>
      </c>
      <c r="L6" t="str">
        <f>'exerzitien-katalog'!$L7</f>
        <v>img/AD23_header_DE.png</v>
      </c>
      <c r="M6" t="str">
        <f>'exerzitien-katalog'!$L7</f>
        <v>img/AD23_header_DE.png</v>
      </c>
      <c r="N6" t="str">
        <f>'exerzitien-katalog'!$L7</f>
        <v>img/AD23_header_DE.png</v>
      </c>
      <c r="O6" t="str">
        <f>'exerzitien-katalog'!$L7</f>
        <v>img/AD23_header_DE.png</v>
      </c>
      <c r="P6" t="str">
        <f>'exerzitien-katalog'!$L7</f>
        <v>img/AD23_header_DE.png</v>
      </c>
      <c r="Q6" t="str">
        <f>'exerzitien-katalog'!$L7</f>
        <v>img/AD23_header_DE.png</v>
      </c>
    </row>
    <row r="7" spans="1:17" x14ac:dyDescent="0.25">
      <c r="B7" t="str">
        <f>'exerzitien-katalog'!$A3</f>
        <v>advent-2025-mirjam-von-jesus-dem-gekreuzigten</v>
      </c>
      <c r="C7" t="str">
        <f>'exerzitien-katalog'!$A4</f>
        <v>lent-2025-therese-von-lisieux</v>
      </c>
      <c r="D7" s="1" t="str">
        <f>'exerzitien-katalog'!$A5</f>
        <v>advent-2024-therese-von-lisieux</v>
      </c>
      <c r="E7" t="str">
        <f>'exerzitien-katalog'!$A6</f>
        <v>lent-2024-pater-jacques-de-jesus</v>
      </c>
      <c r="F7" t="str">
        <f>'exerzitien-katalog'!$A7</f>
        <v>advent-2023-therese-des-andes</v>
      </c>
      <c r="G7" t="str">
        <f>'exerzitien-katalog'!$A8</f>
        <v>lent-2023-oraison-weg-der-kindlichen-berufung</v>
      </c>
      <c r="H7" t="str">
        <f>'exerzitien-katalog'!$A9</f>
        <v>advent-2022-gott-in-unserem-leben</v>
      </c>
      <c r="I7" t="str">
        <f>'exerzitien-katalog'!$A7</f>
        <v>advent-2023-therese-des-andes</v>
      </c>
      <c r="J7" t="str">
        <f>'exerzitien-katalog'!$A7</f>
        <v>advent-2023-therese-des-andes</v>
      </c>
      <c r="K7" t="str">
        <f>'exerzitien-katalog'!$A7</f>
        <v>advent-2023-therese-des-andes</v>
      </c>
      <c r="L7" t="str">
        <f>'exerzitien-katalog'!$A7</f>
        <v>advent-2023-therese-des-andes</v>
      </c>
      <c r="M7" t="str">
        <f>'exerzitien-katalog'!$A7</f>
        <v>advent-2023-therese-des-andes</v>
      </c>
      <c r="N7" t="str">
        <f>'exerzitien-katalog'!$A7</f>
        <v>advent-2023-therese-des-andes</v>
      </c>
      <c r="O7" t="str">
        <f>'exerzitien-katalog'!$A7</f>
        <v>advent-2023-therese-des-andes</v>
      </c>
      <c r="P7" t="str">
        <f>'exerzitien-katalog'!$A7</f>
        <v>advent-2023-therese-des-andes</v>
      </c>
      <c r="Q7" t="str">
        <f>'exerzitien-katalog'!$A7</f>
        <v>advent-2023-therese-des-andes</v>
      </c>
    </row>
    <row r="8" spans="1:17" x14ac:dyDescent="0.25">
      <c r="B8" t="str">
        <f>'exerzitien-katalog'!$F3</f>
        <v>2025-11-26</v>
      </c>
      <c r="C8" t="str">
        <f>'exerzitien-katalog'!$F4</f>
        <v>2025-03-05</v>
      </c>
      <c r="D8" s="1" t="str">
        <f>'exerzitien-katalog'!$F5</f>
        <v>2024-11-27</v>
      </c>
      <c r="E8" t="str">
        <f>'exerzitien-katalog'!$F6</f>
        <v>2024-02-14</v>
      </c>
      <c r="F8" t="str">
        <f>'exerzitien-katalog'!$F7</f>
        <v>2023-11-29</v>
      </c>
      <c r="G8" t="str">
        <f>'exerzitien-katalog'!$F8</f>
        <v>2023-02-22</v>
      </c>
      <c r="H8" t="str">
        <f>'exerzitien-katalog'!$F9</f>
        <v>2022-11-23</v>
      </c>
      <c r="I8" t="str">
        <f>'exerzitien-katalog'!$F7</f>
        <v>2023-11-29</v>
      </c>
      <c r="J8" t="str">
        <f>'exerzitien-katalog'!$F7</f>
        <v>2023-11-29</v>
      </c>
      <c r="K8" t="str">
        <f>'exerzitien-katalog'!$F7</f>
        <v>2023-11-29</v>
      </c>
      <c r="L8" t="str">
        <f>'exerzitien-katalog'!$F7</f>
        <v>2023-11-29</v>
      </c>
      <c r="M8" t="str">
        <f>'exerzitien-katalog'!$F7</f>
        <v>2023-11-29</v>
      </c>
      <c r="N8" t="str">
        <f>'exerzitien-katalog'!$F7</f>
        <v>2023-11-29</v>
      </c>
      <c r="O8" t="str">
        <f>'exerzitien-katalog'!$F7</f>
        <v>2023-11-29</v>
      </c>
      <c r="P8" t="str">
        <f>'exerzitien-katalog'!$F7</f>
        <v>2023-11-29</v>
      </c>
      <c r="Q8" t="str">
        <f>'exerzitien-katalog'!$F7</f>
        <v>2023-11-29</v>
      </c>
    </row>
    <row r="9" spans="1:17" x14ac:dyDescent="0.25">
      <c r="B9" t="str">
        <f>'exerzitien-katalog'!$G3</f>
        <v>2025-12-25</v>
      </c>
      <c r="C9" t="str">
        <f>'exerzitien-katalog'!$G4</f>
        <v>2025-04-27</v>
      </c>
      <c r="D9" s="1" t="str">
        <f>'exerzitien-katalog'!$G5</f>
        <v>2025-01-05</v>
      </c>
      <c r="E9" t="str">
        <f>'exerzitien-katalog'!$G6</f>
        <v>2024-04-07</v>
      </c>
      <c r="F9" t="str">
        <f>'exerzitien-katalog'!$G7</f>
        <v>2023-12-25</v>
      </c>
      <c r="G9" t="str">
        <f>'exerzitien-katalog'!$G8</f>
        <v>2023-04-16</v>
      </c>
      <c r="H9" t="str">
        <f>'exerzitien-katalog'!$G9</f>
        <v>2023-01-01</v>
      </c>
      <c r="I9" t="str">
        <f>'exerzitien-katalog'!$G7</f>
        <v>2023-12-25</v>
      </c>
      <c r="J9" t="str">
        <f>'exerzitien-katalog'!$G7</f>
        <v>2023-12-25</v>
      </c>
      <c r="K9" t="str">
        <f>'exerzitien-katalog'!$G7</f>
        <v>2023-12-25</v>
      </c>
      <c r="L9" t="str">
        <f>'exerzitien-katalog'!$G7</f>
        <v>2023-12-25</v>
      </c>
      <c r="M9" t="str">
        <f>'exerzitien-katalog'!$G7</f>
        <v>2023-12-25</v>
      </c>
      <c r="N9" t="str">
        <f>'exerzitien-katalog'!$G7</f>
        <v>2023-12-25</v>
      </c>
      <c r="O9" t="str">
        <f>'exerzitien-katalog'!$G7</f>
        <v>2023-12-25</v>
      </c>
      <c r="P9" t="str">
        <f>'exerzitien-katalog'!$G7</f>
        <v>2023-12-25</v>
      </c>
      <c r="Q9" t="str">
        <f>'exerzitien-katalog'!$G7</f>
        <v>2023-12-25</v>
      </c>
    </row>
    <row r="10" spans="1:17" x14ac:dyDescent="0.25">
      <c r="A10" s="3" t="s">
        <v>4</v>
      </c>
      <c r="B10" t="s">
        <v>5</v>
      </c>
      <c r="C10" t="s">
        <v>5</v>
      </c>
      <c r="D10" s="1" t="s">
        <v>5</v>
      </c>
      <c r="E10" s="1" t="s">
        <v>5</v>
      </c>
      <c r="F10" s="1" t="s">
        <v>5</v>
      </c>
      <c r="G10" s="1" t="s">
        <v>5</v>
      </c>
      <c r="H10" s="1" t="s">
        <v>5</v>
      </c>
      <c r="I10" s="1" t="s">
        <v>5</v>
      </c>
      <c r="J10" s="1" t="s">
        <v>5</v>
      </c>
      <c r="K10" s="1" t="s">
        <v>5</v>
      </c>
      <c r="L10" s="1" t="s">
        <v>5</v>
      </c>
      <c r="M10" s="1" t="s">
        <v>5</v>
      </c>
      <c r="N10" s="1" t="s">
        <v>5</v>
      </c>
      <c r="O10" s="1" t="s">
        <v>5</v>
      </c>
      <c r="P10" s="1" t="s">
        <v>5</v>
      </c>
      <c r="Q10" s="1" t="s">
        <v>5</v>
      </c>
    </row>
    <row r="11" spans="1:17" x14ac:dyDescent="0.25">
      <c r="A11" s="3" t="s">
        <v>6</v>
      </c>
      <c r="B11" t="s">
        <v>7</v>
      </c>
      <c r="C11" t="s">
        <v>7</v>
      </c>
      <c r="D11" s="1" t="s">
        <v>7</v>
      </c>
      <c r="E11" s="1" t="s">
        <v>7</v>
      </c>
      <c r="F11" s="1" t="s">
        <v>7</v>
      </c>
      <c r="G11" s="1" t="s">
        <v>7</v>
      </c>
      <c r="H11" s="1" t="s">
        <v>7</v>
      </c>
      <c r="I11" s="1" t="s">
        <v>7</v>
      </c>
      <c r="J11" s="1" t="s">
        <v>7</v>
      </c>
      <c r="K11" s="1" t="s">
        <v>7</v>
      </c>
      <c r="L11" s="1" t="s">
        <v>7</v>
      </c>
      <c r="M11" s="1" t="s">
        <v>7</v>
      </c>
      <c r="N11" s="1" t="s">
        <v>7</v>
      </c>
      <c r="O11" s="1" t="s">
        <v>7</v>
      </c>
      <c r="P11" s="1" t="s">
        <v>7</v>
      </c>
      <c r="Q11" s="1" t="s">
        <v>7</v>
      </c>
    </row>
    <row r="12" spans="1:17" x14ac:dyDescent="0.25">
      <c r="A12" s="4" t="s">
        <v>8</v>
      </c>
      <c r="B12" t="s">
        <v>9</v>
      </c>
      <c r="C12" t="s">
        <v>9</v>
      </c>
      <c r="D12" s="1" t="s">
        <v>9</v>
      </c>
      <c r="E12" s="1" t="s">
        <v>9</v>
      </c>
      <c r="F12" s="1" t="s">
        <v>9</v>
      </c>
      <c r="G12" s="1" t="s">
        <v>9</v>
      </c>
      <c r="H12" s="1" t="s">
        <v>9</v>
      </c>
      <c r="I12" s="1" t="s">
        <v>9</v>
      </c>
      <c r="J12" s="1" t="s">
        <v>9</v>
      </c>
      <c r="K12" s="1" t="s">
        <v>9</v>
      </c>
      <c r="L12" s="1" t="s">
        <v>9</v>
      </c>
      <c r="M12" s="1" t="s">
        <v>9</v>
      </c>
      <c r="N12" s="1" t="s">
        <v>9</v>
      </c>
      <c r="O12" s="1" t="s">
        <v>9</v>
      </c>
      <c r="P12" s="1" t="s">
        <v>9</v>
      </c>
      <c r="Q12" s="1" t="s">
        <v>9</v>
      </c>
    </row>
    <row r="13" spans="1:17" x14ac:dyDescent="0.25">
      <c r="A13" s="4" t="s">
        <v>10</v>
      </c>
      <c r="B13" t="s">
        <v>11</v>
      </c>
      <c r="C13" t="s">
        <v>11</v>
      </c>
      <c r="D13" s="1" t="s">
        <v>11</v>
      </c>
      <c r="E13" s="1" t="s">
        <v>11</v>
      </c>
      <c r="F13" s="1" t="s">
        <v>11</v>
      </c>
      <c r="G13" s="1" t="s">
        <v>11</v>
      </c>
      <c r="H13" s="1" t="s">
        <v>11</v>
      </c>
      <c r="I13" s="1" t="s">
        <v>11</v>
      </c>
      <c r="J13" s="1" t="s">
        <v>11</v>
      </c>
      <c r="K13" s="1" t="s">
        <v>11</v>
      </c>
      <c r="L13" s="1" t="s">
        <v>11</v>
      </c>
      <c r="M13" s="1" t="s">
        <v>11</v>
      </c>
      <c r="N13" s="1" t="s">
        <v>11</v>
      </c>
      <c r="O13" s="1" t="s">
        <v>11</v>
      </c>
      <c r="P13" s="1" t="s">
        <v>11</v>
      </c>
      <c r="Q13" s="1" t="s">
        <v>11</v>
      </c>
    </row>
    <row r="14" spans="1:17" x14ac:dyDescent="0.25">
      <c r="A14" s="4" t="s">
        <v>12</v>
      </c>
      <c r="B14" t="s">
        <v>13</v>
      </c>
      <c r="C14" t="s">
        <v>13</v>
      </c>
      <c r="D14" s="1" t="s">
        <v>13</v>
      </c>
      <c r="E14" s="1" t="s">
        <v>13</v>
      </c>
      <c r="F14" s="1" t="s">
        <v>13</v>
      </c>
      <c r="G14" s="1" t="s">
        <v>13</v>
      </c>
      <c r="H14" s="1" t="s">
        <v>13</v>
      </c>
      <c r="I14" s="1" t="s">
        <v>13</v>
      </c>
      <c r="J14" s="1" t="s">
        <v>13</v>
      </c>
      <c r="K14" s="1" t="s">
        <v>13</v>
      </c>
      <c r="L14" s="1" t="s">
        <v>13</v>
      </c>
      <c r="M14" s="1" t="s">
        <v>13</v>
      </c>
      <c r="N14" s="1" t="s">
        <v>13</v>
      </c>
      <c r="O14" s="1" t="s">
        <v>13</v>
      </c>
      <c r="P14" s="1" t="s">
        <v>13</v>
      </c>
      <c r="Q14" s="1" t="s">
        <v>13</v>
      </c>
    </row>
    <row r="15" spans="1:17" x14ac:dyDescent="0.25">
      <c r="A15" s="4" t="s">
        <v>14</v>
      </c>
      <c r="B15" t="str">
        <f t="shared" ref="B15:Q15" si="0">"    &lt;title&gt;"&amp;B3&amp;"&lt;/title&gt;"</f>
        <v>    &lt;title&gt;Advent 2025 mit der heiligen Mirjam von Jesus, dem Gekreuzigten&lt;/title&gt;</v>
      </c>
      <c r="C15" t="str">
        <f t="shared" si="0"/>
        <v>    &lt;title&gt;Fastenzeit 2025 mit Thérèse von Lisieux und das Östergeheimnis&lt;/title&gt;</v>
      </c>
      <c r="D15" s="1" t="str">
        <f t="shared" si="0"/>
        <v>    &lt;title&gt;Advent 2024 mit der Hl. Thérèse vom Kind Jesu&lt;/title&gt;</v>
      </c>
      <c r="E15" s="1" t="str">
        <f t="shared" si="0"/>
        <v>    &lt;title&gt;Fastenzeit 2024 mit Pater Jacuqes von Jesus (1900-1945)&lt;/title&gt;</v>
      </c>
      <c r="F15" s="1" t="str">
        <f t="shared" si="0"/>
        <v>    &lt;title&gt;Advent 2023 mit der heiligen Teresa de Los Andes (1900-1920)&lt;/title&gt;</v>
      </c>
      <c r="G15" s="1" t="str">
        <f t="shared" si="0"/>
        <v>    &lt;title&gt;Fastenzeit 2023: Das Gebet&lt;/title&gt;</v>
      </c>
      <c r="H15" s="1" t="str">
        <f t="shared" si="0"/>
        <v>    &lt;title&gt;Advent 2022 in der Schule der Heiligen des Karmel&lt;/title&gt;</v>
      </c>
      <c r="I15" s="1" t="str">
        <f t="shared" si="0"/>
        <v>    &lt;title&gt;Advent 2023 mit der heiligen Teresa de Los Andes (1900-1920)&lt;/title&gt;</v>
      </c>
      <c r="J15" s="1" t="str">
        <f t="shared" si="0"/>
        <v>    &lt;title&gt;Advent 2023 mit der heiligen Teresa de Los Andes (1900-1920)&lt;/title&gt;</v>
      </c>
      <c r="K15" s="1" t="str">
        <f t="shared" si="0"/>
        <v>    &lt;title&gt;Advent 2023 mit der heiligen Teresa de Los Andes (1900-1920)&lt;/title&gt;</v>
      </c>
      <c r="L15" s="1" t="str">
        <f t="shared" si="0"/>
        <v>    &lt;title&gt;Advent 2023 mit der heiligen Teresa de Los Andes (1900-1920)&lt;/title&gt;</v>
      </c>
      <c r="M15" s="1" t="str">
        <f t="shared" si="0"/>
        <v>    &lt;title&gt;Advent 2023 mit der heiligen Teresa de Los Andes (1900-1920)&lt;/title&gt;</v>
      </c>
      <c r="N15" s="1" t="str">
        <f t="shared" si="0"/>
        <v>    &lt;title&gt;Advent 2023 mit der heiligen Teresa de Los Andes (1900-1920)&lt;/title&gt;</v>
      </c>
      <c r="O15" s="1" t="str">
        <f t="shared" si="0"/>
        <v>    &lt;title&gt;Advent 2023 mit der heiligen Teresa de Los Andes (1900-1920)&lt;/title&gt;</v>
      </c>
      <c r="P15" s="1" t="str">
        <f t="shared" si="0"/>
        <v>    &lt;title&gt;Advent 2023 mit der heiligen Teresa de Los Andes (1900-1920)&lt;/title&gt;</v>
      </c>
      <c r="Q15" s="1" t="str">
        <f t="shared" si="0"/>
        <v>    &lt;title&gt;Advent 2023 mit der heiligen Teresa de Los Andes (1900-1920)&lt;/title&gt;</v>
      </c>
    </row>
    <row r="16" spans="1:17" x14ac:dyDescent="0.25">
      <c r="A16" s="5"/>
      <c r="E16" s="1"/>
      <c r="F16" s="1"/>
      <c r="G16" s="1"/>
      <c r="H16" s="1"/>
      <c r="I16" s="1"/>
      <c r="J16" s="1"/>
      <c r="K16" s="1"/>
      <c r="L16" s="1"/>
      <c r="M16" s="1"/>
      <c r="N16" s="1"/>
      <c r="O16" s="1"/>
      <c r="P16" s="1"/>
      <c r="Q16" s="1"/>
    </row>
    <row r="17" spans="1:17" x14ac:dyDescent="0.25">
      <c r="A17" s="4" t="s">
        <v>15</v>
      </c>
      <c r="B17" t="s">
        <v>16</v>
      </c>
      <c r="C17" t="s">
        <v>16</v>
      </c>
      <c r="D17" s="1" t="s">
        <v>16</v>
      </c>
      <c r="E17" s="1" t="s">
        <v>16</v>
      </c>
      <c r="F17" s="1" t="s">
        <v>16</v>
      </c>
      <c r="G17" s="1" t="s">
        <v>16</v>
      </c>
      <c r="H17" s="1" t="s">
        <v>16</v>
      </c>
      <c r="I17" s="1" t="s">
        <v>16</v>
      </c>
      <c r="J17" s="1" t="s">
        <v>16</v>
      </c>
      <c r="K17" s="1" t="s">
        <v>16</v>
      </c>
      <c r="L17" s="1" t="s">
        <v>16</v>
      </c>
      <c r="M17" s="1" t="s">
        <v>16</v>
      </c>
      <c r="N17" s="1" t="s">
        <v>16</v>
      </c>
      <c r="O17" s="1" t="s">
        <v>16</v>
      </c>
      <c r="P17" s="1" t="s">
        <v>16</v>
      </c>
      <c r="Q17" s="1" t="s">
        <v>16</v>
      </c>
    </row>
    <row r="18" spans="1:17" x14ac:dyDescent="0.25">
      <c r="A18" s="4" t="s">
        <v>17</v>
      </c>
      <c r="B18" t="s">
        <v>18</v>
      </c>
      <c r="C18" t="s">
        <v>18</v>
      </c>
      <c r="D18" s="1" t="s">
        <v>18</v>
      </c>
      <c r="E18" s="1" t="s">
        <v>18</v>
      </c>
      <c r="F18" s="1" t="s">
        <v>18</v>
      </c>
      <c r="G18" s="1" t="s">
        <v>18</v>
      </c>
      <c r="H18" s="1" t="s">
        <v>18</v>
      </c>
      <c r="I18" s="1" t="s">
        <v>18</v>
      </c>
      <c r="J18" s="1" t="s">
        <v>18</v>
      </c>
      <c r="K18" s="1" t="s">
        <v>18</v>
      </c>
      <c r="L18" s="1" t="s">
        <v>18</v>
      </c>
      <c r="M18" s="1" t="s">
        <v>18</v>
      </c>
      <c r="N18" s="1" t="s">
        <v>18</v>
      </c>
      <c r="O18" s="1" t="s">
        <v>18</v>
      </c>
      <c r="P18" s="1" t="s">
        <v>18</v>
      </c>
      <c r="Q18" s="1" t="s">
        <v>18</v>
      </c>
    </row>
    <row r="19" spans="1:17" x14ac:dyDescent="0.25">
      <c r="A19" s="4" t="s">
        <v>19</v>
      </c>
      <c r="B19" t="s">
        <v>20</v>
      </c>
      <c r="C19" t="s">
        <v>20</v>
      </c>
      <c r="D19" s="1" t="s">
        <v>20</v>
      </c>
      <c r="E19" s="1" t="s">
        <v>20</v>
      </c>
      <c r="F19" s="1" t="s">
        <v>20</v>
      </c>
      <c r="G19" s="1" t="s">
        <v>20</v>
      </c>
      <c r="H19" s="1" t="s">
        <v>20</v>
      </c>
      <c r="I19" s="1" t="s">
        <v>20</v>
      </c>
      <c r="J19" s="1" t="s">
        <v>20</v>
      </c>
      <c r="K19" s="1" t="s">
        <v>20</v>
      </c>
      <c r="L19" s="1" t="s">
        <v>20</v>
      </c>
      <c r="M19" s="1" t="s">
        <v>20</v>
      </c>
      <c r="N19" s="1" t="s">
        <v>20</v>
      </c>
      <c r="O19" s="1" t="s">
        <v>20</v>
      </c>
      <c r="P19" s="1" t="s">
        <v>20</v>
      </c>
      <c r="Q19" s="1" t="s">
        <v>20</v>
      </c>
    </row>
    <row r="20" spans="1:17" x14ac:dyDescent="0.25">
      <c r="A20" s="4" t="s">
        <v>21</v>
      </c>
      <c r="B20" t="s">
        <v>22</v>
      </c>
      <c r="C20" t="s">
        <v>22</v>
      </c>
      <c r="D20" s="1" t="s">
        <v>22</v>
      </c>
      <c r="E20" s="1" t="s">
        <v>22</v>
      </c>
      <c r="F20" s="1" t="s">
        <v>22</v>
      </c>
      <c r="G20" s="1" t="s">
        <v>22</v>
      </c>
      <c r="H20" s="1" t="s">
        <v>22</v>
      </c>
      <c r="I20" s="1" t="s">
        <v>22</v>
      </c>
      <c r="J20" s="1" t="s">
        <v>22</v>
      </c>
      <c r="K20" s="1" t="s">
        <v>22</v>
      </c>
      <c r="L20" s="1" t="s">
        <v>22</v>
      </c>
      <c r="M20" s="1" t="s">
        <v>22</v>
      </c>
      <c r="N20" s="1" t="s">
        <v>22</v>
      </c>
      <c r="O20" s="1" t="s">
        <v>22</v>
      </c>
      <c r="P20" s="1" t="s">
        <v>22</v>
      </c>
      <c r="Q20" s="1" t="s">
        <v>22</v>
      </c>
    </row>
    <row r="21" spans="1:17" x14ac:dyDescent="0.25">
      <c r="A21" s="4" t="s">
        <v>23</v>
      </c>
      <c r="B21" t="s">
        <v>24</v>
      </c>
      <c r="C21" t="s">
        <v>24</v>
      </c>
      <c r="D21" s="1" t="s">
        <v>24</v>
      </c>
      <c r="E21" s="1" t="s">
        <v>24</v>
      </c>
      <c r="F21" s="1" t="s">
        <v>24</v>
      </c>
      <c r="G21" s="1" t="s">
        <v>24</v>
      </c>
      <c r="H21" s="1" t="s">
        <v>24</v>
      </c>
      <c r="I21" s="1" t="s">
        <v>24</v>
      </c>
      <c r="J21" s="1" t="s">
        <v>24</v>
      </c>
      <c r="K21" s="1" t="s">
        <v>24</v>
      </c>
      <c r="L21" s="1" t="s">
        <v>24</v>
      </c>
      <c r="M21" s="1" t="s">
        <v>24</v>
      </c>
      <c r="N21" s="1" t="s">
        <v>24</v>
      </c>
      <c r="O21" s="1" t="s">
        <v>24</v>
      </c>
      <c r="P21" s="1" t="s">
        <v>24</v>
      </c>
      <c r="Q21" s="1" t="s">
        <v>24</v>
      </c>
    </row>
    <row r="22" spans="1:17" x14ac:dyDescent="0.25">
      <c r="A22" s="4" t="s">
        <v>25</v>
      </c>
      <c r="B22" t="s">
        <v>26</v>
      </c>
      <c r="C22" t="s">
        <v>26</v>
      </c>
      <c r="D22" s="1" t="s">
        <v>26</v>
      </c>
      <c r="E22" s="1" t="s">
        <v>26</v>
      </c>
      <c r="F22" s="1" t="s">
        <v>26</v>
      </c>
      <c r="G22" s="1" t="s">
        <v>26</v>
      </c>
      <c r="H22" s="1" t="s">
        <v>26</v>
      </c>
      <c r="I22" s="1" t="s">
        <v>26</v>
      </c>
      <c r="J22" s="1" t="s">
        <v>26</v>
      </c>
      <c r="K22" s="1" t="s">
        <v>26</v>
      </c>
      <c r="L22" s="1" t="s">
        <v>26</v>
      </c>
      <c r="M22" s="1" t="s">
        <v>26</v>
      </c>
      <c r="N22" s="1" t="s">
        <v>26</v>
      </c>
      <c r="O22" s="1" t="s">
        <v>26</v>
      </c>
      <c r="P22" s="1" t="s">
        <v>26</v>
      </c>
      <c r="Q22" s="1" t="s">
        <v>26</v>
      </c>
    </row>
    <row r="23" spans="1:17" x14ac:dyDescent="0.25">
      <c r="A23" s="4" t="s">
        <v>27</v>
      </c>
      <c r="B23" t="s">
        <v>28</v>
      </c>
      <c r="C23" t="s">
        <v>28</v>
      </c>
      <c r="D23" s="1" t="s">
        <v>28</v>
      </c>
      <c r="E23" s="1" t="s">
        <v>28</v>
      </c>
      <c r="F23" s="1" t="s">
        <v>28</v>
      </c>
      <c r="G23" s="1" t="s">
        <v>28</v>
      </c>
      <c r="H23" s="1" t="s">
        <v>28</v>
      </c>
      <c r="I23" s="1" t="s">
        <v>28</v>
      </c>
      <c r="J23" s="1" t="s">
        <v>28</v>
      </c>
      <c r="K23" s="1" t="s">
        <v>28</v>
      </c>
      <c r="L23" s="1" t="s">
        <v>28</v>
      </c>
      <c r="M23" s="1" t="s">
        <v>28</v>
      </c>
      <c r="N23" s="1" t="s">
        <v>28</v>
      </c>
      <c r="O23" s="1" t="s">
        <v>28</v>
      </c>
      <c r="P23" s="1" t="s">
        <v>28</v>
      </c>
      <c r="Q23" s="1" t="s">
        <v>28</v>
      </c>
    </row>
    <row r="24" spans="1:17" x14ac:dyDescent="0.25">
      <c r="A24" s="4" t="s">
        <v>29</v>
      </c>
      <c r="B24" t="s">
        <v>30</v>
      </c>
      <c r="C24" t="s">
        <v>30</v>
      </c>
      <c r="D24" s="1" t="s">
        <v>30</v>
      </c>
      <c r="E24" s="1" t="s">
        <v>30</v>
      </c>
      <c r="F24" s="1" t="s">
        <v>30</v>
      </c>
      <c r="G24" s="1" t="s">
        <v>30</v>
      </c>
      <c r="H24" s="1" t="s">
        <v>30</v>
      </c>
      <c r="I24" s="1" t="s">
        <v>30</v>
      </c>
      <c r="J24" s="1" t="s">
        <v>30</v>
      </c>
      <c r="K24" s="1" t="s">
        <v>30</v>
      </c>
      <c r="L24" s="1" t="s">
        <v>30</v>
      </c>
      <c r="M24" s="1" t="s">
        <v>30</v>
      </c>
      <c r="N24" s="1" t="s">
        <v>30</v>
      </c>
      <c r="O24" s="1" t="s">
        <v>30</v>
      </c>
      <c r="P24" s="1" t="s">
        <v>30</v>
      </c>
      <c r="Q24" s="1" t="s">
        <v>30</v>
      </c>
    </row>
    <row r="25" spans="1:17" x14ac:dyDescent="0.25">
      <c r="A25" s="4" t="s">
        <v>31</v>
      </c>
      <c r="B25" t="s">
        <v>32</v>
      </c>
      <c r="C25" t="s">
        <v>32</v>
      </c>
      <c r="D25" s="1" t="s">
        <v>32</v>
      </c>
      <c r="E25" s="1" t="s">
        <v>32</v>
      </c>
      <c r="F25" s="1" t="s">
        <v>32</v>
      </c>
      <c r="G25" s="1" t="s">
        <v>32</v>
      </c>
      <c r="H25" s="1" t="s">
        <v>32</v>
      </c>
      <c r="I25" s="1" t="s">
        <v>32</v>
      </c>
      <c r="J25" s="1" t="s">
        <v>32</v>
      </c>
      <c r="K25" s="1" t="s">
        <v>32</v>
      </c>
      <c r="L25" s="1" t="s">
        <v>32</v>
      </c>
      <c r="M25" s="1" t="s">
        <v>32</v>
      </c>
      <c r="N25" s="1" t="s">
        <v>32</v>
      </c>
      <c r="O25" s="1" t="s">
        <v>32</v>
      </c>
      <c r="P25" s="1" t="s">
        <v>32</v>
      </c>
      <c r="Q25" s="1" t="s">
        <v>32</v>
      </c>
    </row>
    <row r="26" spans="1:17" x14ac:dyDescent="0.25">
      <c r="A26" s="4" t="s">
        <v>33</v>
      </c>
      <c r="B26" t="s">
        <v>34</v>
      </c>
      <c r="C26" t="s">
        <v>34</v>
      </c>
      <c r="D26" s="1" t="s">
        <v>34</v>
      </c>
      <c r="E26" s="1" t="s">
        <v>34</v>
      </c>
      <c r="F26" s="1" t="s">
        <v>34</v>
      </c>
      <c r="G26" s="1" t="s">
        <v>34</v>
      </c>
      <c r="H26" s="1" t="s">
        <v>34</v>
      </c>
      <c r="I26" s="1" t="s">
        <v>34</v>
      </c>
      <c r="J26" s="1" t="s">
        <v>34</v>
      </c>
      <c r="K26" s="1" t="s">
        <v>34</v>
      </c>
      <c r="L26" s="1" t="s">
        <v>34</v>
      </c>
      <c r="M26" s="1" t="s">
        <v>34</v>
      </c>
      <c r="N26" s="1" t="s">
        <v>34</v>
      </c>
      <c r="O26" s="1" t="s">
        <v>34</v>
      </c>
      <c r="P26" s="1" t="s">
        <v>34</v>
      </c>
      <c r="Q26" s="1" t="s">
        <v>34</v>
      </c>
    </row>
    <row r="27" spans="1:17" x14ac:dyDescent="0.25">
      <c r="A27" s="4" t="s">
        <v>35</v>
      </c>
      <c r="B27" t="s">
        <v>36</v>
      </c>
      <c r="C27" t="s">
        <v>36</v>
      </c>
      <c r="D27" s="1" t="s">
        <v>36</v>
      </c>
      <c r="E27" s="1" t="s">
        <v>36</v>
      </c>
      <c r="F27" s="1" t="s">
        <v>36</v>
      </c>
      <c r="G27" s="1" t="s">
        <v>36</v>
      </c>
      <c r="H27" s="1" t="s">
        <v>36</v>
      </c>
      <c r="I27" s="1" t="s">
        <v>36</v>
      </c>
      <c r="J27" s="1" t="s">
        <v>36</v>
      </c>
      <c r="K27" s="1" t="s">
        <v>36</v>
      </c>
      <c r="L27" s="1" t="s">
        <v>36</v>
      </c>
      <c r="M27" s="1" t="s">
        <v>36</v>
      </c>
      <c r="N27" s="1" t="s">
        <v>36</v>
      </c>
      <c r="O27" s="1" t="s">
        <v>36</v>
      </c>
      <c r="P27" s="1" t="s">
        <v>36</v>
      </c>
      <c r="Q27" s="1" t="s">
        <v>36</v>
      </c>
    </row>
    <row r="28" spans="1:17" x14ac:dyDescent="0.25">
      <c r="A28" s="4" t="s">
        <v>37</v>
      </c>
      <c r="B28" t="s">
        <v>38</v>
      </c>
      <c r="C28" t="s">
        <v>38</v>
      </c>
      <c r="D28" s="1" t="s">
        <v>38</v>
      </c>
      <c r="E28" s="1" t="s">
        <v>38</v>
      </c>
      <c r="F28" s="1" t="s">
        <v>38</v>
      </c>
      <c r="G28" s="1" t="s">
        <v>38</v>
      </c>
      <c r="H28" s="1" t="s">
        <v>38</v>
      </c>
      <c r="I28" s="1" t="s">
        <v>38</v>
      </c>
      <c r="J28" s="1" t="s">
        <v>38</v>
      </c>
      <c r="K28" s="1" t="s">
        <v>38</v>
      </c>
      <c r="L28" s="1" t="s">
        <v>38</v>
      </c>
      <c r="M28" s="1" t="s">
        <v>38</v>
      </c>
      <c r="N28" s="1" t="s">
        <v>38</v>
      </c>
      <c r="O28" s="1" t="s">
        <v>38</v>
      </c>
      <c r="P28" s="1" t="s">
        <v>38</v>
      </c>
      <c r="Q28" s="1" t="s">
        <v>38</v>
      </c>
    </row>
    <row r="29" spans="1:17" x14ac:dyDescent="0.25">
      <c r="A29" s="4" t="s">
        <v>39</v>
      </c>
      <c r="B29" t="s">
        <v>40</v>
      </c>
      <c r="C29" t="s">
        <v>40</v>
      </c>
      <c r="D29" s="1" t="s">
        <v>40</v>
      </c>
      <c r="E29" s="1" t="s">
        <v>40</v>
      </c>
      <c r="F29" s="1" t="s">
        <v>40</v>
      </c>
      <c r="G29" s="1" t="s">
        <v>40</v>
      </c>
      <c r="H29" s="1" t="s">
        <v>40</v>
      </c>
      <c r="I29" s="1" t="s">
        <v>40</v>
      </c>
      <c r="J29" s="1" t="s">
        <v>40</v>
      </c>
      <c r="K29" s="1" t="s">
        <v>40</v>
      </c>
      <c r="L29" s="1" t="s">
        <v>40</v>
      </c>
      <c r="M29" s="1" t="s">
        <v>40</v>
      </c>
      <c r="N29" s="1" t="s">
        <v>40</v>
      </c>
      <c r="O29" s="1" t="s">
        <v>40</v>
      </c>
      <c r="P29" s="1" t="s">
        <v>40</v>
      </c>
      <c r="Q29" s="1" t="s">
        <v>40</v>
      </c>
    </row>
    <row r="30" spans="1:17" x14ac:dyDescent="0.25">
      <c r="A30" s="4" t="s">
        <v>41</v>
      </c>
      <c r="B30" t="s">
        <v>42</v>
      </c>
      <c r="C30" t="s">
        <v>42</v>
      </c>
      <c r="D30" s="1" t="s">
        <v>42</v>
      </c>
      <c r="E30" s="1" t="s">
        <v>42</v>
      </c>
      <c r="F30" s="1" t="s">
        <v>42</v>
      </c>
      <c r="G30" s="1" t="s">
        <v>42</v>
      </c>
      <c r="H30" s="1" t="s">
        <v>42</v>
      </c>
      <c r="I30" s="1" t="s">
        <v>42</v>
      </c>
      <c r="J30" s="1" t="s">
        <v>42</v>
      </c>
      <c r="K30" s="1" t="s">
        <v>42</v>
      </c>
      <c r="L30" s="1" t="s">
        <v>42</v>
      </c>
      <c r="M30" s="1" t="s">
        <v>42</v>
      </c>
      <c r="N30" s="1" t="s">
        <v>42</v>
      </c>
      <c r="O30" s="1" t="s">
        <v>42</v>
      </c>
      <c r="P30" s="1" t="s">
        <v>42</v>
      </c>
      <c r="Q30" s="1" t="s">
        <v>42</v>
      </c>
    </row>
    <row r="31" spans="1:17" x14ac:dyDescent="0.25">
      <c r="A31" s="4" t="s">
        <v>43</v>
      </c>
      <c r="B31" t="s">
        <v>44</v>
      </c>
      <c r="C31" t="s">
        <v>44</v>
      </c>
      <c r="D31" s="1" t="s">
        <v>44</v>
      </c>
      <c r="E31" s="1" t="s">
        <v>44</v>
      </c>
      <c r="F31" s="1" t="s">
        <v>44</v>
      </c>
      <c r="G31" s="1" t="s">
        <v>44</v>
      </c>
      <c r="H31" s="1" t="s">
        <v>44</v>
      </c>
      <c r="I31" s="1" t="s">
        <v>44</v>
      </c>
      <c r="J31" s="1" t="s">
        <v>44</v>
      </c>
      <c r="K31" s="1" t="s">
        <v>44</v>
      </c>
      <c r="L31" s="1" t="s">
        <v>44</v>
      </c>
      <c r="M31" s="1" t="s">
        <v>44</v>
      </c>
      <c r="N31" s="1" t="s">
        <v>44</v>
      </c>
      <c r="O31" s="1" t="s">
        <v>44</v>
      </c>
      <c r="P31" s="1" t="s">
        <v>44</v>
      </c>
      <c r="Q31" s="1" t="s">
        <v>44</v>
      </c>
    </row>
    <row r="32" spans="1:17" x14ac:dyDescent="0.25">
      <c r="A32" s="4" t="s">
        <v>45</v>
      </c>
      <c r="B32" t="s">
        <v>46</v>
      </c>
      <c r="C32" t="s">
        <v>46</v>
      </c>
      <c r="D32" s="1" t="s">
        <v>47</v>
      </c>
      <c r="E32" s="1" t="s">
        <v>47</v>
      </c>
      <c r="F32" s="1" t="s">
        <v>47</v>
      </c>
      <c r="G32" s="1" t="s">
        <v>47</v>
      </c>
      <c r="H32" s="1" t="s">
        <v>47</v>
      </c>
      <c r="I32" s="1" t="s">
        <v>47</v>
      </c>
      <c r="J32" s="1" t="s">
        <v>47</v>
      </c>
      <c r="K32" s="1" t="s">
        <v>47</v>
      </c>
      <c r="L32" s="1" t="s">
        <v>47</v>
      </c>
      <c r="M32" s="1" t="s">
        <v>47</v>
      </c>
      <c r="N32" s="1" t="s">
        <v>47</v>
      </c>
      <c r="O32" s="1" t="s">
        <v>47</v>
      </c>
      <c r="P32" s="1" t="s">
        <v>47</v>
      </c>
      <c r="Q32" s="1" t="s">
        <v>47</v>
      </c>
    </row>
    <row r="33" spans="1:17" x14ac:dyDescent="0.25">
      <c r="A33" s="4" t="s">
        <v>48</v>
      </c>
      <c r="B33" t="s">
        <v>49</v>
      </c>
      <c r="C33" t="s">
        <v>49</v>
      </c>
      <c r="D33" s="1" t="s">
        <v>49</v>
      </c>
      <c r="E33" s="1" t="s">
        <v>49</v>
      </c>
      <c r="F33" s="1" t="s">
        <v>49</v>
      </c>
      <c r="G33" s="1" t="s">
        <v>49</v>
      </c>
      <c r="H33" s="1" t="s">
        <v>49</v>
      </c>
      <c r="I33" s="1" t="s">
        <v>49</v>
      </c>
      <c r="J33" s="1" t="s">
        <v>49</v>
      </c>
      <c r="K33" s="1" t="s">
        <v>49</v>
      </c>
      <c r="L33" s="1" t="s">
        <v>49</v>
      </c>
      <c r="M33" s="1" t="s">
        <v>49</v>
      </c>
      <c r="N33" s="1" t="s">
        <v>49</v>
      </c>
      <c r="O33" s="1" t="s">
        <v>49</v>
      </c>
      <c r="P33" s="1" t="s">
        <v>49</v>
      </c>
      <c r="Q33" s="1" t="s">
        <v>49</v>
      </c>
    </row>
    <row r="34" spans="1:17" x14ac:dyDescent="0.25">
      <c r="A34" s="4" t="s">
        <v>50</v>
      </c>
      <c r="B34" t="s">
        <v>51</v>
      </c>
      <c r="C34" t="s">
        <v>51</v>
      </c>
      <c r="D34" s="1" t="s">
        <v>51</v>
      </c>
      <c r="E34" s="1" t="s">
        <v>51</v>
      </c>
      <c r="F34" s="1" t="s">
        <v>51</v>
      </c>
      <c r="G34" s="1" t="s">
        <v>51</v>
      </c>
      <c r="H34" s="1" t="s">
        <v>51</v>
      </c>
      <c r="I34" s="1" t="s">
        <v>51</v>
      </c>
      <c r="J34" s="1" t="s">
        <v>51</v>
      </c>
      <c r="K34" s="1" t="s">
        <v>51</v>
      </c>
      <c r="L34" s="1" t="s">
        <v>51</v>
      </c>
      <c r="M34" s="1" t="s">
        <v>51</v>
      </c>
      <c r="N34" s="1" t="s">
        <v>51</v>
      </c>
      <c r="O34" s="1" t="s">
        <v>51</v>
      </c>
      <c r="P34" s="1" t="s">
        <v>51</v>
      </c>
      <c r="Q34" s="1" t="s">
        <v>51</v>
      </c>
    </row>
    <row r="35" spans="1:17" x14ac:dyDescent="0.25">
      <c r="A35" s="4" t="s">
        <v>52</v>
      </c>
      <c r="B35" t="s">
        <v>53</v>
      </c>
      <c r="C35" t="s">
        <v>53</v>
      </c>
      <c r="D35" s="1" t="s">
        <v>53</v>
      </c>
      <c r="E35" s="1" t="s">
        <v>53</v>
      </c>
      <c r="F35" s="1" t="s">
        <v>53</v>
      </c>
      <c r="G35" s="1" t="s">
        <v>53</v>
      </c>
      <c r="H35" s="1" t="s">
        <v>53</v>
      </c>
      <c r="I35" s="1" t="s">
        <v>53</v>
      </c>
      <c r="J35" s="1" t="s">
        <v>53</v>
      </c>
      <c r="K35" s="1" t="s">
        <v>53</v>
      </c>
      <c r="L35" s="1" t="s">
        <v>53</v>
      </c>
      <c r="M35" s="1" t="s">
        <v>53</v>
      </c>
      <c r="N35" s="1" t="s">
        <v>53</v>
      </c>
      <c r="O35" s="1" t="s">
        <v>53</v>
      </c>
      <c r="P35" s="1" t="s">
        <v>53</v>
      </c>
      <c r="Q35" s="1" t="s">
        <v>53</v>
      </c>
    </row>
    <row r="36" spans="1:17" x14ac:dyDescent="0.25">
      <c r="A36" s="4" t="s">
        <v>54</v>
      </c>
      <c r="B36" t="s">
        <v>55</v>
      </c>
      <c r="C36" t="s">
        <v>55</v>
      </c>
      <c r="D36" s="1" t="s">
        <v>55</v>
      </c>
      <c r="E36" s="1" t="s">
        <v>55</v>
      </c>
      <c r="F36" s="1" t="s">
        <v>55</v>
      </c>
      <c r="G36" s="1" t="s">
        <v>55</v>
      </c>
      <c r="H36" s="1" t="s">
        <v>55</v>
      </c>
      <c r="I36" s="1" t="s">
        <v>55</v>
      </c>
      <c r="J36" s="1" t="s">
        <v>55</v>
      </c>
      <c r="K36" s="1" t="s">
        <v>55</v>
      </c>
      <c r="L36" s="1" t="s">
        <v>55</v>
      </c>
      <c r="M36" s="1" t="s">
        <v>55</v>
      </c>
      <c r="N36" s="1" t="s">
        <v>55</v>
      </c>
      <c r="O36" s="1" t="s">
        <v>55</v>
      </c>
      <c r="P36" s="1" t="s">
        <v>55</v>
      </c>
      <c r="Q36" s="1" t="s">
        <v>55</v>
      </c>
    </row>
    <row r="37" spans="1:17" x14ac:dyDescent="0.25">
      <c r="A37" s="4" t="s">
        <v>56</v>
      </c>
      <c r="B37" t="s">
        <v>57</v>
      </c>
      <c r="C37" t="s">
        <v>57</v>
      </c>
      <c r="D37" s="1" t="s">
        <v>57</v>
      </c>
      <c r="E37" s="1" t="s">
        <v>57</v>
      </c>
      <c r="F37" s="1" t="s">
        <v>57</v>
      </c>
      <c r="G37" s="1" t="s">
        <v>57</v>
      </c>
      <c r="H37" s="1" t="s">
        <v>57</v>
      </c>
      <c r="I37" s="1" t="s">
        <v>57</v>
      </c>
      <c r="J37" s="1" t="s">
        <v>57</v>
      </c>
      <c r="K37" s="1" t="s">
        <v>57</v>
      </c>
      <c r="L37" s="1" t="s">
        <v>57</v>
      </c>
      <c r="M37" s="1" t="s">
        <v>57</v>
      </c>
      <c r="N37" s="1" t="s">
        <v>57</v>
      </c>
      <c r="O37" s="1" t="s">
        <v>57</v>
      </c>
      <c r="P37" s="1" t="s">
        <v>57</v>
      </c>
      <c r="Q37" s="1" t="s">
        <v>57</v>
      </c>
    </row>
    <row r="38" spans="1:17" x14ac:dyDescent="0.25">
      <c r="A38" s="4" t="s">
        <v>58</v>
      </c>
      <c r="B38" t="s">
        <v>59</v>
      </c>
      <c r="C38" t="s">
        <v>59</v>
      </c>
      <c r="D38" s="1" t="s">
        <v>59</v>
      </c>
      <c r="E38" s="1" t="s">
        <v>59</v>
      </c>
      <c r="F38" s="1" t="s">
        <v>59</v>
      </c>
      <c r="G38" s="1" t="s">
        <v>59</v>
      </c>
      <c r="H38" s="1" t="s">
        <v>59</v>
      </c>
      <c r="I38" s="1" t="s">
        <v>59</v>
      </c>
      <c r="J38" s="1" t="s">
        <v>59</v>
      </c>
      <c r="K38" s="1" t="s">
        <v>59</v>
      </c>
      <c r="L38" s="1" t="s">
        <v>59</v>
      </c>
      <c r="M38" s="1" t="s">
        <v>59</v>
      </c>
      <c r="N38" s="1" t="s">
        <v>59</v>
      </c>
      <c r="O38" s="1" t="s">
        <v>59</v>
      </c>
      <c r="P38" s="1" t="s">
        <v>59</v>
      </c>
      <c r="Q38" s="1" t="s">
        <v>59</v>
      </c>
    </row>
    <row r="39" spans="1:17" x14ac:dyDescent="0.25">
      <c r="A39" s="4" t="s">
        <v>60</v>
      </c>
      <c r="B39" t="s">
        <v>61</v>
      </c>
      <c r="C39" t="s">
        <v>61</v>
      </c>
      <c r="D39" s="1" t="s">
        <v>61</v>
      </c>
      <c r="E39" s="1" t="s">
        <v>61</v>
      </c>
      <c r="F39" s="1" t="s">
        <v>61</v>
      </c>
      <c r="G39" s="1" t="s">
        <v>61</v>
      </c>
      <c r="H39" s="1" t="s">
        <v>61</v>
      </c>
      <c r="I39" s="1" t="s">
        <v>61</v>
      </c>
      <c r="J39" s="1" t="s">
        <v>61</v>
      </c>
      <c r="K39" s="1" t="s">
        <v>61</v>
      </c>
      <c r="L39" s="1" t="s">
        <v>61</v>
      </c>
      <c r="M39" s="1" t="s">
        <v>61</v>
      </c>
      <c r="N39" s="1" t="s">
        <v>61</v>
      </c>
      <c r="O39" s="1" t="s">
        <v>61</v>
      </c>
      <c r="P39" s="1" t="s">
        <v>61</v>
      </c>
      <c r="Q39" s="1" t="s">
        <v>61</v>
      </c>
    </row>
    <row r="40" spans="1:17" x14ac:dyDescent="0.25">
      <c r="A40" s="5"/>
      <c r="E40" s="1"/>
      <c r="F40" s="1"/>
      <c r="G40" s="1"/>
      <c r="H40" s="1"/>
      <c r="I40" s="1"/>
      <c r="J40" s="1"/>
      <c r="K40" s="1"/>
      <c r="L40" s="1"/>
      <c r="M40" s="1"/>
      <c r="N40" s="1"/>
      <c r="O40" s="1"/>
      <c r="P40" s="1"/>
      <c r="Q40" s="1"/>
    </row>
    <row r="41" spans="1:17" x14ac:dyDescent="0.25">
      <c r="A41" s="4" t="s">
        <v>62</v>
      </c>
      <c r="B41" t="s">
        <v>63</v>
      </c>
      <c r="C41" t="s">
        <v>63</v>
      </c>
      <c r="D41" s="1" t="s">
        <v>63</v>
      </c>
      <c r="E41" s="1" t="s">
        <v>63</v>
      </c>
      <c r="F41" s="1" t="s">
        <v>63</v>
      </c>
      <c r="G41" s="1" t="s">
        <v>63</v>
      </c>
      <c r="H41" s="1" t="s">
        <v>63</v>
      </c>
      <c r="I41" s="1" t="s">
        <v>63</v>
      </c>
      <c r="J41" s="1" t="s">
        <v>63</v>
      </c>
      <c r="K41" s="1" t="s">
        <v>63</v>
      </c>
      <c r="L41" s="1" t="s">
        <v>63</v>
      </c>
      <c r="M41" s="1" t="s">
        <v>63</v>
      </c>
      <c r="N41" s="1" t="s">
        <v>63</v>
      </c>
      <c r="O41" s="1" t="s">
        <v>63</v>
      </c>
      <c r="P41" s="1" t="s">
        <v>63</v>
      </c>
      <c r="Q41" s="1" t="s">
        <v>63</v>
      </c>
    </row>
    <row r="42" spans="1:17" x14ac:dyDescent="0.25">
      <c r="A42" s="4" t="s">
        <v>64</v>
      </c>
      <c r="B42" t="s">
        <v>65</v>
      </c>
      <c r="C42" t="s">
        <v>65</v>
      </c>
      <c r="D42" s="1" t="s">
        <v>65</v>
      </c>
      <c r="E42" s="1" t="s">
        <v>65</v>
      </c>
      <c r="F42" s="1" t="s">
        <v>65</v>
      </c>
      <c r="G42" s="1" t="s">
        <v>65</v>
      </c>
      <c r="H42" s="1" t="s">
        <v>65</v>
      </c>
      <c r="I42" s="1" t="s">
        <v>65</v>
      </c>
      <c r="J42" s="1" t="s">
        <v>65</v>
      </c>
      <c r="K42" s="1" t="s">
        <v>65</v>
      </c>
      <c r="L42" s="1" t="s">
        <v>65</v>
      </c>
      <c r="M42" s="1" t="s">
        <v>65</v>
      </c>
      <c r="N42" s="1" t="s">
        <v>65</v>
      </c>
      <c r="O42" s="1" t="s">
        <v>65</v>
      </c>
      <c r="P42" s="1" t="s">
        <v>65</v>
      </c>
      <c r="Q42" s="1" t="s">
        <v>65</v>
      </c>
    </row>
    <row r="43" spans="1:17" x14ac:dyDescent="0.25">
      <c r="A43" s="4" t="s">
        <v>66</v>
      </c>
      <c r="B43" t="s">
        <v>67</v>
      </c>
      <c r="C43" t="s">
        <v>67</v>
      </c>
      <c r="D43" s="1" t="s">
        <v>67</v>
      </c>
      <c r="E43" s="1" t="s">
        <v>67</v>
      </c>
      <c r="F43" s="1" t="s">
        <v>67</v>
      </c>
      <c r="G43" s="1" t="s">
        <v>67</v>
      </c>
      <c r="H43" s="1" t="s">
        <v>67</v>
      </c>
      <c r="I43" s="1" t="s">
        <v>67</v>
      </c>
      <c r="J43" s="1" t="s">
        <v>67</v>
      </c>
      <c r="K43" s="1" t="s">
        <v>67</v>
      </c>
      <c r="L43" s="1" t="s">
        <v>67</v>
      </c>
      <c r="M43" s="1" t="s">
        <v>67</v>
      </c>
      <c r="N43" s="1" t="s">
        <v>67</v>
      </c>
      <c r="O43" s="1" t="s">
        <v>67</v>
      </c>
      <c r="P43" s="1" t="s">
        <v>67</v>
      </c>
      <c r="Q43" s="1" t="s">
        <v>67</v>
      </c>
    </row>
    <row r="44" spans="1:17" x14ac:dyDescent="0.25">
      <c r="A44" s="4" t="s">
        <v>68</v>
      </c>
      <c r="B44" t="s">
        <v>69</v>
      </c>
      <c r="C44" t="s">
        <v>69</v>
      </c>
      <c r="D44" s="1" t="s">
        <v>69</v>
      </c>
      <c r="E44" s="1" t="s">
        <v>69</v>
      </c>
      <c r="F44" s="1" t="s">
        <v>69</v>
      </c>
      <c r="G44" s="1" t="s">
        <v>69</v>
      </c>
      <c r="H44" s="1" t="s">
        <v>69</v>
      </c>
      <c r="I44" s="1" t="s">
        <v>69</v>
      </c>
      <c r="J44" s="1" t="s">
        <v>69</v>
      </c>
      <c r="K44" s="1" t="s">
        <v>69</v>
      </c>
      <c r="L44" s="1" t="s">
        <v>69</v>
      </c>
      <c r="M44" s="1" t="s">
        <v>69</v>
      </c>
      <c r="N44" s="1" t="s">
        <v>69</v>
      </c>
      <c r="O44" s="1" t="s">
        <v>69</v>
      </c>
      <c r="P44" s="1" t="s">
        <v>69</v>
      </c>
      <c r="Q44" s="1" t="s">
        <v>69</v>
      </c>
    </row>
    <row r="45" spans="1:17" x14ac:dyDescent="0.25">
      <c r="A45" s="4" t="s">
        <v>70</v>
      </c>
      <c r="B45" t="s">
        <v>71</v>
      </c>
      <c r="C45" t="s">
        <v>71</v>
      </c>
      <c r="D45" s="1" t="s">
        <v>71</v>
      </c>
      <c r="E45" s="1" t="s">
        <v>71</v>
      </c>
      <c r="F45" s="1" t="s">
        <v>71</v>
      </c>
      <c r="G45" s="1" t="s">
        <v>71</v>
      </c>
      <c r="H45" s="1" t="s">
        <v>71</v>
      </c>
      <c r="I45" s="1" t="s">
        <v>71</v>
      </c>
      <c r="J45" s="1" t="s">
        <v>71</v>
      </c>
      <c r="K45" s="1" t="s">
        <v>71</v>
      </c>
      <c r="L45" s="1" t="s">
        <v>71</v>
      </c>
      <c r="M45" s="1" t="s">
        <v>71</v>
      </c>
      <c r="N45" s="1" t="s">
        <v>71</v>
      </c>
      <c r="O45" s="1" t="s">
        <v>71</v>
      </c>
      <c r="P45" s="1" t="s">
        <v>71</v>
      </c>
      <c r="Q45" s="1" t="s">
        <v>71</v>
      </c>
    </row>
    <row r="46" spans="1:17" x14ac:dyDescent="0.25">
      <c r="A46" s="4" t="s">
        <v>72</v>
      </c>
      <c r="B46" t="s">
        <v>73</v>
      </c>
      <c r="C46" t="s">
        <v>73</v>
      </c>
      <c r="D46" s="1" t="s">
        <v>73</v>
      </c>
      <c r="E46" s="1" t="s">
        <v>73</v>
      </c>
      <c r="F46" s="1" t="s">
        <v>73</v>
      </c>
      <c r="G46" s="1" t="s">
        <v>73</v>
      </c>
      <c r="H46" s="1" t="s">
        <v>73</v>
      </c>
      <c r="I46" s="1" t="s">
        <v>73</v>
      </c>
      <c r="J46" s="1" t="s">
        <v>73</v>
      </c>
      <c r="K46" s="1" t="s">
        <v>73</v>
      </c>
      <c r="L46" s="1" t="s">
        <v>73</v>
      </c>
      <c r="M46" s="1" t="s">
        <v>73</v>
      </c>
      <c r="N46" s="1" t="s">
        <v>73</v>
      </c>
      <c r="O46" s="1" t="s">
        <v>73</v>
      </c>
      <c r="P46" s="1" t="s">
        <v>73</v>
      </c>
      <c r="Q46" s="1" t="s">
        <v>73</v>
      </c>
    </row>
    <row r="47" spans="1:17" x14ac:dyDescent="0.25">
      <c r="A47" s="4" t="s">
        <v>74</v>
      </c>
      <c r="B47" t="s">
        <v>75</v>
      </c>
      <c r="C47" t="s">
        <v>75</v>
      </c>
      <c r="D47" s="1" t="s">
        <v>75</v>
      </c>
      <c r="E47" s="1" t="s">
        <v>75</v>
      </c>
      <c r="F47" s="1" t="s">
        <v>75</v>
      </c>
      <c r="G47" s="1" t="s">
        <v>75</v>
      </c>
      <c r="H47" s="1" t="s">
        <v>75</v>
      </c>
      <c r="I47" s="1" t="s">
        <v>75</v>
      </c>
      <c r="J47" s="1" t="s">
        <v>75</v>
      </c>
      <c r="K47" s="1" t="s">
        <v>75</v>
      </c>
      <c r="L47" s="1" t="s">
        <v>75</v>
      </c>
      <c r="M47" s="1" t="s">
        <v>75</v>
      </c>
      <c r="N47" s="1" t="s">
        <v>75</v>
      </c>
      <c r="O47" s="1" t="s">
        <v>75</v>
      </c>
      <c r="P47" s="1" t="s">
        <v>75</v>
      </c>
      <c r="Q47" s="1" t="s">
        <v>75</v>
      </c>
    </row>
    <row r="48" spans="1:17" x14ac:dyDescent="0.25">
      <c r="A48" s="4" t="s">
        <v>76</v>
      </c>
      <c r="B48" t="s">
        <v>77</v>
      </c>
      <c r="C48" t="s">
        <v>77</v>
      </c>
      <c r="D48" s="1" t="s">
        <v>77</v>
      </c>
      <c r="E48" s="1" t="s">
        <v>77</v>
      </c>
      <c r="F48" s="1" t="s">
        <v>77</v>
      </c>
      <c r="G48" s="1" t="s">
        <v>77</v>
      </c>
      <c r="H48" s="1" t="s">
        <v>77</v>
      </c>
      <c r="I48" s="1" t="s">
        <v>77</v>
      </c>
      <c r="J48" s="1" t="s">
        <v>77</v>
      </c>
      <c r="K48" s="1" t="s">
        <v>77</v>
      </c>
      <c r="L48" s="1" t="s">
        <v>77</v>
      </c>
      <c r="M48" s="1" t="s">
        <v>77</v>
      </c>
      <c r="N48" s="1" t="s">
        <v>77</v>
      </c>
      <c r="O48" s="1" t="s">
        <v>77</v>
      </c>
      <c r="P48" s="1" t="s">
        <v>77</v>
      </c>
      <c r="Q48" s="1" t="s">
        <v>77</v>
      </c>
    </row>
    <row r="49" spans="1:17" x14ac:dyDescent="0.25">
      <c r="A49" s="4" t="s">
        <v>78</v>
      </c>
      <c r="B49" t="s">
        <v>79</v>
      </c>
      <c r="C49" t="s">
        <v>79</v>
      </c>
      <c r="D49" s="1" t="s">
        <v>79</v>
      </c>
      <c r="E49" s="1" t="s">
        <v>79</v>
      </c>
      <c r="F49" s="1" t="s">
        <v>79</v>
      </c>
      <c r="G49" s="1" t="s">
        <v>79</v>
      </c>
      <c r="H49" s="1" t="s">
        <v>79</v>
      </c>
      <c r="I49" s="1" t="s">
        <v>79</v>
      </c>
      <c r="J49" s="1" t="s">
        <v>79</v>
      </c>
      <c r="K49" s="1" t="s">
        <v>79</v>
      </c>
      <c r="L49" s="1" t="s">
        <v>79</v>
      </c>
      <c r="M49" s="1" t="s">
        <v>79</v>
      </c>
      <c r="N49" s="1" t="s">
        <v>79</v>
      </c>
      <c r="O49" s="1" t="s">
        <v>79</v>
      </c>
      <c r="P49" s="1" t="s">
        <v>79</v>
      </c>
      <c r="Q49" s="1" t="s">
        <v>79</v>
      </c>
    </row>
    <row r="50" spans="1:17" x14ac:dyDescent="0.25">
      <c r="A50" s="4" t="s">
        <v>80</v>
      </c>
      <c r="B50" t="s">
        <v>81</v>
      </c>
      <c r="C50" t="s">
        <v>81</v>
      </c>
      <c r="D50" s="1" t="s">
        <v>82</v>
      </c>
      <c r="E50" s="1" t="s">
        <v>82</v>
      </c>
      <c r="F50" s="1" t="s">
        <v>82</v>
      </c>
      <c r="G50" s="1" t="s">
        <v>82</v>
      </c>
      <c r="H50" s="1" t="s">
        <v>82</v>
      </c>
      <c r="I50" s="1" t="s">
        <v>82</v>
      </c>
      <c r="J50" s="1" t="s">
        <v>82</v>
      </c>
      <c r="K50" s="1" t="s">
        <v>82</v>
      </c>
      <c r="L50" s="1" t="s">
        <v>82</v>
      </c>
      <c r="M50" s="1" t="s">
        <v>82</v>
      </c>
      <c r="N50" s="1" t="s">
        <v>82</v>
      </c>
      <c r="O50" s="1" t="s">
        <v>82</v>
      </c>
      <c r="P50" s="1" t="s">
        <v>82</v>
      </c>
      <c r="Q50" s="1" t="s">
        <v>82</v>
      </c>
    </row>
    <row r="51" spans="1:17" x14ac:dyDescent="0.25">
      <c r="A51" s="4" t="s">
        <v>83</v>
      </c>
      <c r="B51" t="s">
        <v>84</v>
      </c>
      <c r="C51" t="s">
        <v>84</v>
      </c>
      <c r="D51" s="1" t="s">
        <v>84</v>
      </c>
      <c r="E51" s="1" t="s">
        <v>84</v>
      </c>
      <c r="F51" s="1" t="s">
        <v>84</v>
      </c>
      <c r="G51" s="1" t="s">
        <v>84</v>
      </c>
      <c r="H51" s="1" t="s">
        <v>84</v>
      </c>
      <c r="I51" s="1" t="s">
        <v>84</v>
      </c>
      <c r="J51" s="1" t="s">
        <v>84</v>
      </c>
      <c r="K51" s="1" t="s">
        <v>84</v>
      </c>
      <c r="L51" s="1" t="s">
        <v>84</v>
      </c>
      <c r="M51" s="1" t="s">
        <v>84</v>
      </c>
      <c r="N51" s="1" t="s">
        <v>84</v>
      </c>
      <c r="O51" s="1" t="s">
        <v>84</v>
      </c>
      <c r="P51" s="1" t="s">
        <v>84</v>
      </c>
      <c r="Q51" s="1" t="s">
        <v>84</v>
      </c>
    </row>
    <row r="52" spans="1:17" x14ac:dyDescent="0.25">
      <c r="A52" s="4" t="s">
        <v>85</v>
      </c>
      <c r="B52" t="s">
        <v>86</v>
      </c>
      <c r="C52" t="s">
        <v>86</v>
      </c>
      <c r="D52" s="1" t="s">
        <v>86</v>
      </c>
      <c r="E52" s="1" t="s">
        <v>86</v>
      </c>
      <c r="F52" s="1" t="s">
        <v>86</v>
      </c>
      <c r="G52" s="1" t="s">
        <v>86</v>
      </c>
      <c r="H52" s="1" t="s">
        <v>86</v>
      </c>
      <c r="I52" s="1" t="s">
        <v>86</v>
      </c>
      <c r="J52" s="1" t="s">
        <v>86</v>
      </c>
      <c r="K52" s="1" t="s">
        <v>86</v>
      </c>
      <c r="L52" s="1" t="s">
        <v>86</v>
      </c>
      <c r="M52" s="1" t="s">
        <v>86</v>
      </c>
      <c r="N52" s="1" t="s">
        <v>86</v>
      </c>
      <c r="O52" s="1" t="s">
        <v>86</v>
      </c>
      <c r="P52" s="1" t="s">
        <v>86</v>
      </c>
      <c r="Q52" s="1" t="s">
        <v>86</v>
      </c>
    </row>
    <row r="53" spans="1:17" x14ac:dyDescent="0.25">
      <c r="A53" s="4" t="s">
        <v>87</v>
      </c>
      <c r="B53" t="s">
        <v>88</v>
      </c>
      <c r="C53" t="s">
        <v>88</v>
      </c>
      <c r="D53" s="1" t="s">
        <v>88</v>
      </c>
      <c r="E53" s="1" t="s">
        <v>88</v>
      </c>
      <c r="F53" s="1" t="s">
        <v>88</v>
      </c>
      <c r="G53" s="1" t="s">
        <v>88</v>
      </c>
      <c r="H53" s="1" t="s">
        <v>88</v>
      </c>
      <c r="I53" s="1" t="s">
        <v>88</v>
      </c>
      <c r="J53" s="1" t="s">
        <v>88</v>
      </c>
      <c r="K53" s="1" t="s">
        <v>88</v>
      </c>
      <c r="L53" s="1" t="s">
        <v>88</v>
      </c>
      <c r="M53" s="1" t="s">
        <v>88</v>
      </c>
      <c r="N53" s="1" t="s">
        <v>88</v>
      </c>
      <c r="O53" s="1" t="s">
        <v>88</v>
      </c>
      <c r="P53" s="1" t="s">
        <v>88</v>
      </c>
      <c r="Q53" s="1" t="s">
        <v>88</v>
      </c>
    </row>
    <row r="54" spans="1:17" x14ac:dyDescent="0.25">
      <c r="A54" s="4" t="s">
        <v>41</v>
      </c>
      <c r="B54" t="s">
        <v>42</v>
      </c>
      <c r="C54" t="s">
        <v>42</v>
      </c>
      <c r="D54" s="1" t="s">
        <v>89</v>
      </c>
      <c r="E54" s="1" t="s">
        <v>89</v>
      </c>
      <c r="F54" s="1" t="s">
        <v>89</v>
      </c>
      <c r="G54" s="1" t="s">
        <v>89</v>
      </c>
      <c r="H54" s="1" t="s">
        <v>89</v>
      </c>
      <c r="I54" s="1" t="s">
        <v>89</v>
      </c>
      <c r="J54" s="1" t="s">
        <v>89</v>
      </c>
      <c r="K54" s="1" t="s">
        <v>89</v>
      </c>
      <c r="L54" s="1" t="s">
        <v>89</v>
      </c>
      <c r="M54" s="1" t="s">
        <v>89</v>
      </c>
      <c r="N54" s="1" t="s">
        <v>89</v>
      </c>
      <c r="O54" s="1" t="s">
        <v>89</v>
      </c>
      <c r="P54" s="1" t="s">
        <v>89</v>
      </c>
      <c r="Q54" s="1" t="s">
        <v>89</v>
      </c>
    </row>
    <row r="55" spans="1:17" x14ac:dyDescent="0.25">
      <c r="A55" s="5"/>
      <c r="E55" s="1"/>
      <c r="F55" s="1"/>
      <c r="G55" s="1"/>
      <c r="H55" s="1"/>
      <c r="I55" s="1"/>
      <c r="J55" s="1"/>
      <c r="K55" s="1"/>
      <c r="L55" s="1"/>
      <c r="M55" s="1"/>
      <c r="N55" s="1"/>
      <c r="O55" s="1"/>
      <c r="P55" s="1"/>
      <c r="Q55" s="1"/>
    </row>
    <row r="56" spans="1:17" x14ac:dyDescent="0.25">
      <c r="A56" s="5"/>
      <c r="E56" s="1"/>
      <c r="F56" s="1"/>
      <c r="G56" s="1"/>
      <c r="H56" s="1"/>
      <c r="I56" s="1"/>
      <c r="J56" s="1"/>
      <c r="K56" s="1"/>
      <c r="L56" s="1"/>
      <c r="M56" s="1"/>
      <c r="N56" s="1"/>
      <c r="O56" s="1"/>
      <c r="P56" s="1"/>
      <c r="Q56" s="1"/>
    </row>
    <row r="57" spans="1:17" x14ac:dyDescent="0.25">
      <c r="A57" s="4" t="s">
        <v>90</v>
      </c>
      <c r="B57" t="s">
        <v>91</v>
      </c>
      <c r="C57" t="s">
        <v>91</v>
      </c>
      <c r="D57" s="1" t="s">
        <v>91</v>
      </c>
      <c r="E57" s="1" t="s">
        <v>91</v>
      </c>
      <c r="F57" s="1" t="s">
        <v>91</v>
      </c>
      <c r="G57" s="1" t="s">
        <v>91</v>
      </c>
      <c r="H57" s="1" t="s">
        <v>91</v>
      </c>
      <c r="I57" s="1" t="s">
        <v>91</v>
      </c>
      <c r="J57" s="1" t="s">
        <v>91</v>
      </c>
      <c r="K57" s="1" t="s">
        <v>91</v>
      </c>
      <c r="L57" s="1" t="s">
        <v>91</v>
      </c>
      <c r="M57" s="1" t="s">
        <v>91</v>
      </c>
      <c r="N57" s="1" t="s">
        <v>91</v>
      </c>
      <c r="O57" s="1" t="s">
        <v>91</v>
      </c>
      <c r="P57" s="1" t="s">
        <v>91</v>
      </c>
      <c r="Q57" s="1" t="s">
        <v>91</v>
      </c>
    </row>
    <row r="58" spans="1:17" x14ac:dyDescent="0.25">
      <c r="A58" s="4" t="s">
        <v>92</v>
      </c>
      <c r="B58" t="s">
        <v>93</v>
      </c>
      <c r="C58" t="s">
        <v>93</v>
      </c>
      <c r="D58" s="1" t="s">
        <v>93</v>
      </c>
      <c r="E58" s="1" t="s">
        <v>93</v>
      </c>
      <c r="F58" s="1" t="s">
        <v>93</v>
      </c>
      <c r="G58" s="1" t="s">
        <v>93</v>
      </c>
      <c r="H58" s="1" t="s">
        <v>93</v>
      </c>
      <c r="I58" s="1" t="s">
        <v>93</v>
      </c>
      <c r="J58" s="1" t="s">
        <v>93</v>
      </c>
      <c r="K58" s="1" t="s">
        <v>93</v>
      </c>
      <c r="L58" s="1" t="s">
        <v>93</v>
      </c>
      <c r="M58" s="1" t="s">
        <v>93</v>
      </c>
      <c r="N58" s="1" t="s">
        <v>93</v>
      </c>
      <c r="O58" s="1" t="s">
        <v>93</v>
      </c>
      <c r="P58" s="1" t="s">
        <v>93</v>
      </c>
      <c r="Q58" s="1" t="s">
        <v>93</v>
      </c>
    </row>
    <row r="59" spans="1:17" x14ac:dyDescent="0.25">
      <c r="A59" s="4" t="s">
        <v>94</v>
      </c>
      <c r="B59" t="s">
        <v>95</v>
      </c>
      <c r="C59" t="s">
        <v>95</v>
      </c>
      <c r="D59" s="1" t="s">
        <v>95</v>
      </c>
      <c r="E59" s="1" t="s">
        <v>95</v>
      </c>
      <c r="F59" s="1" t="s">
        <v>95</v>
      </c>
      <c r="G59" s="1" t="s">
        <v>95</v>
      </c>
      <c r="H59" s="1" t="s">
        <v>95</v>
      </c>
      <c r="I59" s="1" t="s">
        <v>95</v>
      </c>
      <c r="J59" s="1" t="s">
        <v>95</v>
      </c>
      <c r="K59" s="1" t="s">
        <v>95</v>
      </c>
      <c r="L59" s="1" t="s">
        <v>95</v>
      </c>
      <c r="M59" s="1" t="s">
        <v>95</v>
      </c>
      <c r="N59" s="1" t="s">
        <v>95</v>
      </c>
      <c r="O59" s="1" t="s">
        <v>95</v>
      </c>
      <c r="P59" s="1" t="s">
        <v>95</v>
      </c>
      <c r="Q59" s="1" t="s">
        <v>95</v>
      </c>
    </row>
    <row r="60" spans="1:17" x14ac:dyDescent="0.25">
      <c r="A60" s="5"/>
      <c r="E60" s="1"/>
      <c r="F60" s="1"/>
      <c r="G60" s="1"/>
      <c r="H60" s="1"/>
      <c r="I60" s="1"/>
      <c r="J60" s="1"/>
      <c r="K60" s="1"/>
      <c r="L60" s="1"/>
      <c r="M60" s="1"/>
      <c r="N60" s="1"/>
      <c r="O60" s="1"/>
      <c r="P60" s="1"/>
      <c r="Q60" s="1"/>
    </row>
    <row r="61" spans="1:17" x14ac:dyDescent="0.25">
      <c r="A61" s="4" t="s">
        <v>96</v>
      </c>
      <c r="B61" t="str">
        <f t="shared" ref="B61:Q61" si="1">"          &lt;h1&gt;"&amp;B4&amp;"&lt;/h1&gt;"</f>
        <v>          &lt;h1&gt;Mariam oder der Weg der Armen des Herrn&lt;/h1&gt;</v>
      </c>
      <c r="C61" t="str">
        <f t="shared" si="1"/>
        <v>          &lt;h1&gt;„Aus Liebe sterben, das ist meine Hoffnung“&lt;/h1&gt;</v>
      </c>
      <c r="D61" s="1" t="str">
        <f t="shared" si="1"/>
        <v>          &lt;h1&gt;„Kind sein vor Gott“&lt;/h1&gt;</v>
      </c>
      <c r="E61" s="1" t="str">
        <f t="shared" si="1"/>
        <v>          &lt;h1&gt;Durch das Kreuz zum Licht&lt;/h1&gt;</v>
      </c>
      <c r="F61" s="1" t="str">
        <f t="shared" si="1"/>
        <v>          &lt;h1&gt;Leben in der Göttlichen Freude&lt;/h1&gt;</v>
      </c>
      <c r="G61" s="1" t="str">
        <f t="shared" si="1"/>
        <v>          &lt;h1&gt;Das Gebet - ein Weg, unsere Berufung als Kind Gottes zu leben&lt;/h1&gt;</v>
      </c>
      <c r="H61" s="1" t="str">
        <f t="shared" si="1"/>
        <v>          &lt;h1&gt;Die Gegenwart Gottes in unserem Leben erfahren&lt;/h1&gt;</v>
      </c>
      <c r="I61" s="1" t="str">
        <f t="shared" si="1"/>
        <v>          &lt;h1&gt;Leben in der Göttlichen Freude&lt;/h1&gt;</v>
      </c>
      <c r="J61" s="1" t="str">
        <f t="shared" si="1"/>
        <v>          &lt;h1&gt;Leben in der Göttlichen Freude&lt;/h1&gt;</v>
      </c>
      <c r="K61" s="1" t="str">
        <f t="shared" si="1"/>
        <v>          &lt;h1&gt;Leben in der Göttlichen Freude&lt;/h1&gt;</v>
      </c>
      <c r="L61" s="1" t="str">
        <f t="shared" si="1"/>
        <v>          &lt;h1&gt;Leben in der Göttlichen Freude&lt;/h1&gt;</v>
      </c>
      <c r="M61" s="1" t="str">
        <f t="shared" si="1"/>
        <v>          &lt;h1&gt;Leben in der Göttlichen Freude&lt;/h1&gt;</v>
      </c>
      <c r="N61" s="1" t="str">
        <f t="shared" si="1"/>
        <v>          &lt;h1&gt;Leben in der Göttlichen Freude&lt;/h1&gt;</v>
      </c>
      <c r="O61" s="1" t="str">
        <f t="shared" si="1"/>
        <v>          &lt;h1&gt;Leben in der Göttlichen Freude&lt;/h1&gt;</v>
      </c>
      <c r="P61" s="1" t="str">
        <f t="shared" si="1"/>
        <v>          &lt;h1&gt;Leben in der Göttlichen Freude&lt;/h1&gt;</v>
      </c>
      <c r="Q61" s="1" t="str">
        <f t="shared" si="1"/>
        <v>          &lt;h1&gt;Leben in der Göttlichen Freude&lt;/h1&gt;</v>
      </c>
    </row>
    <row r="62" spans="1:17" x14ac:dyDescent="0.25">
      <c r="A62" s="4" t="s">
        <v>97</v>
      </c>
      <c r="B62" t="str">
        <f t="shared" ref="B62:Q62" si="2">"          &lt;h2&gt;"&amp;B3&amp;"&lt;/h2&gt;"</f>
        <v>          &lt;h2&gt;Advent 2025 mit der heiligen Mirjam von Jesus, dem Gekreuzigten&lt;/h2&gt;</v>
      </c>
      <c r="C62" t="str">
        <f t="shared" si="2"/>
        <v>          &lt;h2&gt;Fastenzeit 2025 mit Thérèse von Lisieux und das Östergeheimnis&lt;/h2&gt;</v>
      </c>
      <c r="D62" s="1" t="str">
        <f t="shared" si="2"/>
        <v>          &lt;h2&gt;Advent 2024 mit der Hl. Thérèse vom Kind Jesu&lt;/h2&gt;</v>
      </c>
      <c r="E62" s="1" t="str">
        <f t="shared" si="2"/>
        <v>          &lt;h2&gt;Fastenzeit 2024 mit Pater Jacuqes von Jesus (1900-1945)&lt;/h2&gt;</v>
      </c>
      <c r="F62" s="1" t="str">
        <f t="shared" si="2"/>
        <v>          &lt;h2&gt;Advent 2023 mit der heiligen Teresa de Los Andes (1900-1920)&lt;/h2&gt;</v>
      </c>
      <c r="G62" s="1" t="str">
        <f t="shared" si="2"/>
        <v>          &lt;h2&gt;Fastenzeit 2023: Das Gebet&lt;/h2&gt;</v>
      </c>
      <c r="H62" s="1" t="str">
        <f t="shared" si="2"/>
        <v>          &lt;h2&gt;Advent 2022 in der Schule der Heiligen des Karmel&lt;/h2&gt;</v>
      </c>
      <c r="I62" s="1" t="str">
        <f t="shared" si="2"/>
        <v>          &lt;h2&gt;Advent 2023 mit der heiligen Teresa de Los Andes (1900-1920)&lt;/h2&gt;</v>
      </c>
      <c r="J62" s="1" t="str">
        <f t="shared" si="2"/>
        <v>          &lt;h2&gt;Advent 2023 mit der heiligen Teresa de Los Andes (1900-1920)&lt;/h2&gt;</v>
      </c>
      <c r="K62" s="1" t="str">
        <f t="shared" si="2"/>
        <v>          &lt;h2&gt;Advent 2023 mit der heiligen Teresa de Los Andes (1900-1920)&lt;/h2&gt;</v>
      </c>
      <c r="L62" s="1" t="str">
        <f t="shared" si="2"/>
        <v>          &lt;h2&gt;Advent 2023 mit der heiligen Teresa de Los Andes (1900-1920)&lt;/h2&gt;</v>
      </c>
      <c r="M62" s="1" t="str">
        <f t="shared" si="2"/>
        <v>          &lt;h2&gt;Advent 2023 mit der heiligen Teresa de Los Andes (1900-1920)&lt;/h2&gt;</v>
      </c>
      <c r="N62" s="1" t="str">
        <f t="shared" si="2"/>
        <v>          &lt;h2&gt;Advent 2023 mit der heiligen Teresa de Los Andes (1900-1920)&lt;/h2&gt;</v>
      </c>
      <c r="O62" s="1" t="str">
        <f t="shared" si="2"/>
        <v>          &lt;h2&gt;Advent 2023 mit der heiligen Teresa de Los Andes (1900-1920)&lt;/h2&gt;</v>
      </c>
      <c r="P62" s="1" t="str">
        <f t="shared" si="2"/>
        <v>          &lt;h2&gt;Advent 2023 mit der heiligen Teresa de Los Andes (1900-1920)&lt;/h2&gt;</v>
      </c>
      <c r="Q62" s="1" t="str">
        <f t="shared" si="2"/>
        <v>          &lt;h2&gt;Advent 2023 mit der heiligen Teresa de Los Andes (1900-1920)&lt;/h2&gt;</v>
      </c>
    </row>
    <row r="63" spans="1:17" x14ac:dyDescent="0.25">
      <c r="A63" s="3" t="s">
        <v>98</v>
      </c>
      <c r="B63" t="str">
        <f t="shared" ref="B63:Q63" si="3">"&lt;h3&gt;Vom "&amp;TEXT(B8,"t. MMMM")&amp;" bis "&amp;TEXT(B9,"t. MMMM JJJJ")&amp;"&lt;/h3&gt;"</f>
        <v>&lt;h3&gt;Vom 26. November bis 25. Dezember 2025&lt;/h3&gt;</v>
      </c>
      <c r="C63" t="str">
        <f t="shared" si="3"/>
        <v>&lt;h3&gt;Vom 5. März bis 27. April 2025&lt;/h3&gt;</v>
      </c>
      <c r="D63" s="1" t="str">
        <f t="shared" si="3"/>
        <v>&lt;h3&gt;Vom 27. November bis 5. Jänner 2025&lt;/h3&gt;</v>
      </c>
      <c r="E63" s="1" t="str">
        <f t="shared" si="3"/>
        <v>&lt;h3&gt;Vom 14. Februar bis 7. April 2024&lt;/h3&gt;</v>
      </c>
      <c r="F63" s="1" t="str">
        <f t="shared" si="3"/>
        <v>&lt;h3&gt;Vom 29. November bis 25. Dezember 2023&lt;/h3&gt;</v>
      </c>
      <c r="G63" s="1" t="str">
        <f t="shared" si="3"/>
        <v>&lt;h3&gt;Vom 22. Februar bis 16. April 2023&lt;/h3&gt;</v>
      </c>
      <c r="H63" s="1" t="str">
        <f t="shared" si="3"/>
        <v>&lt;h3&gt;Vom 23. November bis 1. Jänner 2023&lt;/h3&gt;</v>
      </c>
      <c r="I63" s="1" t="str">
        <f t="shared" si="3"/>
        <v>&lt;h3&gt;Vom 29. November bis 25. Dezember 2023&lt;/h3&gt;</v>
      </c>
      <c r="J63" s="1" t="str">
        <f t="shared" si="3"/>
        <v>&lt;h3&gt;Vom 29. November bis 25. Dezember 2023&lt;/h3&gt;</v>
      </c>
      <c r="K63" s="1" t="str">
        <f t="shared" si="3"/>
        <v>&lt;h3&gt;Vom 29. November bis 25. Dezember 2023&lt;/h3&gt;</v>
      </c>
      <c r="L63" s="1" t="str">
        <f t="shared" si="3"/>
        <v>&lt;h3&gt;Vom 29. November bis 25. Dezember 2023&lt;/h3&gt;</v>
      </c>
      <c r="M63" s="1" t="str">
        <f t="shared" si="3"/>
        <v>&lt;h3&gt;Vom 29. November bis 25. Dezember 2023&lt;/h3&gt;</v>
      </c>
      <c r="N63" s="1" t="str">
        <f t="shared" si="3"/>
        <v>&lt;h3&gt;Vom 29. November bis 25. Dezember 2023&lt;/h3&gt;</v>
      </c>
      <c r="O63" s="1" t="str">
        <f t="shared" si="3"/>
        <v>&lt;h3&gt;Vom 29. November bis 25. Dezember 2023&lt;/h3&gt;</v>
      </c>
      <c r="P63" s="1" t="str">
        <f t="shared" si="3"/>
        <v>&lt;h3&gt;Vom 29. November bis 25. Dezember 2023&lt;/h3&gt;</v>
      </c>
      <c r="Q63" s="1" t="str">
        <f t="shared" si="3"/>
        <v>&lt;h3&gt;Vom 29. November bis 25. Dezember 2023&lt;/h3&gt;</v>
      </c>
    </row>
    <row r="64" spans="1:17" x14ac:dyDescent="0.25">
      <c r="A64" s="3" t="s">
        <v>99</v>
      </c>
      <c r="B64" t="str">
        <f t="shared" ref="B64:Q64" si="4">"&lt;p&gt;"</f>
        <v>&lt;p&gt;</v>
      </c>
      <c r="C64" t="str">
        <f t="shared" si="4"/>
        <v>&lt;p&gt;</v>
      </c>
      <c r="D64" s="1" t="str">
        <f t="shared" si="4"/>
        <v>&lt;p&gt;</v>
      </c>
      <c r="E64" s="1" t="str">
        <f t="shared" si="4"/>
        <v>&lt;p&gt;</v>
      </c>
      <c r="F64" s="1" t="str">
        <f t="shared" si="4"/>
        <v>&lt;p&gt;</v>
      </c>
      <c r="G64" s="1" t="str">
        <f t="shared" si="4"/>
        <v>&lt;p&gt;</v>
      </c>
      <c r="H64" s="1" t="str">
        <f t="shared" si="4"/>
        <v>&lt;p&gt;</v>
      </c>
      <c r="I64" s="1" t="str">
        <f t="shared" si="4"/>
        <v>&lt;p&gt;</v>
      </c>
      <c r="J64" s="1" t="str">
        <f t="shared" si="4"/>
        <v>&lt;p&gt;</v>
      </c>
      <c r="K64" s="1" t="str">
        <f t="shared" si="4"/>
        <v>&lt;p&gt;</v>
      </c>
      <c r="L64" s="1" t="str">
        <f t="shared" si="4"/>
        <v>&lt;p&gt;</v>
      </c>
      <c r="M64" s="1" t="str">
        <f t="shared" si="4"/>
        <v>&lt;p&gt;</v>
      </c>
      <c r="N64" s="1" t="str">
        <f t="shared" si="4"/>
        <v>&lt;p&gt;</v>
      </c>
      <c r="O64" s="1" t="str">
        <f t="shared" si="4"/>
        <v>&lt;p&gt;</v>
      </c>
      <c r="P64" s="1" t="str">
        <f t="shared" si="4"/>
        <v>&lt;p&gt;</v>
      </c>
      <c r="Q64" s="1" t="str">
        <f t="shared" si="4"/>
        <v>&lt;p&gt;</v>
      </c>
    </row>
    <row r="65" spans="1:17" x14ac:dyDescent="0.25">
      <c r="A65" s="3" t="s">
        <v>100</v>
      </c>
      <c r="B65" t="str">
        <f t="shared" ref="B65:Q65" si="5">B5</f>
        <v>Die heilige Maria von Jesus, dem Gekreuzigten (1846-1878), die „kleine Araberin“, geboren im Heiligen Land, Analphabetin und demütige Karmelitin, gründete dennoch mehrere Karmelklöster im Orient und in Indien. Ihr schlichtes Leben im Glanz der Heiligkeit, geführt vom Heiligen Geist, lädt uns ein, uns von Jesus lieben und verwandeln zu lassen …</v>
      </c>
      <c r="C65" t="str">
        <f t="shared" si="5"/>
        <v>Die heilige Thérèse von Lisieux wird uns in sechs Schritten zur Osterfreude führen: 
-   1. Sonntag: „Selig jener, der würdig erachtet wurde, Anfechtung zu erleiden!“ 
-   2. Sonntag: „O [Heiliges] Antlitz, schöner als die Lilien und Rosen im Frühling!“ 
-   3. Sonntag: „Ich fühlte ein großes Verlangen, für die Bekehrung der Sünder zu arbeiten“
 -   4. Sonntag: „Hätte ich auch alle begehbaren Sünden auf dem Gewissen ...“ 
-   5. Sonntag: „Eine arme Sünderin wie ich“ 
-   Karwoche: „Schau Jesus ins Antlitz ... Da wirst du sehen, wie er uns liebt!“ 
-   Ostern: „Dies ist mein Himmel ... dies ist meine Bestimmung: Leben aus Liebe!!!...“ Jeden Freitag erhalten Sie eine E-Mail-Nachricht: Dort können Sie den Text herunterladen (in drei Formaten: PDF, Word, PDF im Handyformat) oder die Audio-Version als Podcast anhören. Der Inhalt der Betrachtung wird vom Sonntagsevangelium ausgehen und uns in die Schule der heiligen Thérèse von Lisieux führen. Ein Fastenkalender (Zitate und Bilder) wird Sie außerdem jeden Tag, von Montag bis Samstag, durch geistliche Impulse inspirieren.</v>
      </c>
      <c r="D65" s="1" t="str">
        <f t="shared" si="5"/>
        <v>Diese Online-Exerzitien wollen in den Geist und das Gebet der Jüngsten unter allen Kirchenlehrern einführen, deren Geburtstag sich letztes Jahr zum 150. Mal jährte: die hl. Thérèse vom Kinde Jesus (von Lisieux). Wir werden dies tun, indem wir uns in erster Linie auf die Schriften der Heiligen stützen, die uns ein umfangreiches schriftliches Werk hinterlassen hat. Doch diese erklären nicht alles. Thérèses fulminante Berufung kann nur vor dem Hintergrund des unergründlichen Geheimnisses, von dem ihr ganzes Leben Zeugnis ablegt, vollständig verstanden werden: dem der göttlichen Barmherzigkeit.</v>
      </c>
      <c r="E65" s="1" t="str">
        <f t="shared" si="5"/>
        <v>„Durch das Kreuz zum Licht“: So lautet der Anfang der Worte, die Pater Jacques von Jesus im März 1945 im Konzentrationslager Gusen (Österreich) mit Bleistift in ein Notizbuch kritzelte. Sie haben den Wert eines geistlichen Testaments. Dieser bemerkenswerte Erzieher, der im Januar 1944 im Karmeliterkloster von Avon von der Gestapo verhaftet worden war (ein Vorfall, der in dem Film „Auf Wiedersehen, Kinder“  von Louis Malle aufgegriffen wird) und dessen Seligsprechungsprozess im Gange ist, wird uns einen wirkkräftigen Fastenweg aufzeigen, um dem Licht Christi entgegenzugehen.</v>
      </c>
      <c r="F65" s="1" t="str">
        <f t="shared" si="5"/>
        <v>„Gott ist unendliche Freude." Dieser berühmte Ausspruch der heiligen Teresa de Los Andes (1900-1920), der ersten Chilenin, die heiliggesprochen wurde, ist das Leitmotiv für diese Exerzitien im Advent 2023: Ja, Gott ist sehr viel liebenswürdiger, schöner und liebevoller als wir im Allgemeinen denken! Teresa wird uns dies erkennen lassen, indem sie uns das Beispiel einer liebenswürdigen Heiligkeit vor Augen führt und uns leicht verständliche Ratschläge gibt, damit auch wir unser Leben in der göttlichen Freude verankern können. In ihrer Schule werden wir erkennen, dass wir – an der Seite des göttlichen Neugeborenen – zu einer frohen Heiligkeit gelangen können …</v>
      </c>
      <c r="G65" s="1" t="str">
        <f t="shared" si="5"/>
        <v>„Kinder Gottes: Wir sind es bereits im Keim durch unsere Taufe. Aber wie können wir unsere tiefe Berufung, für Gott Söhne und Töchter zu werden, voll und ganz verwirklichen? Das Gebet, das persönliche Gebet ist ein bevorzugter Weg für diese Neuschöpfung in Christus. Diese Exerzitien in der Fastenzeit werden uns helfen, unser geistliches Leben tiefgreifend zu erneuern, damit wir uns an der Ostergnade in kindlicher Dankbarkeit erfreuen können!"</v>
      </c>
      <c r="H65" s="1" t="str">
        <f t="shared" si="5"/>
        <v>Das Weihnachtsgeheimnis ist das Geheimnis Gottes, der sich in unserem Menschsein zu unserer Erlösung gegenwärtig macht. Vor 2000 Jahren in der Krippe von Bethlehem anwesend, ist Christus Jesus hier und jetzt, mitten unter uns und in jedem von uns gegenwärtig. Während dieser Einkehrtage im Advent werden wir uns in die Schule der Heiligen des Karmel begeben, um diese Gegenwart Gottes in unserem Leben auf erneuerte Weise zu empfangen. Gehen wir "auf dieser wunderbaren Straße der Gegenwart Gottes"!</v>
      </c>
      <c r="I65" s="1" t="str">
        <f t="shared" si="5"/>
        <v>„Gott ist unendliche Freude." Dieser berühmte Ausspruch der heiligen Teresa de Los Andes (1900-1920), der ersten Chilenin, die heiliggesprochen wurde, ist das Leitmotiv für diese Exerzitien im Advent 2023: Ja, Gott ist sehr viel liebenswürdiger, schöner und liebevoller als wir im Allgemeinen denken! Teresa wird uns dies erkennen lassen, indem sie uns das Beispiel einer liebenswürdigen Heiligkeit vor Augen führt und uns leicht verständliche Ratschläge gibt, damit auch wir unser Leben in der göttlichen Freude verankern können. In ihrer Schule werden wir erkennen, dass wir – an der Seite des göttlichen Neugeborenen – zu einer frohen Heiligkeit gelangen können …</v>
      </c>
      <c r="J65" s="1" t="str">
        <f t="shared" si="5"/>
        <v>„Gott ist unendliche Freude." Dieser berühmte Ausspruch der heiligen Teresa de Los Andes (1900-1920), der ersten Chilenin, die heiliggesprochen wurde, ist das Leitmotiv für diese Exerzitien im Advent 2023: Ja, Gott ist sehr viel liebenswürdiger, schöner und liebevoller als wir im Allgemeinen denken! Teresa wird uns dies erkennen lassen, indem sie uns das Beispiel einer liebenswürdigen Heiligkeit vor Augen führt und uns leicht verständliche Ratschläge gibt, damit auch wir unser Leben in der göttlichen Freude verankern können. In ihrer Schule werden wir erkennen, dass wir – an der Seite des göttlichen Neugeborenen – zu einer frohen Heiligkeit gelangen können …</v>
      </c>
      <c r="K65" s="1" t="str">
        <f t="shared" si="5"/>
        <v>„Gott ist unendliche Freude." Dieser berühmte Ausspruch der heiligen Teresa de Los Andes (1900-1920), der ersten Chilenin, die heiliggesprochen wurde, ist das Leitmotiv für diese Exerzitien im Advent 2023: Ja, Gott ist sehr viel liebenswürdiger, schöner und liebevoller als wir im Allgemeinen denken! Teresa wird uns dies erkennen lassen, indem sie uns das Beispiel einer liebenswürdigen Heiligkeit vor Augen führt und uns leicht verständliche Ratschläge gibt, damit auch wir unser Leben in der göttlichen Freude verankern können. In ihrer Schule werden wir erkennen, dass wir – an der Seite des göttlichen Neugeborenen – zu einer frohen Heiligkeit gelangen können …</v>
      </c>
      <c r="L65" s="1" t="str">
        <f t="shared" si="5"/>
        <v>„Gott ist unendliche Freude." Dieser berühmte Ausspruch der heiligen Teresa de Los Andes (1900-1920), der ersten Chilenin, die heiliggesprochen wurde, ist das Leitmotiv für diese Exerzitien im Advent 2023: Ja, Gott ist sehr viel liebenswürdiger, schöner und liebevoller als wir im Allgemeinen denken! Teresa wird uns dies erkennen lassen, indem sie uns das Beispiel einer liebenswürdigen Heiligkeit vor Augen führt und uns leicht verständliche Ratschläge gibt, damit auch wir unser Leben in der göttlichen Freude verankern können. In ihrer Schule werden wir erkennen, dass wir – an der Seite des göttlichen Neugeborenen – zu einer frohen Heiligkeit gelangen können …</v>
      </c>
      <c r="M65" s="1" t="str">
        <f t="shared" si="5"/>
        <v>„Gott ist unendliche Freude." Dieser berühmte Ausspruch der heiligen Teresa de Los Andes (1900-1920), der ersten Chilenin, die heiliggesprochen wurde, ist das Leitmotiv für diese Exerzitien im Advent 2023: Ja, Gott ist sehr viel liebenswürdiger, schöner und liebevoller als wir im Allgemeinen denken! Teresa wird uns dies erkennen lassen, indem sie uns das Beispiel einer liebenswürdigen Heiligkeit vor Augen führt und uns leicht verständliche Ratschläge gibt, damit auch wir unser Leben in der göttlichen Freude verankern können. In ihrer Schule werden wir erkennen, dass wir – an der Seite des göttlichen Neugeborenen – zu einer frohen Heiligkeit gelangen können …</v>
      </c>
      <c r="N65" s="1" t="str">
        <f t="shared" si="5"/>
        <v>„Gott ist unendliche Freude." Dieser berühmte Ausspruch der heiligen Teresa de Los Andes (1900-1920), der ersten Chilenin, die heiliggesprochen wurde, ist das Leitmotiv für diese Exerzitien im Advent 2023: Ja, Gott ist sehr viel liebenswürdiger, schöner und liebevoller als wir im Allgemeinen denken! Teresa wird uns dies erkennen lassen, indem sie uns das Beispiel einer liebenswürdigen Heiligkeit vor Augen führt und uns leicht verständliche Ratschläge gibt, damit auch wir unser Leben in der göttlichen Freude verankern können. In ihrer Schule werden wir erkennen, dass wir – an der Seite des göttlichen Neugeborenen – zu einer frohen Heiligkeit gelangen können …</v>
      </c>
      <c r="O65" s="1" t="str">
        <f t="shared" si="5"/>
        <v>„Gott ist unendliche Freude." Dieser berühmte Ausspruch der heiligen Teresa de Los Andes (1900-1920), der ersten Chilenin, die heiliggesprochen wurde, ist das Leitmotiv für diese Exerzitien im Advent 2023: Ja, Gott ist sehr viel liebenswürdiger, schöner und liebevoller als wir im Allgemeinen denken! Teresa wird uns dies erkennen lassen, indem sie uns das Beispiel einer liebenswürdigen Heiligkeit vor Augen führt und uns leicht verständliche Ratschläge gibt, damit auch wir unser Leben in der göttlichen Freude verankern können. In ihrer Schule werden wir erkennen, dass wir – an der Seite des göttlichen Neugeborenen – zu einer frohen Heiligkeit gelangen können …</v>
      </c>
      <c r="P65" s="1" t="str">
        <f t="shared" si="5"/>
        <v>„Gott ist unendliche Freude." Dieser berühmte Ausspruch der heiligen Teresa de Los Andes (1900-1920), der ersten Chilenin, die heiliggesprochen wurde, ist das Leitmotiv für diese Exerzitien im Advent 2023: Ja, Gott ist sehr viel liebenswürdiger, schöner und liebevoller als wir im Allgemeinen denken! Teresa wird uns dies erkennen lassen, indem sie uns das Beispiel einer liebenswürdigen Heiligkeit vor Augen führt und uns leicht verständliche Ratschläge gibt, damit auch wir unser Leben in der göttlichen Freude verankern können. In ihrer Schule werden wir erkennen, dass wir – an der Seite des göttlichen Neugeborenen – zu einer frohen Heiligkeit gelangen können …</v>
      </c>
      <c r="Q65" s="1" t="str">
        <f t="shared" si="5"/>
        <v>„Gott ist unendliche Freude." Dieser berühmte Ausspruch der heiligen Teresa de Los Andes (1900-1920), der ersten Chilenin, die heiliggesprochen wurde, ist das Leitmotiv für diese Exerzitien im Advent 2023: Ja, Gott ist sehr viel liebenswürdiger, schöner und liebevoller als wir im Allgemeinen denken! Teresa wird uns dies erkennen lassen, indem sie uns das Beispiel einer liebenswürdigen Heiligkeit vor Augen führt und uns leicht verständliche Ratschläge gibt, damit auch wir unser Leben in der göttlichen Freude verankern können. In ihrer Schule werden wir erkennen, dass wir – an der Seite des göttlichen Neugeborenen – zu einer frohen Heiligkeit gelangen können …</v>
      </c>
    </row>
    <row r="66" spans="1:17" x14ac:dyDescent="0.25">
      <c r="A66" s="4" t="s">
        <v>101</v>
      </c>
      <c r="E66" s="1"/>
      <c r="F66" s="1"/>
      <c r="G66" s="1"/>
      <c r="H66" s="1"/>
      <c r="I66" s="1"/>
      <c r="J66" s="1"/>
      <c r="K66" s="1"/>
      <c r="L66" s="1"/>
      <c r="M66" s="1"/>
      <c r="N66" s="1"/>
      <c r="O66" s="1"/>
      <c r="P66" s="1"/>
      <c r="Q66" s="1"/>
    </row>
    <row r="67" spans="1:17" x14ac:dyDescent="0.25">
      <c r="A67" s="4" t="s">
        <v>102</v>
      </c>
      <c r="E67" s="1"/>
      <c r="F67" s="1"/>
      <c r="G67" s="1"/>
      <c r="H67" s="1"/>
      <c r="I67" s="1"/>
      <c r="J67" s="1"/>
      <c r="K67" s="1"/>
      <c r="L67" s="1"/>
      <c r="M67" s="1"/>
      <c r="N67" s="1"/>
      <c r="O67" s="1"/>
      <c r="P67" s="1"/>
      <c r="Q67" s="1"/>
    </row>
    <row r="68" spans="1:17" x14ac:dyDescent="0.25">
      <c r="A68" s="3" t="s">
        <v>103</v>
      </c>
      <c r="E68" s="1"/>
      <c r="F68" s="1"/>
      <c r="G68" s="1"/>
      <c r="H68" s="1"/>
      <c r="I68" s="1"/>
      <c r="J68" s="1"/>
      <c r="K68" s="1"/>
      <c r="L68" s="1"/>
      <c r="M68" s="1"/>
      <c r="N68" s="1"/>
      <c r="O68" s="1"/>
      <c r="P68" s="1"/>
      <c r="Q68" s="1"/>
    </row>
    <row r="69" spans="1:17" x14ac:dyDescent="0.25">
      <c r="A69" s="5"/>
      <c r="E69" s="1"/>
      <c r="F69" s="1"/>
      <c r="G69" s="1"/>
      <c r="H69" s="1"/>
      <c r="I69" s="1"/>
      <c r="J69" s="1"/>
      <c r="K69" s="1"/>
      <c r="L69" s="1"/>
      <c r="M69" s="1"/>
      <c r="N69" s="1"/>
      <c r="O69" s="1"/>
      <c r="P69" s="1"/>
      <c r="Q69" s="1"/>
    </row>
    <row r="70" spans="1:17" x14ac:dyDescent="0.25">
      <c r="A70" s="4" t="s">
        <v>104</v>
      </c>
      <c r="E70" s="1"/>
      <c r="F70" s="1"/>
      <c r="G70" s="1"/>
      <c r="H70" s="1"/>
      <c r="I70" s="1"/>
      <c r="J70" s="1"/>
      <c r="K70" s="1"/>
      <c r="L70" s="1"/>
      <c r="M70" s="1"/>
      <c r="N70" s="1"/>
      <c r="O70" s="1"/>
      <c r="P70" s="1"/>
      <c r="Q70" s="1"/>
    </row>
    <row r="71" spans="1:17" x14ac:dyDescent="0.25">
      <c r="A71" s="4" t="s">
        <v>105</v>
      </c>
      <c r="E71" s="1"/>
      <c r="F71" s="1"/>
      <c r="G71" s="1"/>
      <c r="H71" s="1"/>
      <c r="I71" s="1"/>
      <c r="J71" s="1"/>
      <c r="K71" s="1"/>
      <c r="L71" s="1"/>
      <c r="M71" s="1"/>
      <c r="N71" s="1"/>
      <c r="O71" s="1"/>
      <c r="P71" s="1"/>
      <c r="Q71" s="1"/>
    </row>
    <row r="72" spans="1:17" x14ac:dyDescent="0.25">
      <c r="A72" s="4" t="s">
        <v>106</v>
      </c>
      <c r="E72" s="1"/>
      <c r="F72" s="1"/>
      <c r="G72" s="1"/>
      <c r="H72" s="1"/>
      <c r="I72" s="1"/>
      <c r="J72" s="1"/>
      <c r="K72" s="1"/>
      <c r="L72" s="1"/>
      <c r="M72" s="1"/>
      <c r="N72" s="1"/>
      <c r="O72" s="1"/>
      <c r="P72" s="1"/>
      <c r="Q72" s="1"/>
    </row>
    <row r="73" spans="1:17" x14ac:dyDescent="0.25">
      <c r="A73" s="4" t="s">
        <v>107</v>
      </c>
      <c r="E73" s="1"/>
      <c r="F73" s="1"/>
      <c r="G73" s="1"/>
      <c r="H73" s="1"/>
      <c r="I73" s="1"/>
      <c r="J73" s="1"/>
      <c r="K73" s="1"/>
      <c r="L73" s="1"/>
      <c r="M73" s="1"/>
      <c r="N73" s="1"/>
      <c r="O73" s="1"/>
      <c r="P73" s="1"/>
      <c r="Q73" s="1"/>
    </row>
    <row r="74" spans="1:17" x14ac:dyDescent="0.25">
      <c r="A74" s="4" t="s">
        <v>108</v>
      </c>
      <c r="E74" s="1"/>
      <c r="F74" s="1"/>
      <c r="G74" s="1"/>
      <c r="H74" s="1"/>
      <c r="I74" s="1"/>
      <c r="J74" s="1"/>
      <c r="K74" s="1"/>
      <c r="L74" s="1"/>
      <c r="M74" s="1"/>
      <c r="N74" s="1"/>
      <c r="O74" s="1"/>
      <c r="P74" s="1"/>
      <c r="Q74" s="1"/>
    </row>
    <row r="75" spans="1:17" x14ac:dyDescent="0.25">
      <c r="A75" s="4" t="s">
        <v>109</v>
      </c>
      <c r="B75" t="s">
        <v>110</v>
      </c>
      <c r="C75" t="s">
        <v>110</v>
      </c>
      <c r="D75" s="1" t="s">
        <v>110</v>
      </c>
      <c r="E75" s="1" t="s">
        <v>110</v>
      </c>
      <c r="F75" s="1" t="s">
        <v>110</v>
      </c>
      <c r="G75" s="1" t="s">
        <v>110</v>
      </c>
      <c r="H75" s="1" t="s">
        <v>110</v>
      </c>
      <c r="I75" s="1" t="s">
        <v>110</v>
      </c>
      <c r="J75" s="1" t="s">
        <v>110</v>
      </c>
      <c r="K75" s="1" t="s">
        <v>110</v>
      </c>
      <c r="L75" s="1" t="s">
        <v>110</v>
      </c>
      <c r="M75" s="1" t="s">
        <v>110</v>
      </c>
      <c r="N75" s="1" t="s">
        <v>110</v>
      </c>
      <c r="O75" s="1" t="s">
        <v>110</v>
      </c>
      <c r="P75" s="1" t="s">
        <v>110</v>
      </c>
      <c r="Q75" s="1" t="s">
        <v>110</v>
      </c>
    </row>
    <row r="76" spans="1:17" x14ac:dyDescent="0.25">
      <c r="A76" s="4" t="s">
        <v>111</v>
      </c>
      <c r="B76" t="s">
        <v>112</v>
      </c>
      <c r="C76" t="s">
        <v>112</v>
      </c>
      <c r="D76" s="1" t="s">
        <v>112</v>
      </c>
      <c r="E76" s="1" t="s">
        <v>112</v>
      </c>
      <c r="F76" s="1" t="s">
        <v>112</v>
      </c>
      <c r="G76" s="1" t="s">
        <v>112</v>
      </c>
      <c r="H76" s="1" t="s">
        <v>112</v>
      </c>
      <c r="I76" s="1" t="s">
        <v>112</v>
      </c>
      <c r="J76" s="1" t="s">
        <v>112</v>
      </c>
      <c r="K76" s="1" t="s">
        <v>112</v>
      </c>
      <c r="L76" s="1" t="s">
        <v>112</v>
      </c>
      <c r="M76" s="1" t="s">
        <v>112</v>
      </c>
      <c r="N76" s="1" t="s">
        <v>112</v>
      </c>
      <c r="O76" s="1" t="s">
        <v>112</v>
      </c>
      <c r="P76" s="1" t="s">
        <v>112</v>
      </c>
      <c r="Q76" s="1" t="s">
        <v>112</v>
      </c>
    </row>
    <row r="77" spans="1:17" x14ac:dyDescent="0.25">
      <c r="A77" s="4" t="s">
        <v>113</v>
      </c>
      <c r="B77" t="str">
        <f t="shared" ref="B77:Q77" si="6">"&lt;img src=""../"&amp;B6&amp;""" alt=""""&gt;"</f>
        <v>&lt;img src="../img/AD25_header_DE.png" alt=""&gt;</v>
      </c>
      <c r="C77" t="str">
        <f t="shared" si="6"/>
        <v>&lt;img src="../img/FS25_header_DE.png" alt=""&gt;</v>
      </c>
      <c r="D77" s="1" t="str">
        <f t="shared" si="6"/>
        <v>&lt;img src="../img/AD24_header_DE.png" alt=""&gt;</v>
      </c>
      <c r="E77" s="1" t="str">
        <f t="shared" si="6"/>
        <v>&lt;img src="../img/FS24_header_DE.png" alt=""&gt;</v>
      </c>
      <c r="F77" s="1" t="str">
        <f t="shared" si="6"/>
        <v>&lt;img src="../img/AD23_header_DE.png" alt=""&gt;</v>
      </c>
      <c r="G77" s="1" t="str">
        <f t="shared" si="6"/>
        <v>&lt;img src="../img/FS23_header_DE.png" alt=""&gt;</v>
      </c>
      <c r="H77" s="1" t="str">
        <f t="shared" si="6"/>
        <v>&lt;img src="../img/AD22_header_DE.png" alt=""&gt;</v>
      </c>
      <c r="I77" s="1" t="str">
        <f t="shared" si="6"/>
        <v>&lt;img src="../img/AD23_header_DE.png" alt=""&gt;</v>
      </c>
      <c r="J77" s="1" t="str">
        <f t="shared" si="6"/>
        <v>&lt;img src="../img/AD23_header_DE.png" alt=""&gt;</v>
      </c>
      <c r="K77" s="1" t="str">
        <f t="shared" si="6"/>
        <v>&lt;img src="../img/AD23_header_DE.png" alt=""&gt;</v>
      </c>
      <c r="L77" s="1" t="str">
        <f t="shared" si="6"/>
        <v>&lt;img src="../img/AD23_header_DE.png" alt=""&gt;</v>
      </c>
      <c r="M77" s="1" t="str">
        <f t="shared" si="6"/>
        <v>&lt;img src="../img/AD23_header_DE.png" alt=""&gt;</v>
      </c>
      <c r="N77" s="1" t="str">
        <f t="shared" si="6"/>
        <v>&lt;img src="../img/AD23_header_DE.png" alt=""&gt;</v>
      </c>
      <c r="O77" s="1" t="str">
        <f t="shared" si="6"/>
        <v>&lt;img src="../img/AD23_header_DE.png" alt=""&gt;</v>
      </c>
      <c r="P77" s="1" t="str">
        <f t="shared" si="6"/>
        <v>&lt;img src="../img/AD23_header_DE.png" alt=""&gt;</v>
      </c>
      <c r="Q77" s="1" t="str">
        <f t="shared" si="6"/>
        <v>&lt;img src="../img/AD23_header_DE.png" alt=""&gt;</v>
      </c>
    </row>
    <row r="78" spans="1:17" x14ac:dyDescent="0.25">
      <c r="A78" s="4" t="s">
        <v>114</v>
      </c>
      <c r="B78" t="s">
        <v>115</v>
      </c>
      <c r="C78" t="s">
        <v>115</v>
      </c>
      <c r="D78" s="1" t="s">
        <v>115</v>
      </c>
      <c r="E78" s="1" t="s">
        <v>115</v>
      </c>
      <c r="F78" s="1" t="s">
        <v>115</v>
      </c>
      <c r="G78" s="1" t="s">
        <v>115</v>
      </c>
      <c r="H78" s="1" t="s">
        <v>115</v>
      </c>
      <c r="I78" s="1" t="s">
        <v>115</v>
      </c>
      <c r="J78" s="1" t="s">
        <v>115</v>
      </c>
      <c r="K78" s="1" t="s">
        <v>115</v>
      </c>
      <c r="L78" s="1" t="s">
        <v>115</v>
      </c>
      <c r="M78" s="1" t="s">
        <v>115</v>
      </c>
      <c r="N78" s="1" t="s">
        <v>115</v>
      </c>
      <c r="O78" s="1" t="s">
        <v>115</v>
      </c>
      <c r="P78" s="1" t="s">
        <v>115</v>
      </c>
      <c r="Q78" s="1" t="s">
        <v>115</v>
      </c>
    </row>
    <row r="79" spans="1:17" x14ac:dyDescent="0.25">
      <c r="A79" s="3" t="s">
        <v>116</v>
      </c>
      <c r="B79" t="s">
        <v>117</v>
      </c>
      <c r="C79" t="s">
        <v>117</v>
      </c>
      <c r="D79" s="1" t="s">
        <v>117</v>
      </c>
      <c r="E79" s="1" t="s">
        <v>117</v>
      </c>
      <c r="F79" s="1" t="s">
        <v>117</v>
      </c>
      <c r="G79" s="1" t="s">
        <v>117</v>
      </c>
      <c r="H79" s="1" t="s">
        <v>117</v>
      </c>
      <c r="I79" s="1" t="s">
        <v>117</v>
      </c>
      <c r="J79" s="1" t="s">
        <v>117</v>
      </c>
      <c r="K79" s="1" t="s">
        <v>117</v>
      </c>
      <c r="L79" s="1" t="s">
        <v>117</v>
      </c>
      <c r="M79" s="1" t="s">
        <v>117</v>
      </c>
      <c r="N79" s="1" t="s">
        <v>117</v>
      </c>
      <c r="O79" s="1" t="s">
        <v>117</v>
      </c>
      <c r="P79" s="1" t="s">
        <v>117</v>
      </c>
      <c r="Q79" s="1" t="s">
        <v>117</v>
      </c>
    </row>
    <row r="80" spans="1:17" x14ac:dyDescent="0.25">
      <c r="A80" s="4" t="s">
        <v>118</v>
      </c>
      <c r="B80" t="s">
        <v>119</v>
      </c>
      <c r="C80" t="s">
        <v>119</v>
      </c>
      <c r="D80" s="1" t="s">
        <v>119</v>
      </c>
      <c r="E80" s="1" t="s">
        <v>119</v>
      </c>
      <c r="F80" s="1" t="s">
        <v>119</v>
      </c>
      <c r="G80" s="1" t="s">
        <v>119</v>
      </c>
      <c r="H80" s="1" t="s">
        <v>119</v>
      </c>
      <c r="I80" s="1" t="s">
        <v>119</v>
      </c>
      <c r="J80" s="1" t="s">
        <v>119</v>
      </c>
      <c r="K80" s="1" t="s">
        <v>119</v>
      </c>
      <c r="L80" s="1" t="s">
        <v>119</v>
      </c>
      <c r="M80" s="1" t="s">
        <v>119</v>
      </c>
      <c r="N80" s="1" t="s">
        <v>119</v>
      </c>
      <c r="O80" s="1" t="s">
        <v>119</v>
      </c>
      <c r="P80" s="1" t="s">
        <v>119</v>
      </c>
      <c r="Q80" s="1" t="s">
        <v>119</v>
      </c>
    </row>
    <row r="81" spans="1:17" x14ac:dyDescent="0.25">
      <c r="A81" s="4" t="s">
        <v>120</v>
      </c>
      <c r="B81" t="s">
        <v>121</v>
      </c>
      <c r="C81" t="s">
        <v>121</v>
      </c>
      <c r="E81" s="1"/>
      <c r="F81" s="1"/>
      <c r="G81" s="1"/>
      <c r="H81" s="1"/>
      <c r="I81" s="1"/>
      <c r="J81" s="1"/>
      <c r="K81" s="1"/>
      <c r="L81" s="1"/>
      <c r="M81" s="1"/>
      <c r="N81" s="1"/>
      <c r="O81" s="1"/>
      <c r="P81" s="1"/>
      <c r="Q81" s="1"/>
    </row>
    <row r="82" spans="1:17" x14ac:dyDescent="0.25">
      <c r="A82" s="4" t="s">
        <v>94</v>
      </c>
      <c r="B82" t="s">
        <v>95</v>
      </c>
      <c r="C82" t="s">
        <v>95</v>
      </c>
      <c r="E82" s="1"/>
      <c r="F82" s="1"/>
      <c r="G82" s="1"/>
      <c r="H82" s="1"/>
      <c r="I82" s="1"/>
      <c r="J82" s="1"/>
      <c r="K82" s="1"/>
      <c r="L82" s="1"/>
      <c r="M82" s="1"/>
      <c r="N82" s="1"/>
      <c r="O82" s="1"/>
      <c r="P82" s="1"/>
      <c r="Q82" s="1"/>
    </row>
    <row r="83" spans="1:17" x14ac:dyDescent="0.25">
      <c r="A83" s="3" t="s">
        <v>122</v>
      </c>
      <c r="B83" t="s">
        <v>123</v>
      </c>
      <c r="C83" t="s">
        <v>123</v>
      </c>
      <c r="D83" s="1" t="s">
        <v>124</v>
      </c>
      <c r="E83" s="1" t="s">
        <v>124</v>
      </c>
      <c r="F83" s="1" t="s">
        <v>124</v>
      </c>
      <c r="G83" s="1" t="s">
        <v>124</v>
      </c>
      <c r="H83" s="1" t="s">
        <v>124</v>
      </c>
      <c r="I83" s="1" t="s">
        <v>124</v>
      </c>
      <c r="J83" s="1" t="s">
        <v>124</v>
      </c>
      <c r="K83" s="1" t="s">
        <v>124</v>
      </c>
      <c r="L83" s="1" t="s">
        <v>124</v>
      </c>
      <c r="M83" s="1" t="s">
        <v>124</v>
      </c>
      <c r="N83" s="1" t="s">
        <v>124</v>
      </c>
      <c r="O83" s="1" t="s">
        <v>124</v>
      </c>
      <c r="P83" s="1" t="s">
        <v>124</v>
      </c>
      <c r="Q83" s="1" t="s">
        <v>124</v>
      </c>
    </row>
    <row r="84" spans="1:17" x14ac:dyDescent="0.25">
      <c r="A84" s="4" t="s">
        <v>125</v>
      </c>
      <c r="B84" t="s">
        <v>126</v>
      </c>
      <c r="C84" t="s">
        <v>126</v>
      </c>
      <c r="D84" s="1" t="s">
        <v>127</v>
      </c>
      <c r="E84" s="1" t="s">
        <v>127</v>
      </c>
      <c r="F84" s="1" t="s">
        <v>127</v>
      </c>
      <c r="G84" s="1" t="s">
        <v>127</v>
      </c>
      <c r="H84" s="1" t="s">
        <v>127</v>
      </c>
      <c r="I84" s="1" t="s">
        <v>127</v>
      </c>
      <c r="J84" s="1" t="s">
        <v>127</v>
      </c>
      <c r="K84" s="1" t="s">
        <v>127</v>
      </c>
      <c r="L84" s="1" t="s">
        <v>127</v>
      </c>
      <c r="M84" s="1" t="s">
        <v>127</v>
      </c>
      <c r="N84" s="1" t="s">
        <v>127</v>
      </c>
      <c r="O84" s="1" t="s">
        <v>127</v>
      </c>
      <c r="P84" s="1" t="s">
        <v>127</v>
      </c>
      <c r="Q84" s="1" t="s">
        <v>127</v>
      </c>
    </row>
    <row r="85" spans="1:17" x14ac:dyDescent="0.25">
      <c r="A85" s="4" t="s">
        <v>128</v>
      </c>
      <c r="B85" t="s">
        <v>129</v>
      </c>
      <c r="C85" t="s">
        <v>129</v>
      </c>
      <c r="D85" s="1" t="s">
        <v>130</v>
      </c>
      <c r="E85" s="1" t="s">
        <v>130</v>
      </c>
      <c r="F85" s="1" t="s">
        <v>130</v>
      </c>
      <c r="G85" s="1" t="s">
        <v>130</v>
      </c>
      <c r="H85" s="1" t="s">
        <v>130</v>
      </c>
      <c r="I85" s="1" t="s">
        <v>130</v>
      </c>
      <c r="J85" s="1" t="s">
        <v>130</v>
      </c>
      <c r="K85" s="1" t="s">
        <v>130</v>
      </c>
      <c r="L85" s="1" t="s">
        <v>130</v>
      </c>
      <c r="M85" s="1" t="s">
        <v>130</v>
      </c>
      <c r="N85" s="1" t="s">
        <v>130</v>
      </c>
      <c r="O85" s="1" t="s">
        <v>130</v>
      </c>
      <c r="P85" s="1" t="s">
        <v>130</v>
      </c>
      <c r="Q85" s="1" t="s">
        <v>130</v>
      </c>
    </row>
    <row r="86" spans="1:17" x14ac:dyDescent="0.25">
      <c r="A86" s="4" t="s">
        <v>131</v>
      </c>
      <c r="B86" t="s">
        <v>132</v>
      </c>
      <c r="C86" t="s">
        <v>132</v>
      </c>
      <c r="D86" s="1" t="s">
        <v>133</v>
      </c>
      <c r="E86" s="1" t="s">
        <v>133</v>
      </c>
      <c r="F86" s="1" t="s">
        <v>133</v>
      </c>
      <c r="G86" s="1" t="s">
        <v>133</v>
      </c>
      <c r="H86" s="1" t="s">
        <v>133</v>
      </c>
      <c r="I86" s="1" t="s">
        <v>133</v>
      </c>
      <c r="J86" s="1" t="s">
        <v>133</v>
      </c>
      <c r="K86" s="1" t="s">
        <v>133</v>
      </c>
      <c r="L86" s="1" t="s">
        <v>133</v>
      </c>
      <c r="M86" s="1" t="s">
        <v>133</v>
      </c>
      <c r="N86" s="1" t="s">
        <v>133</v>
      </c>
      <c r="O86" s="1" t="s">
        <v>133</v>
      </c>
      <c r="P86" s="1" t="s">
        <v>133</v>
      </c>
      <c r="Q86" s="1" t="s">
        <v>133</v>
      </c>
    </row>
    <row r="87" spans="1:17" x14ac:dyDescent="0.25">
      <c r="A87" s="4" t="s">
        <v>134</v>
      </c>
      <c r="B87" t="s">
        <v>134</v>
      </c>
      <c r="C87" t="s">
        <v>134</v>
      </c>
      <c r="D87" s="1" t="s">
        <v>135</v>
      </c>
      <c r="E87" s="1" t="s">
        <v>135</v>
      </c>
      <c r="F87" s="1" t="s">
        <v>135</v>
      </c>
      <c r="G87" s="1" t="s">
        <v>135</v>
      </c>
      <c r="H87" s="1" t="s">
        <v>135</v>
      </c>
      <c r="I87" s="1" t="s">
        <v>135</v>
      </c>
      <c r="J87" s="1" t="s">
        <v>135</v>
      </c>
      <c r="K87" s="1" t="s">
        <v>135</v>
      </c>
      <c r="L87" s="1" t="s">
        <v>135</v>
      </c>
      <c r="M87" s="1" t="s">
        <v>135</v>
      </c>
      <c r="N87" s="1" t="s">
        <v>135</v>
      </c>
      <c r="O87" s="1" t="s">
        <v>135</v>
      </c>
      <c r="P87" s="1" t="s">
        <v>135</v>
      </c>
      <c r="Q87" s="1" t="s">
        <v>135</v>
      </c>
    </row>
    <row r="88" spans="1:17" x14ac:dyDescent="0.25">
      <c r="A88" s="4" t="s">
        <v>136</v>
      </c>
      <c r="B88" t="s">
        <v>136</v>
      </c>
      <c r="C88" t="s">
        <v>136</v>
      </c>
      <c r="D88" s="1" t="s">
        <v>115</v>
      </c>
      <c r="E88" s="1" t="s">
        <v>115</v>
      </c>
      <c r="F88" s="1" t="s">
        <v>115</v>
      </c>
      <c r="G88" s="1" t="s">
        <v>115</v>
      </c>
      <c r="H88" s="1" t="s">
        <v>115</v>
      </c>
      <c r="I88" s="1" t="s">
        <v>115</v>
      </c>
      <c r="J88" s="1" t="s">
        <v>115</v>
      </c>
      <c r="K88" s="1" t="s">
        <v>115</v>
      </c>
      <c r="L88" s="1" t="s">
        <v>115</v>
      </c>
      <c r="M88" s="1" t="s">
        <v>115</v>
      </c>
      <c r="N88" s="1" t="s">
        <v>115</v>
      </c>
      <c r="O88" s="1" t="s">
        <v>115</v>
      </c>
      <c r="P88" s="1" t="s">
        <v>115</v>
      </c>
      <c r="Q88" s="1" t="s">
        <v>115</v>
      </c>
    </row>
    <row r="89" spans="1:17" x14ac:dyDescent="0.25">
      <c r="A89" s="4" t="s">
        <v>137</v>
      </c>
      <c r="B89" t="s">
        <v>137</v>
      </c>
      <c r="C89" t="s">
        <v>137</v>
      </c>
      <c r="E89" s="1"/>
      <c r="F89" s="1"/>
      <c r="G89" s="1"/>
      <c r="H89" s="1"/>
      <c r="I89" s="1"/>
      <c r="J89" s="1"/>
      <c r="K89" s="1"/>
      <c r="L89" s="1"/>
      <c r="M89" s="1"/>
      <c r="N89" s="1"/>
      <c r="O89" s="1"/>
      <c r="P89" s="1"/>
      <c r="Q89" s="1"/>
    </row>
    <row r="90" spans="1:17" x14ac:dyDescent="0.25">
      <c r="A90" s="4" t="s">
        <v>138</v>
      </c>
      <c r="B90" t="s">
        <v>139</v>
      </c>
      <c r="C90" t="s">
        <v>139</v>
      </c>
      <c r="D90" s="1" t="str">
        <f t="shared" ref="D90:Q90" si="7">"&lt;div class=""archive-grid"" id=""weeks-grid"" data-json=""../data/exerzitien/inhalt/"&amp;D2&amp;"_de-inhalt.json""&gt;"</f>
        <v>&lt;div class="archive-grid" id="weeks-grid" data-json="../data/exerzitien/inhalt/2024_ad_de-inhalt.json"&gt;</v>
      </c>
      <c r="E90" s="1" t="str">
        <f t="shared" si="7"/>
        <v>&lt;div class="archive-grid" id="weeks-grid" data-json="../data/exerzitien/inhalt/2024_fs_de-inhalt.json"&gt;</v>
      </c>
      <c r="F90" s="1" t="str">
        <f t="shared" si="7"/>
        <v>&lt;div class="archive-grid" id="weeks-grid" data-json="../data/exerzitien/inhalt/2023_ad_de-inhalt.json"&gt;</v>
      </c>
      <c r="G90" s="1" t="str">
        <f t="shared" si="7"/>
        <v>&lt;div class="archive-grid" id="weeks-grid" data-json="../data/exerzitien/inhalt/2023_fs_de-inhalt.json"&gt;</v>
      </c>
      <c r="H90" s="1" t="str">
        <f t="shared" si="7"/>
        <v>&lt;div class="archive-grid" id="weeks-grid" data-json="../data/exerzitien/inhalt/_de-inhalt.json"&gt;</v>
      </c>
      <c r="I90" s="1" t="str">
        <f t="shared" si="7"/>
        <v>&lt;div class="archive-grid" id="weeks-grid" data-json="../data/exerzitien/inhalt/_de-inhalt.json"&gt;</v>
      </c>
      <c r="J90" s="1" t="str">
        <f t="shared" si="7"/>
        <v>&lt;div class="archive-grid" id="weeks-grid" data-json="../data/exerzitien/inhalt/_de-inhalt.json"&gt;</v>
      </c>
      <c r="K90" s="1" t="str">
        <f t="shared" si="7"/>
        <v>&lt;div class="archive-grid" id="weeks-grid" data-json="../data/exerzitien/inhalt/_de-inhalt.json"&gt;</v>
      </c>
      <c r="L90" s="1" t="str">
        <f t="shared" si="7"/>
        <v>&lt;div class="archive-grid" id="weeks-grid" data-json="../data/exerzitien/inhalt/_de-inhalt.json"&gt;</v>
      </c>
      <c r="M90" s="1" t="str">
        <f t="shared" si="7"/>
        <v>&lt;div class="archive-grid" id="weeks-grid" data-json="../data/exerzitien/inhalt/_de-inhalt.json"&gt;</v>
      </c>
      <c r="N90" s="1" t="str">
        <f t="shared" si="7"/>
        <v>&lt;div class="archive-grid" id="weeks-grid" data-json="../data/exerzitien/inhalt/_de-inhalt.json"&gt;</v>
      </c>
      <c r="O90" s="1" t="str">
        <f t="shared" si="7"/>
        <v>&lt;div class="archive-grid" id="weeks-grid" data-json="../data/exerzitien/inhalt/_de-inhalt.json"&gt;</v>
      </c>
      <c r="P90" s="1" t="str">
        <f t="shared" si="7"/>
        <v>&lt;div class="archive-grid" id="weeks-grid" data-json="../data/exerzitien/inhalt/_de-inhalt.json"&gt;</v>
      </c>
      <c r="Q90" s="1" t="str">
        <f t="shared" si="7"/>
        <v>&lt;div class="archive-grid" id="weeks-grid" data-json="../data/exerzitien/inhalt/_de-inhalt.json"&gt;</v>
      </c>
    </row>
    <row r="91" spans="1:17" x14ac:dyDescent="0.25">
      <c r="A91" s="5"/>
      <c r="D91" s="1" t="s">
        <v>140</v>
      </c>
      <c r="E91" s="1" t="s">
        <v>140</v>
      </c>
      <c r="F91" s="1" t="s">
        <v>140</v>
      </c>
      <c r="G91" s="1" t="s">
        <v>140</v>
      </c>
      <c r="H91" s="1" t="s">
        <v>140</v>
      </c>
      <c r="I91" s="1" t="s">
        <v>140</v>
      </c>
      <c r="J91" s="1" t="s">
        <v>140</v>
      </c>
      <c r="K91" s="1" t="s">
        <v>140</v>
      </c>
      <c r="L91" s="1" t="s">
        <v>140</v>
      </c>
      <c r="M91" s="1" t="s">
        <v>140</v>
      </c>
      <c r="N91" s="1" t="s">
        <v>140</v>
      </c>
      <c r="O91" s="1" t="s">
        <v>140</v>
      </c>
      <c r="P91" s="1" t="s">
        <v>140</v>
      </c>
      <c r="Q91" s="1" t="s">
        <v>140</v>
      </c>
    </row>
    <row r="92" spans="1:17" x14ac:dyDescent="0.25">
      <c r="A92" s="4" t="s">
        <v>141</v>
      </c>
      <c r="B92" t="s">
        <v>142</v>
      </c>
      <c r="C92" t="s">
        <v>142</v>
      </c>
      <c r="D92" s="1" t="s">
        <v>143</v>
      </c>
      <c r="E92" s="1" t="s">
        <v>143</v>
      </c>
      <c r="F92" s="1" t="s">
        <v>143</v>
      </c>
      <c r="G92" s="1" t="s">
        <v>143</v>
      </c>
      <c r="H92" s="1" t="s">
        <v>143</v>
      </c>
      <c r="I92" s="1" t="s">
        <v>143</v>
      </c>
      <c r="J92" s="1" t="s">
        <v>143</v>
      </c>
      <c r="K92" s="1" t="s">
        <v>143</v>
      </c>
      <c r="L92" s="1" t="s">
        <v>143</v>
      </c>
      <c r="M92" s="1" t="s">
        <v>143</v>
      </c>
      <c r="N92" s="1" t="s">
        <v>143</v>
      </c>
      <c r="O92" s="1" t="s">
        <v>143</v>
      </c>
      <c r="P92" s="1" t="s">
        <v>143</v>
      </c>
      <c r="Q92" s="1" t="s">
        <v>143</v>
      </c>
    </row>
    <row r="93" spans="1:17" x14ac:dyDescent="0.25">
      <c r="A93" s="4" t="s">
        <v>144</v>
      </c>
      <c r="B93" t="s">
        <v>145</v>
      </c>
      <c r="C93" t="s">
        <v>145</v>
      </c>
      <c r="D93" s="1" t="s">
        <v>146</v>
      </c>
      <c r="E93" s="1" t="s">
        <v>146</v>
      </c>
      <c r="F93" s="1" t="s">
        <v>146</v>
      </c>
      <c r="G93" s="1" t="s">
        <v>146</v>
      </c>
      <c r="H93" s="1" t="s">
        <v>146</v>
      </c>
      <c r="I93" s="1" t="s">
        <v>146</v>
      </c>
      <c r="J93" s="1" t="s">
        <v>146</v>
      </c>
      <c r="K93" s="1" t="s">
        <v>146</v>
      </c>
      <c r="L93" s="1" t="s">
        <v>146</v>
      </c>
      <c r="M93" s="1" t="s">
        <v>146</v>
      </c>
      <c r="N93" s="1" t="s">
        <v>146</v>
      </c>
      <c r="O93" s="1" t="s">
        <v>146</v>
      </c>
      <c r="P93" s="1" t="s">
        <v>146</v>
      </c>
      <c r="Q93" s="1" t="s">
        <v>146</v>
      </c>
    </row>
    <row r="94" spans="1:17" x14ac:dyDescent="0.25">
      <c r="A94" s="4" t="s">
        <v>147</v>
      </c>
      <c r="B94" t="s">
        <v>148</v>
      </c>
      <c r="C94" t="s">
        <v>148</v>
      </c>
      <c r="D94" s="1" t="s">
        <v>88</v>
      </c>
      <c r="E94" s="1" t="s">
        <v>88</v>
      </c>
      <c r="F94" s="1" t="s">
        <v>88</v>
      </c>
      <c r="G94" s="1" t="s">
        <v>88</v>
      </c>
      <c r="H94" s="1" t="s">
        <v>88</v>
      </c>
      <c r="I94" s="1" t="s">
        <v>88</v>
      </c>
      <c r="J94" s="1" t="s">
        <v>88</v>
      </c>
      <c r="K94" s="1" t="s">
        <v>88</v>
      </c>
      <c r="L94" s="1" t="s">
        <v>88</v>
      </c>
      <c r="M94" s="1" t="s">
        <v>88</v>
      </c>
      <c r="N94" s="1" t="s">
        <v>88</v>
      </c>
      <c r="O94" s="1" t="s">
        <v>88</v>
      </c>
      <c r="P94" s="1" t="s">
        <v>88</v>
      </c>
      <c r="Q94" s="1" t="s">
        <v>88</v>
      </c>
    </row>
    <row r="95" spans="1:17" x14ac:dyDescent="0.25">
      <c r="A95" s="4" t="s">
        <v>78</v>
      </c>
      <c r="B95" t="s">
        <v>79</v>
      </c>
      <c r="C95" t="s">
        <v>79</v>
      </c>
      <c r="D95" s="1" t="s">
        <v>119</v>
      </c>
      <c r="E95" s="1" t="s">
        <v>119</v>
      </c>
      <c r="F95" s="1" t="s">
        <v>119</v>
      </c>
      <c r="G95" s="1" t="s">
        <v>119</v>
      </c>
      <c r="H95" s="1" t="s">
        <v>119</v>
      </c>
      <c r="I95" s="1" t="s">
        <v>119</v>
      </c>
      <c r="J95" s="1" t="s">
        <v>119</v>
      </c>
      <c r="K95" s="1" t="s">
        <v>119</v>
      </c>
      <c r="L95" s="1" t="s">
        <v>119</v>
      </c>
      <c r="M95" s="1" t="s">
        <v>119</v>
      </c>
      <c r="N95" s="1" t="s">
        <v>119</v>
      </c>
      <c r="O95" s="1" t="s">
        <v>119</v>
      </c>
      <c r="P95" s="1" t="s">
        <v>119</v>
      </c>
      <c r="Q95" s="1" t="s">
        <v>119</v>
      </c>
    </row>
    <row r="96" spans="1:17" x14ac:dyDescent="0.25">
      <c r="A96" s="4" t="s">
        <v>149</v>
      </c>
      <c r="B96" t="s">
        <v>150</v>
      </c>
      <c r="C96" t="s">
        <v>150</v>
      </c>
      <c r="D96" s="1" t="s">
        <v>121</v>
      </c>
      <c r="E96" s="1" t="s">
        <v>121</v>
      </c>
      <c r="F96" s="1" t="s">
        <v>121</v>
      </c>
      <c r="G96" s="1" t="s">
        <v>121</v>
      </c>
      <c r="H96" s="1" t="s">
        <v>121</v>
      </c>
      <c r="I96" s="1" t="s">
        <v>121</v>
      </c>
      <c r="J96" s="1" t="s">
        <v>121</v>
      </c>
      <c r="K96" s="1" t="s">
        <v>121</v>
      </c>
      <c r="L96" s="1" t="s">
        <v>121</v>
      </c>
      <c r="M96" s="1" t="s">
        <v>121</v>
      </c>
      <c r="N96" s="1" t="s">
        <v>121</v>
      </c>
      <c r="O96" s="1" t="s">
        <v>121</v>
      </c>
      <c r="P96" s="1" t="s">
        <v>121</v>
      </c>
      <c r="Q96" s="1" t="s">
        <v>121</v>
      </c>
    </row>
    <row r="97" spans="1:17" x14ac:dyDescent="0.25">
      <c r="A97" s="4" t="s">
        <v>151</v>
      </c>
      <c r="B97" t="s">
        <v>152</v>
      </c>
      <c r="C97" t="s">
        <v>152</v>
      </c>
      <c r="D97" s="1" t="s">
        <v>95</v>
      </c>
      <c r="E97" s="1" t="s">
        <v>95</v>
      </c>
      <c r="F97" s="1" t="s">
        <v>95</v>
      </c>
      <c r="G97" s="1" t="s">
        <v>95</v>
      </c>
      <c r="H97" s="1" t="s">
        <v>95</v>
      </c>
      <c r="I97" s="1" t="s">
        <v>95</v>
      </c>
      <c r="J97" s="1" t="s">
        <v>95</v>
      </c>
      <c r="K97" s="1" t="s">
        <v>95</v>
      </c>
      <c r="L97" s="1" t="s">
        <v>95</v>
      </c>
      <c r="M97" s="1" t="s">
        <v>95</v>
      </c>
      <c r="N97" s="1" t="s">
        <v>95</v>
      </c>
      <c r="O97" s="1" t="s">
        <v>95</v>
      </c>
      <c r="P97" s="1" t="s">
        <v>95</v>
      </c>
      <c r="Q97" s="1" t="s">
        <v>95</v>
      </c>
    </row>
    <row r="98" spans="1:17" x14ac:dyDescent="0.25">
      <c r="A98" s="4" t="s">
        <v>153</v>
      </c>
      <c r="B98" t="s">
        <v>154</v>
      </c>
      <c r="C98" t="s">
        <v>154</v>
      </c>
      <c r="D98" s="1" t="s">
        <v>123</v>
      </c>
      <c r="E98" s="1" t="s">
        <v>123</v>
      </c>
      <c r="F98" s="1" t="s">
        <v>123</v>
      </c>
      <c r="G98" s="1" t="s">
        <v>123</v>
      </c>
      <c r="H98" s="1" t="s">
        <v>123</v>
      </c>
      <c r="I98" s="1" t="s">
        <v>123</v>
      </c>
      <c r="J98" s="1" t="s">
        <v>123</v>
      </c>
      <c r="K98" s="1" t="s">
        <v>123</v>
      </c>
      <c r="L98" s="1" t="s">
        <v>123</v>
      </c>
      <c r="M98" s="1" t="s">
        <v>123</v>
      </c>
      <c r="N98" s="1" t="s">
        <v>123</v>
      </c>
      <c r="O98" s="1" t="s">
        <v>123</v>
      </c>
      <c r="P98" s="1" t="s">
        <v>123</v>
      </c>
      <c r="Q98" s="1" t="s">
        <v>123</v>
      </c>
    </row>
    <row r="99" spans="1:17" x14ac:dyDescent="0.25">
      <c r="A99" s="3" t="s">
        <v>155</v>
      </c>
      <c r="B99" t="s">
        <v>156</v>
      </c>
      <c r="C99" t="s">
        <v>156</v>
      </c>
      <c r="D99" s="1" t="s">
        <v>126</v>
      </c>
      <c r="E99" s="1" t="s">
        <v>126</v>
      </c>
      <c r="F99" s="1" t="s">
        <v>126</v>
      </c>
      <c r="G99" s="1" t="s">
        <v>126</v>
      </c>
      <c r="H99" s="1" t="s">
        <v>126</v>
      </c>
      <c r="I99" s="1" t="s">
        <v>126</v>
      </c>
      <c r="J99" s="1" t="s">
        <v>126</v>
      </c>
      <c r="K99" s="1" t="s">
        <v>126</v>
      </c>
      <c r="L99" s="1" t="s">
        <v>126</v>
      </c>
      <c r="M99" s="1" t="s">
        <v>126</v>
      </c>
      <c r="N99" s="1" t="s">
        <v>126</v>
      </c>
      <c r="O99" s="1" t="s">
        <v>126</v>
      </c>
      <c r="P99" s="1" t="s">
        <v>126</v>
      </c>
      <c r="Q99" s="1" t="s">
        <v>126</v>
      </c>
    </row>
    <row r="100" spans="1:17" x14ac:dyDescent="0.25">
      <c r="A100" s="3" t="s">
        <v>157</v>
      </c>
      <c r="B100" t="s">
        <v>158</v>
      </c>
      <c r="C100" t="s">
        <v>158</v>
      </c>
      <c r="D100" s="1" t="s">
        <v>129</v>
      </c>
      <c r="E100" s="1" t="s">
        <v>129</v>
      </c>
      <c r="F100" s="1" t="s">
        <v>129</v>
      </c>
      <c r="G100" s="1" t="s">
        <v>129</v>
      </c>
      <c r="H100" s="1" t="s">
        <v>129</v>
      </c>
      <c r="I100" s="1" t="s">
        <v>129</v>
      </c>
      <c r="J100" s="1" t="s">
        <v>129</v>
      </c>
      <c r="K100" s="1" t="s">
        <v>129</v>
      </c>
      <c r="L100" s="1" t="s">
        <v>129</v>
      </c>
      <c r="M100" s="1" t="s">
        <v>129</v>
      </c>
      <c r="N100" s="1" t="s">
        <v>129</v>
      </c>
      <c r="O100" s="1" t="s">
        <v>129</v>
      </c>
      <c r="P100" s="1" t="s">
        <v>129</v>
      </c>
      <c r="Q100" s="1" t="s">
        <v>129</v>
      </c>
    </row>
    <row r="101" spans="1:17" x14ac:dyDescent="0.25">
      <c r="A101" s="4" t="s">
        <v>159</v>
      </c>
      <c r="B101" t="s">
        <v>160</v>
      </c>
      <c r="C101" t="s">
        <v>160</v>
      </c>
      <c r="D101" s="1" t="s">
        <v>132</v>
      </c>
      <c r="E101" s="1" t="s">
        <v>132</v>
      </c>
      <c r="F101" s="1" t="s">
        <v>132</v>
      </c>
      <c r="G101" s="1" t="s">
        <v>132</v>
      </c>
      <c r="H101" s="1" t="s">
        <v>132</v>
      </c>
      <c r="I101" s="1" t="s">
        <v>132</v>
      </c>
      <c r="J101" s="1" t="s">
        <v>132</v>
      </c>
      <c r="K101" s="1" t="s">
        <v>132</v>
      </c>
      <c r="L101" s="1" t="s">
        <v>132</v>
      </c>
      <c r="M101" s="1" t="s">
        <v>132</v>
      </c>
      <c r="N101" s="1" t="s">
        <v>132</v>
      </c>
      <c r="O101" s="1" t="s">
        <v>132</v>
      </c>
      <c r="P101" s="1" t="s">
        <v>132</v>
      </c>
      <c r="Q101" s="1" t="s">
        <v>132</v>
      </c>
    </row>
    <row r="102" spans="1:17" x14ac:dyDescent="0.25">
      <c r="A102" s="4" t="s">
        <v>161</v>
      </c>
      <c r="B102" t="s">
        <v>162</v>
      </c>
      <c r="C102" t="s">
        <v>162</v>
      </c>
      <c r="D102" s="1" t="s">
        <v>134</v>
      </c>
      <c r="E102" s="1" t="s">
        <v>134</v>
      </c>
      <c r="F102" s="1" t="s">
        <v>134</v>
      </c>
      <c r="G102" s="1" t="s">
        <v>134</v>
      </c>
      <c r="H102" s="1" t="s">
        <v>134</v>
      </c>
      <c r="I102" s="1" t="s">
        <v>134</v>
      </c>
      <c r="J102" s="1" t="s">
        <v>134</v>
      </c>
      <c r="K102" s="1" t="s">
        <v>134</v>
      </c>
      <c r="L102" s="1" t="s">
        <v>134</v>
      </c>
      <c r="M102" s="1" t="s">
        <v>134</v>
      </c>
      <c r="N102" s="1" t="s">
        <v>134</v>
      </c>
      <c r="O102" s="1" t="s">
        <v>134</v>
      </c>
      <c r="P102" s="1" t="s">
        <v>134</v>
      </c>
      <c r="Q102" s="1" t="s">
        <v>134</v>
      </c>
    </row>
    <row r="103" spans="1:17" x14ac:dyDescent="0.25">
      <c r="A103" s="4" t="s">
        <v>163</v>
      </c>
      <c r="B103" t="s">
        <v>164</v>
      </c>
      <c r="C103" t="s">
        <v>164</v>
      </c>
      <c r="D103" s="1" t="s">
        <v>136</v>
      </c>
      <c r="E103" s="1" t="s">
        <v>136</v>
      </c>
      <c r="F103" s="1" t="s">
        <v>136</v>
      </c>
      <c r="G103" s="1" t="s">
        <v>136</v>
      </c>
      <c r="H103" s="1" t="s">
        <v>136</v>
      </c>
      <c r="I103" s="1" t="s">
        <v>136</v>
      </c>
      <c r="J103" s="1" t="s">
        <v>136</v>
      </c>
      <c r="K103" s="1" t="s">
        <v>136</v>
      </c>
      <c r="L103" s="1" t="s">
        <v>136</v>
      </c>
      <c r="M103" s="1" t="s">
        <v>136</v>
      </c>
      <c r="N103" s="1" t="s">
        <v>136</v>
      </c>
      <c r="O103" s="1" t="s">
        <v>136</v>
      </c>
      <c r="P103" s="1" t="s">
        <v>136</v>
      </c>
      <c r="Q103" s="1" t="s">
        <v>136</v>
      </c>
    </row>
    <row r="104" spans="1:17" x14ac:dyDescent="0.25">
      <c r="A104" s="4" t="s">
        <v>165</v>
      </c>
      <c r="B104" t="s">
        <v>166</v>
      </c>
      <c r="C104" t="s">
        <v>166</v>
      </c>
      <c r="D104" s="1" t="s">
        <v>137</v>
      </c>
      <c r="E104" s="1" t="s">
        <v>137</v>
      </c>
      <c r="F104" s="1" t="s">
        <v>137</v>
      </c>
      <c r="G104" s="1" t="s">
        <v>137</v>
      </c>
      <c r="H104" s="1" t="s">
        <v>137</v>
      </c>
      <c r="I104" s="1" t="s">
        <v>137</v>
      </c>
      <c r="J104" s="1" t="s">
        <v>137</v>
      </c>
      <c r="K104" s="1" t="s">
        <v>137</v>
      </c>
      <c r="L104" s="1" t="s">
        <v>137</v>
      </c>
      <c r="M104" s="1" t="s">
        <v>137</v>
      </c>
      <c r="N104" s="1" t="s">
        <v>137</v>
      </c>
      <c r="O104" s="1" t="s">
        <v>137</v>
      </c>
      <c r="P104" s="1" t="s">
        <v>137</v>
      </c>
      <c r="Q104" s="1" t="s">
        <v>137</v>
      </c>
    </row>
    <row r="105" spans="1:17" x14ac:dyDescent="0.25">
      <c r="A105" s="4" t="s">
        <v>167</v>
      </c>
      <c r="B105" t="s">
        <v>168</v>
      </c>
      <c r="C105" t="s">
        <v>168</v>
      </c>
      <c r="D105" s="1" t="s">
        <v>139</v>
      </c>
      <c r="E105" s="1" t="s">
        <v>139</v>
      </c>
      <c r="F105" s="1" t="s">
        <v>139</v>
      </c>
      <c r="G105" s="1" t="s">
        <v>139</v>
      </c>
      <c r="H105" s="1" t="s">
        <v>139</v>
      </c>
      <c r="I105" s="1" t="s">
        <v>139</v>
      </c>
      <c r="J105" s="1" t="s">
        <v>139</v>
      </c>
      <c r="K105" s="1" t="s">
        <v>139</v>
      </c>
      <c r="L105" s="1" t="s">
        <v>139</v>
      </c>
      <c r="M105" s="1" t="s">
        <v>139</v>
      </c>
      <c r="N105" s="1" t="s">
        <v>139</v>
      </c>
      <c r="O105" s="1" t="s">
        <v>139</v>
      </c>
      <c r="P105" s="1" t="s">
        <v>139</v>
      </c>
      <c r="Q105" s="1" t="s">
        <v>139</v>
      </c>
    </row>
    <row r="106" spans="1:17" x14ac:dyDescent="0.25">
      <c r="A106" s="4" t="s">
        <v>169</v>
      </c>
      <c r="B106" t="s">
        <v>170</v>
      </c>
      <c r="C106" t="s">
        <v>170</v>
      </c>
      <c r="E106" s="1"/>
      <c r="F106" s="1"/>
      <c r="G106" s="1"/>
      <c r="H106" s="1"/>
      <c r="I106" s="1"/>
      <c r="J106" s="1"/>
      <c r="K106" s="1"/>
      <c r="L106" s="1"/>
      <c r="M106" s="1"/>
      <c r="N106" s="1"/>
      <c r="O106" s="1"/>
      <c r="P106" s="1"/>
      <c r="Q106" s="1"/>
    </row>
    <row r="107" spans="1:17" x14ac:dyDescent="0.25">
      <c r="A107" s="4" t="s">
        <v>171</v>
      </c>
      <c r="B107" t="s">
        <v>172</v>
      </c>
      <c r="C107" t="s">
        <v>172</v>
      </c>
      <c r="D107" s="1" t="s">
        <v>142</v>
      </c>
      <c r="E107" s="1" t="s">
        <v>142</v>
      </c>
      <c r="F107" s="1" t="s">
        <v>142</v>
      </c>
      <c r="G107" s="1" t="s">
        <v>142</v>
      </c>
      <c r="H107" s="1" t="s">
        <v>142</v>
      </c>
      <c r="I107" s="1" t="s">
        <v>142</v>
      </c>
      <c r="J107" s="1" t="s">
        <v>142</v>
      </c>
      <c r="K107" s="1" t="s">
        <v>142</v>
      </c>
      <c r="L107" s="1" t="s">
        <v>142</v>
      </c>
      <c r="M107" s="1" t="s">
        <v>142</v>
      </c>
      <c r="N107" s="1" t="s">
        <v>142</v>
      </c>
      <c r="O107" s="1" t="s">
        <v>142</v>
      </c>
      <c r="P107" s="1" t="s">
        <v>142</v>
      </c>
      <c r="Q107" s="1" t="s">
        <v>142</v>
      </c>
    </row>
    <row r="108" spans="1:17" x14ac:dyDescent="0.25">
      <c r="A108" s="4" t="s">
        <v>173</v>
      </c>
      <c r="B108" t="s">
        <v>174</v>
      </c>
      <c r="C108" t="s">
        <v>174</v>
      </c>
      <c r="D108" s="1" t="s">
        <v>145</v>
      </c>
      <c r="E108" s="1" t="s">
        <v>145</v>
      </c>
      <c r="F108" s="1" t="s">
        <v>145</v>
      </c>
      <c r="G108" s="1" t="s">
        <v>145</v>
      </c>
      <c r="H108" s="1" t="s">
        <v>145</v>
      </c>
      <c r="I108" s="1" t="s">
        <v>145</v>
      </c>
      <c r="J108" s="1" t="s">
        <v>145</v>
      </c>
      <c r="K108" s="1" t="s">
        <v>145</v>
      </c>
      <c r="L108" s="1" t="s">
        <v>145</v>
      </c>
      <c r="M108" s="1" t="s">
        <v>145</v>
      </c>
      <c r="N108" s="1" t="s">
        <v>145</v>
      </c>
      <c r="O108" s="1" t="s">
        <v>145</v>
      </c>
      <c r="P108" s="1" t="s">
        <v>145</v>
      </c>
      <c r="Q108" s="1" t="s">
        <v>145</v>
      </c>
    </row>
    <row r="109" spans="1:17" x14ac:dyDescent="0.25">
      <c r="A109" s="4" t="s">
        <v>175</v>
      </c>
      <c r="B109" t="s">
        <v>176</v>
      </c>
      <c r="C109" t="s">
        <v>176</v>
      </c>
      <c r="D109" s="1" t="s">
        <v>148</v>
      </c>
      <c r="E109" s="1" t="s">
        <v>148</v>
      </c>
      <c r="F109" s="1" t="s">
        <v>148</v>
      </c>
      <c r="G109" s="1" t="s">
        <v>148</v>
      </c>
      <c r="H109" s="1" t="s">
        <v>148</v>
      </c>
      <c r="I109" s="1" t="s">
        <v>148</v>
      </c>
      <c r="J109" s="1" t="s">
        <v>148</v>
      </c>
      <c r="K109" s="1" t="s">
        <v>148</v>
      </c>
      <c r="L109" s="1" t="s">
        <v>148</v>
      </c>
      <c r="M109" s="1" t="s">
        <v>148</v>
      </c>
      <c r="N109" s="1" t="s">
        <v>148</v>
      </c>
      <c r="O109" s="1" t="s">
        <v>148</v>
      </c>
      <c r="P109" s="1" t="s">
        <v>148</v>
      </c>
      <c r="Q109" s="1" t="s">
        <v>148</v>
      </c>
    </row>
    <row r="110" spans="1:17" x14ac:dyDescent="0.25">
      <c r="A110" s="4" t="s">
        <v>177</v>
      </c>
      <c r="B110" t="s">
        <v>178</v>
      </c>
      <c r="C110" t="s">
        <v>178</v>
      </c>
      <c r="D110" s="1" t="s">
        <v>79</v>
      </c>
      <c r="E110" s="1" t="s">
        <v>79</v>
      </c>
      <c r="F110" s="1" t="s">
        <v>79</v>
      </c>
      <c r="G110" s="1" t="s">
        <v>79</v>
      </c>
      <c r="H110" s="1" t="s">
        <v>79</v>
      </c>
      <c r="I110" s="1" t="s">
        <v>79</v>
      </c>
      <c r="J110" s="1" t="s">
        <v>79</v>
      </c>
      <c r="K110" s="1" t="s">
        <v>79</v>
      </c>
      <c r="L110" s="1" t="s">
        <v>79</v>
      </c>
      <c r="M110" s="1" t="s">
        <v>79</v>
      </c>
      <c r="N110" s="1" t="s">
        <v>79</v>
      </c>
      <c r="O110" s="1" t="s">
        <v>79</v>
      </c>
      <c r="P110" s="1" t="s">
        <v>79</v>
      </c>
      <c r="Q110" s="1" t="s">
        <v>79</v>
      </c>
    </row>
    <row r="111" spans="1:17" x14ac:dyDescent="0.25">
      <c r="A111" s="4" t="s">
        <v>179</v>
      </c>
      <c r="B111" t="s">
        <v>180</v>
      </c>
      <c r="C111" t="s">
        <v>180</v>
      </c>
      <c r="D111" s="1" t="s">
        <v>150</v>
      </c>
      <c r="E111" s="1" t="s">
        <v>150</v>
      </c>
      <c r="F111" s="1" t="s">
        <v>150</v>
      </c>
      <c r="G111" s="1" t="s">
        <v>150</v>
      </c>
      <c r="H111" s="1" t="s">
        <v>150</v>
      </c>
      <c r="I111" s="1" t="s">
        <v>150</v>
      </c>
      <c r="J111" s="1" t="s">
        <v>150</v>
      </c>
      <c r="K111" s="1" t="s">
        <v>150</v>
      </c>
      <c r="L111" s="1" t="s">
        <v>150</v>
      </c>
      <c r="M111" s="1" t="s">
        <v>150</v>
      </c>
      <c r="N111" s="1" t="s">
        <v>150</v>
      </c>
      <c r="O111" s="1" t="s">
        <v>150</v>
      </c>
      <c r="P111" s="1" t="s">
        <v>150</v>
      </c>
      <c r="Q111" s="1" t="s">
        <v>150</v>
      </c>
    </row>
    <row r="112" spans="1:17" x14ac:dyDescent="0.25">
      <c r="A112" s="4" t="s">
        <v>181</v>
      </c>
      <c r="B112" t="s">
        <v>182</v>
      </c>
      <c r="C112" t="s">
        <v>182</v>
      </c>
      <c r="D112" s="1" t="s">
        <v>152</v>
      </c>
      <c r="E112" s="1" t="s">
        <v>152</v>
      </c>
      <c r="F112" s="1" t="s">
        <v>152</v>
      </c>
      <c r="G112" s="1" t="s">
        <v>152</v>
      </c>
      <c r="H112" s="1" t="s">
        <v>152</v>
      </c>
      <c r="I112" s="1" t="s">
        <v>152</v>
      </c>
      <c r="J112" s="1" t="s">
        <v>152</v>
      </c>
      <c r="K112" s="1" t="s">
        <v>152</v>
      </c>
      <c r="L112" s="1" t="s">
        <v>152</v>
      </c>
      <c r="M112" s="1" t="s">
        <v>152</v>
      </c>
      <c r="N112" s="1" t="s">
        <v>152</v>
      </c>
      <c r="O112" s="1" t="s">
        <v>152</v>
      </c>
      <c r="P112" s="1" t="s">
        <v>152</v>
      </c>
      <c r="Q112" s="1" t="s">
        <v>152</v>
      </c>
    </row>
    <row r="113" spans="1:17" x14ac:dyDescent="0.25">
      <c r="A113" s="4" t="s">
        <v>183</v>
      </c>
      <c r="B113" t="s">
        <v>184</v>
      </c>
      <c r="C113" t="s">
        <v>184</v>
      </c>
      <c r="D113" s="1" t="s">
        <v>154</v>
      </c>
      <c r="E113" s="1" t="s">
        <v>154</v>
      </c>
      <c r="F113" s="1" t="s">
        <v>154</v>
      </c>
      <c r="G113" s="1" t="s">
        <v>154</v>
      </c>
      <c r="H113" s="1" t="s">
        <v>154</v>
      </c>
      <c r="I113" s="1" t="s">
        <v>154</v>
      </c>
      <c r="J113" s="1" t="s">
        <v>154</v>
      </c>
      <c r="K113" s="1" t="s">
        <v>154</v>
      </c>
      <c r="L113" s="1" t="s">
        <v>154</v>
      </c>
      <c r="M113" s="1" t="s">
        <v>154</v>
      </c>
      <c r="N113" s="1" t="s">
        <v>154</v>
      </c>
      <c r="O113" s="1" t="s">
        <v>154</v>
      </c>
      <c r="P113" s="1" t="s">
        <v>154</v>
      </c>
      <c r="Q113" s="1" t="s">
        <v>154</v>
      </c>
    </row>
    <row r="114" spans="1:17" x14ac:dyDescent="0.25">
      <c r="A114" s="4" t="s">
        <v>185</v>
      </c>
      <c r="B114" t="s">
        <v>186</v>
      </c>
      <c r="C114" t="s">
        <v>186</v>
      </c>
      <c r="D114" s="1" t="s">
        <v>156</v>
      </c>
      <c r="E114" s="1" t="s">
        <v>156</v>
      </c>
      <c r="F114" s="1" t="s">
        <v>156</v>
      </c>
      <c r="G114" s="1" t="s">
        <v>156</v>
      </c>
      <c r="H114" s="1" t="s">
        <v>156</v>
      </c>
      <c r="I114" s="1" t="s">
        <v>156</v>
      </c>
      <c r="J114" s="1" t="s">
        <v>156</v>
      </c>
      <c r="K114" s="1" t="s">
        <v>156</v>
      </c>
      <c r="L114" s="1" t="s">
        <v>156</v>
      </c>
      <c r="M114" s="1" t="s">
        <v>156</v>
      </c>
      <c r="N114" s="1" t="s">
        <v>156</v>
      </c>
      <c r="O114" s="1" t="s">
        <v>156</v>
      </c>
      <c r="P114" s="1" t="s">
        <v>156</v>
      </c>
      <c r="Q114" s="1" t="s">
        <v>156</v>
      </c>
    </row>
    <row r="115" spans="1:17" x14ac:dyDescent="0.25">
      <c r="A115" s="4" t="s">
        <v>187</v>
      </c>
      <c r="B115" t="s">
        <v>188</v>
      </c>
      <c r="C115" t="s">
        <v>188</v>
      </c>
      <c r="D115" s="1" t="s">
        <v>158</v>
      </c>
      <c r="E115" s="1" t="s">
        <v>158</v>
      </c>
      <c r="F115" s="1" t="s">
        <v>158</v>
      </c>
      <c r="G115" s="1" t="s">
        <v>158</v>
      </c>
      <c r="H115" s="1" t="s">
        <v>158</v>
      </c>
      <c r="I115" s="1" t="s">
        <v>158</v>
      </c>
      <c r="J115" s="1" t="s">
        <v>158</v>
      </c>
      <c r="K115" s="1" t="s">
        <v>158</v>
      </c>
      <c r="L115" s="1" t="s">
        <v>158</v>
      </c>
      <c r="M115" s="1" t="s">
        <v>158</v>
      </c>
      <c r="N115" s="1" t="s">
        <v>158</v>
      </c>
      <c r="O115" s="1" t="s">
        <v>158</v>
      </c>
      <c r="P115" s="1" t="s">
        <v>158</v>
      </c>
      <c r="Q115" s="1" t="s">
        <v>158</v>
      </c>
    </row>
    <row r="116" spans="1:17" x14ac:dyDescent="0.25">
      <c r="A116" s="4" t="s">
        <v>189</v>
      </c>
      <c r="B116" t="s">
        <v>190</v>
      </c>
      <c r="C116" t="s">
        <v>190</v>
      </c>
      <c r="D116" s="1" t="s">
        <v>191</v>
      </c>
      <c r="E116" s="1" t="s">
        <v>191</v>
      </c>
      <c r="F116" s="1" t="s">
        <v>191</v>
      </c>
      <c r="G116" s="1" t="s">
        <v>191</v>
      </c>
      <c r="H116" s="1" t="s">
        <v>191</v>
      </c>
      <c r="I116" s="1" t="s">
        <v>191</v>
      </c>
      <c r="J116" s="1" t="s">
        <v>191</v>
      </c>
      <c r="K116" s="1" t="s">
        <v>191</v>
      </c>
      <c r="L116" s="1" t="s">
        <v>191</v>
      </c>
      <c r="M116" s="1" t="s">
        <v>191</v>
      </c>
      <c r="N116" s="1" t="s">
        <v>191</v>
      </c>
      <c r="O116" s="1" t="s">
        <v>191</v>
      </c>
      <c r="P116" s="1" t="s">
        <v>191</v>
      </c>
      <c r="Q116" s="1" t="s">
        <v>191</v>
      </c>
    </row>
    <row r="117" spans="1:17" x14ac:dyDescent="0.25">
      <c r="A117" s="4" t="s">
        <v>192</v>
      </c>
      <c r="B117" t="s">
        <v>193</v>
      </c>
      <c r="C117" t="s">
        <v>193</v>
      </c>
      <c r="D117" s="1" t="s">
        <v>162</v>
      </c>
      <c r="E117" s="1" t="s">
        <v>162</v>
      </c>
      <c r="F117" s="1" t="s">
        <v>162</v>
      </c>
      <c r="G117" s="1" t="s">
        <v>162</v>
      </c>
      <c r="H117" s="1" t="s">
        <v>162</v>
      </c>
      <c r="I117" s="1" t="s">
        <v>162</v>
      </c>
      <c r="J117" s="1" t="s">
        <v>162</v>
      </c>
      <c r="K117" s="1" t="s">
        <v>162</v>
      </c>
      <c r="L117" s="1" t="s">
        <v>162</v>
      </c>
      <c r="M117" s="1" t="s">
        <v>162</v>
      </c>
      <c r="N117" s="1" t="s">
        <v>162</v>
      </c>
      <c r="O117" s="1" t="s">
        <v>162</v>
      </c>
      <c r="P117" s="1" t="s">
        <v>162</v>
      </c>
      <c r="Q117" s="1" t="s">
        <v>162</v>
      </c>
    </row>
    <row r="118" spans="1:17" x14ac:dyDescent="0.25">
      <c r="A118" s="4" t="s">
        <v>194</v>
      </c>
      <c r="B118" t="s">
        <v>195</v>
      </c>
      <c r="C118" t="s">
        <v>195</v>
      </c>
      <c r="D118" s="1" t="s">
        <v>164</v>
      </c>
      <c r="E118" s="1" t="s">
        <v>164</v>
      </c>
      <c r="F118" s="1" t="s">
        <v>164</v>
      </c>
      <c r="G118" s="1" t="s">
        <v>164</v>
      </c>
      <c r="H118" s="1" t="s">
        <v>164</v>
      </c>
      <c r="I118" s="1" t="s">
        <v>164</v>
      </c>
      <c r="J118" s="1" t="s">
        <v>164</v>
      </c>
      <c r="K118" s="1" t="s">
        <v>164</v>
      </c>
      <c r="L118" s="1" t="s">
        <v>164</v>
      </c>
      <c r="M118" s="1" t="s">
        <v>164</v>
      </c>
      <c r="N118" s="1" t="s">
        <v>164</v>
      </c>
      <c r="O118" s="1" t="s">
        <v>164</v>
      </c>
      <c r="P118" s="1" t="s">
        <v>164</v>
      </c>
      <c r="Q118" s="1" t="s">
        <v>164</v>
      </c>
    </row>
    <row r="119" spans="1:17" x14ac:dyDescent="0.25">
      <c r="A119" s="4" t="s">
        <v>196</v>
      </c>
      <c r="B119" t="s">
        <v>197</v>
      </c>
      <c r="C119" t="s">
        <v>197</v>
      </c>
      <c r="D119" s="1" t="s">
        <v>166</v>
      </c>
      <c r="E119" s="1" t="s">
        <v>166</v>
      </c>
      <c r="F119" s="1" t="s">
        <v>166</v>
      </c>
      <c r="G119" s="1" t="s">
        <v>166</v>
      </c>
      <c r="H119" s="1" t="s">
        <v>166</v>
      </c>
      <c r="I119" s="1" t="s">
        <v>166</v>
      </c>
      <c r="J119" s="1" t="s">
        <v>166</v>
      </c>
      <c r="K119" s="1" t="s">
        <v>166</v>
      </c>
      <c r="L119" s="1" t="s">
        <v>166</v>
      </c>
      <c r="M119" s="1" t="s">
        <v>166</v>
      </c>
      <c r="N119" s="1" t="s">
        <v>166</v>
      </c>
      <c r="O119" s="1" t="s">
        <v>166</v>
      </c>
      <c r="P119" s="1" t="s">
        <v>166</v>
      </c>
      <c r="Q119" s="1" t="s">
        <v>166</v>
      </c>
    </row>
    <row r="120" spans="1:17" x14ac:dyDescent="0.25">
      <c r="A120" s="4" t="s">
        <v>198</v>
      </c>
      <c r="B120" t="s">
        <v>199</v>
      </c>
      <c r="C120" t="s">
        <v>199</v>
      </c>
      <c r="D120" s="1" t="s">
        <v>168</v>
      </c>
      <c r="E120" s="1" t="s">
        <v>168</v>
      </c>
      <c r="F120" s="1" t="s">
        <v>168</v>
      </c>
      <c r="G120" s="1" t="s">
        <v>168</v>
      </c>
      <c r="H120" s="1" t="s">
        <v>168</v>
      </c>
      <c r="I120" s="1" t="s">
        <v>168</v>
      </c>
      <c r="J120" s="1" t="s">
        <v>168</v>
      </c>
      <c r="K120" s="1" t="s">
        <v>168</v>
      </c>
      <c r="L120" s="1" t="s">
        <v>168</v>
      </c>
      <c r="M120" s="1" t="s">
        <v>168</v>
      </c>
      <c r="N120" s="1" t="s">
        <v>168</v>
      </c>
      <c r="O120" s="1" t="s">
        <v>168</v>
      </c>
      <c r="P120" s="1" t="s">
        <v>168</v>
      </c>
      <c r="Q120" s="1" t="s">
        <v>168</v>
      </c>
    </row>
    <row r="121" spans="1:17" x14ac:dyDescent="0.25">
      <c r="A121" s="4" t="s">
        <v>200</v>
      </c>
      <c r="B121" t="s">
        <v>201</v>
      </c>
      <c r="C121" t="s">
        <v>201</v>
      </c>
      <c r="D121" s="1" t="s">
        <v>170</v>
      </c>
      <c r="E121" s="1" t="s">
        <v>170</v>
      </c>
      <c r="F121" s="1" t="s">
        <v>170</v>
      </c>
      <c r="G121" s="1" t="s">
        <v>170</v>
      </c>
      <c r="H121" s="1" t="s">
        <v>170</v>
      </c>
      <c r="I121" s="1" t="s">
        <v>170</v>
      </c>
      <c r="J121" s="1" t="s">
        <v>170</v>
      </c>
      <c r="K121" s="1" t="s">
        <v>170</v>
      </c>
      <c r="L121" s="1" t="s">
        <v>170</v>
      </c>
      <c r="M121" s="1" t="s">
        <v>170</v>
      </c>
      <c r="N121" s="1" t="s">
        <v>170</v>
      </c>
      <c r="O121" s="1" t="s">
        <v>170</v>
      </c>
      <c r="P121" s="1" t="s">
        <v>170</v>
      </c>
      <c r="Q121" s="1" t="s">
        <v>170</v>
      </c>
    </row>
    <row r="122" spans="1:17" x14ac:dyDescent="0.25">
      <c r="A122" s="4" t="s">
        <v>202</v>
      </c>
      <c r="B122" t="s">
        <v>203</v>
      </c>
      <c r="C122" t="s">
        <v>203</v>
      </c>
      <c r="D122" s="1" t="s">
        <v>172</v>
      </c>
      <c r="E122" s="1" t="s">
        <v>172</v>
      </c>
      <c r="F122" s="1" t="s">
        <v>172</v>
      </c>
      <c r="G122" s="1" t="s">
        <v>172</v>
      </c>
      <c r="H122" s="1" t="s">
        <v>172</v>
      </c>
      <c r="I122" s="1" t="s">
        <v>172</v>
      </c>
      <c r="J122" s="1" t="s">
        <v>172</v>
      </c>
      <c r="K122" s="1" t="s">
        <v>172</v>
      </c>
      <c r="L122" s="1" t="s">
        <v>172</v>
      </c>
      <c r="M122" s="1" t="s">
        <v>172</v>
      </c>
      <c r="N122" s="1" t="s">
        <v>172</v>
      </c>
      <c r="O122" s="1" t="s">
        <v>172</v>
      </c>
      <c r="P122" s="1" t="s">
        <v>172</v>
      </c>
      <c r="Q122" s="1" t="s">
        <v>172</v>
      </c>
    </row>
    <row r="123" spans="1:17" x14ac:dyDescent="0.25">
      <c r="A123" s="4" t="s">
        <v>204</v>
      </c>
      <c r="B123" t="s">
        <v>205</v>
      </c>
      <c r="C123" t="s">
        <v>205</v>
      </c>
      <c r="D123" s="1" t="s">
        <v>174</v>
      </c>
      <c r="E123" s="1" t="s">
        <v>174</v>
      </c>
      <c r="F123" s="1" t="s">
        <v>174</v>
      </c>
      <c r="G123" s="1" t="s">
        <v>174</v>
      </c>
      <c r="H123" s="1" t="s">
        <v>174</v>
      </c>
      <c r="I123" s="1" t="s">
        <v>174</v>
      </c>
      <c r="J123" s="1" t="s">
        <v>174</v>
      </c>
      <c r="K123" s="1" t="s">
        <v>174</v>
      </c>
      <c r="L123" s="1" t="s">
        <v>174</v>
      </c>
      <c r="M123" s="1" t="s">
        <v>174</v>
      </c>
      <c r="N123" s="1" t="s">
        <v>174</v>
      </c>
      <c r="O123" s="1" t="s">
        <v>174</v>
      </c>
      <c r="P123" s="1" t="s">
        <v>174</v>
      </c>
      <c r="Q123" s="1" t="s">
        <v>174</v>
      </c>
    </row>
    <row r="124" spans="1:17" x14ac:dyDescent="0.25">
      <c r="A124" s="4" t="s">
        <v>206</v>
      </c>
      <c r="B124" t="s">
        <v>207</v>
      </c>
      <c r="C124" t="s">
        <v>207</v>
      </c>
      <c r="D124" s="1" t="s">
        <v>208</v>
      </c>
      <c r="E124" s="1" t="s">
        <v>208</v>
      </c>
      <c r="F124" s="1" t="s">
        <v>208</v>
      </c>
      <c r="G124" s="1" t="s">
        <v>208</v>
      </c>
      <c r="H124" s="1" t="s">
        <v>208</v>
      </c>
      <c r="I124" s="1" t="s">
        <v>208</v>
      </c>
      <c r="J124" s="1" t="s">
        <v>208</v>
      </c>
      <c r="K124" s="1" t="s">
        <v>208</v>
      </c>
      <c r="L124" s="1" t="s">
        <v>208</v>
      </c>
      <c r="M124" s="1" t="s">
        <v>208</v>
      </c>
      <c r="N124" s="1" t="s">
        <v>208</v>
      </c>
      <c r="O124" s="1" t="s">
        <v>208</v>
      </c>
      <c r="P124" s="1" t="s">
        <v>208</v>
      </c>
      <c r="Q124" s="1" t="s">
        <v>208</v>
      </c>
    </row>
    <row r="125" spans="1:17" x14ac:dyDescent="0.25">
      <c r="A125" s="4" t="s">
        <v>209</v>
      </c>
      <c r="B125" t="s">
        <v>210</v>
      </c>
      <c r="C125" t="s">
        <v>210</v>
      </c>
      <c r="D125" s="1" t="s">
        <v>211</v>
      </c>
      <c r="E125" s="1" t="s">
        <v>211</v>
      </c>
      <c r="F125" s="1" t="s">
        <v>211</v>
      </c>
      <c r="G125" s="1" t="s">
        <v>211</v>
      </c>
      <c r="H125" s="1" t="s">
        <v>211</v>
      </c>
      <c r="I125" s="1" t="s">
        <v>211</v>
      </c>
      <c r="J125" s="1" t="s">
        <v>211</v>
      </c>
      <c r="K125" s="1" t="s">
        <v>211</v>
      </c>
      <c r="L125" s="1" t="s">
        <v>211</v>
      </c>
      <c r="M125" s="1" t="s">
        <v>211</v>
      </c>
      <c r="N125" s="1" t="s">
        <v>211</v>
      </c>
      <c r="O125" s="1" t="s">
        <v>211</v>
      </c>
      <c r="P125" s="1" t="s">
        <v>211</v>
      </c>
      <c r="Q125" s="1" t="s">
        <v>211</v>
      </c>
    </row>
    <row r="126" spans="1:17" x14ac:dyDescent="0.25">
      <c r="A126" s="4" t="s">
        <v>212</v>
      </c>
      <c r="B126" t="s">
        <v>213</v>
      </c>
      <c r="C126" t="s">
        <v>213</v>
      </c>
      <c r="D126" s="1" t="s">
        <v>214</v>
      </c>
      <c r="E126" s="1" t="s">
        <v>214</v>
      </c>
      <c r="F126" s="1" t="s">
        <v>214</v>
      </c>
      <c r="G126" s="1" t="s">
        <v>214</v>
      </c>
      <c r="H126" s="1" t="s">
        <v>214</v>
      </c>
      <c r="I126" s="1" t="s">
        <v>214</v>
      </c>
      <c r="J126" s="1" t="s">
        <v>214</v>
      </c>
      <c r="K126" s="1" t="s">
        <v>214</v>
      </c>
      <c r="L126" s="1" t="s">
        <v>214</v>
      </c>
      <c r="M126" s="1" t="s">
        <v>214</v>
      </c>
      <c r="N126" s="1" t="s">
        <v>214</v>
      </c>
      <c r="O126" s="1" t="s">
        <v>214</v>
      </c>
      <c r="P126" s="1" t="s">
        <v>214</v>
      </c>
      <c r="Q126" s="1" t="s">
        <v>214</v>
      </c>
    </row>
    <row r="127" spans="1:17" x14ac:dyDescent="0.25">
      <c r="A127" s="4" t="s">
        <v>215</v>
      </c>
      <c r="B127" t="s">
        <v>216</v>
      </c>
      <c r="C127" t="s">
        <v>216</v>
      </c>
      <c r="D127" s="1" t="s">
        <v>217</v>
      </c>
      <c r="E127" s="1" t="s">
        <v>217</v>
      </c>
      <c r="F127" s="1" t="s">
        <v>217</v>
      </c>
      <c r="G127" s="1" t="s">
        <v>217</v>
      </c>
      <c r="H127" s="1" t="s">
        <v>217</v>
      </c>
      <c r="I127" s="1" t="s">
        <v>217</v>
      </c>
      <c r="J127" s="1" t="s">
        <v>217</v>
      </c>
      <c r="K127" s="1" t="s">
        <v>217</v>
      </c>
      <c r="L127" s="1" t="s">
        <v>217</v>
      </c>
      <c r="M127" s="1" t="s">
        <v>217</v>
      </c>
      <c r="N127" s="1" t="s">
        <v>217</v>
      </c>
      <c r="O127" s="1" t="s">
        <v>217</v>
      </c>
      <c r="P127" s="1" t="s">
        <v>217</v>
      </c>
      <c r="Q127" s="1" t="s">
        <v>217</v>
      </c>
    </row>
    <row r="128" spans="1:17" x14ac:dyDescent="0.25">
      <c r="A128" s="4" t="s">
        <v>218</v>
      </c>
      <c r="B128" t="s">
        <v>219</v>
      </c>
      <c r="C128" t="s">
        <v>219</v>
      </c>
      <c r="D128" s="1" t="s">
        <v>220</v>
      </c>
      <c r="E128" s="1" t="s">
        <v>220</v>
      </c>
      <c r="F128" s="1" t="s">
        <v>220</v>
      </c>
      <c r="G128" s="1" t="s">
        <v>220</v>
      </c>
      <c r="H128" s="1" t="s">
        <v>220</v>
      </c>
      <c r="I128" s="1" t="s">
        <v>220</v>
      </c>
      <c r="J128" s="1" t="s">
        <v>220</v>
      </c>
      <c r="K128" s="1" t="s">
        <v>220</v>
      </c>
      <c r="L128" s="1" t="s">
        <v>220</v>
      </c>
      <c r="M128" s="1" t="s">
        <v>220</v>
      </c>
      <c r="N128" s="1" t="s">
        <v>220</v>
      </c>
      <c r="O128" s="1" t="s">
        <v>220</v>
      </c>
      <c r="P128" s="1" t="s">
        <v>220</v>
      </c>
      <c r="Q128" s="1" t="s">
        <v>220</v>
      </c>
    </row>
    <row r="129" spans="1:17" x14ac:dyDescent="0.25">
      <c r="A129" s="4" t="s">
        <v>221</v>
      </c>
      <c r="B129" t="s">
        <v>222</v>
      </c>
      <c r="C129" t="s">
        <v>222</v>
      </c>
      <c r="D129" s="1" t="s">
        <v>223</v>
      </c>
      <c r="E129" s="1" t="s">
        <v>223</v>
      </c>
      <c r="F129" s="1" t="s">
        <v>223</v>
      </c>
      <c r="G129" s="1" t="s">
        <v>223</v>
      </c>
      <c r="H129" s="1" t="s">
        <v>223</v>
      </c>
      <c r="I129" s="1" t="s">
        <v>223</v>
      </c>
      <c r="J129" s="1" t="s">
        <v>223</v>
      </c>
      <c r="K129" s="1" t="s">
        <v>223</v>
      </c>
      <c r="L129" s="1" t="s">
        <v>223</v>
      </c>
      <c r="M129" s="1" t="s">
        <v>223</v>
      </c>
      <c r="N129" s="1" t="s">
        <v>223</v>
      </c>
      <c r="O129" s="1" t="s">
        <v>223</v>
      </c>
      <c r="P129" s="1" t="s">
        <v>223</v>
      </c>
      <c r="Q129" s="1" t="s">
        <v>223</v>
      </c>
    </row>
    <row r="130" spans="1:17" x14ac:dyDescent="0.25">
      <c r="A130" s="4" t="s">
        <v>224</v>
      </c>
      <c r="B130" t="s">
        <v>225</v>
      </c>
      <c r="C130" t="s">
        <v>225</v>
      </c>
      <c r="D130" s="1" t="s">
        <v>226</v>
      </c>
      <c r="E130" s="1" t="s">
        <v>226</v>
      </c>
      <c r="F130" s="1" t="s">
        <v>226</v>
      </c>
      <c r="G130" s="1" t="s">
        <v>226</v>
      </c>
      <c r="H130" s="1" t="s">
        <v>226</v>
      </c>
      <c r="I130" s="1" t="s">
        <v>226</v>
      </c>
      <c r="J130" s="1" t="s">
        <v>226</v>
      </c>
      <c r="K130" s="1" t="s">
        <v>226</v>
      </c>
      <c r="L130" s="1" t="s">
        <v>226</v>
      </c>
      <c r="M130" s="1" t="s">
        <v>226</v>
      </c>
      <c r="N130" s="1" t="s">
        <v>226</v>
      </c>
      <c r="O130" s="1" t="s">
        <v>226</v>
      </c>
      <c r="P130" s="1" t="s">
        <v>226</v>
      </c>
      <c r="Q130" s="1" t="s">
        <v>226</v>
      </c>
    </row>
    <row r="131" spans="1:17" x14ac:dyDescent="0.25">
      <c r="A131" s="8" t="s">
        <v>227</v>
      </c>
      <c r="B131" t="s">
        <v>227</v>
      </c>
      <c r="C131" t="s">
        <v>227</v>
      </c>
      <c r="D131" s="1" t="s">
        <v>228</v>
      </c>
      <c r="E131" s="1" t="s">
        <v>228</v>
      </c>
      <c r="F131" s="1" t="s">
        <v>228</v>
      </c>
      <c r="G131" s="1" t="s">
        <v>228</v>
      </c>
      <c r="H131" s="1" t="s">
        <v>228</v>
      </c>
      <c r="I131" s="1" t="s">
        <v>228</v>
      </c>
      <c r="J131" s="1" t="s">
        <v>228</v>
      </c>
      <c r="K131" s="1" t="s">
        <v>228</v>
      </c>
      <c r="L131" s="1" t="s">
        <v>228</v>
      </c>
      <c r="M131" s="1" t="s">
        <v>228</v>
      </c>
      <c r="N131" s="1" t="s">
        <v>228</v>
      </c>
      <c r="O131" s="1" t="s">
        <v>228</v>
      </c>
      <c r="P131" s="1" t="s">
        <v>228</v>
      </c>
      <c r="Q131" s="1" t="s">
        <v>228</v>
      </c>
    </row>
    <row r="132" spans="1:17" x14ac:dyDescent="0.25">
      <c r="A132" s="8" t="s">
        <v>229</v>
      </c>
      <c r="B132" t="s">
        <v>229</v>
      </c>
      <c r="C132" t="s">
        <v>229</v>
      </c>
      <c r="D132" s="1" t="s">
        <v>230</v>
      </c>
      <c r="E132" s="1" t="s">
        <v>230</v>
      </c>
      <c r="F132" s="1" t="s">
        <v>230</v>
      </c>
      <c r="G132" s="1" t="s">
        <v>230</v>
      </c>
      <c r="H132" s="1" t="s">
        <v>230</v>
      </c>
      <c r="I132" s="1" t="s">
        <v>230</v>
      </c>
      <c r="J132" s="1" t="s">
        <v>230</v>
      </c>
      <c r="K132" s="1" t="s">
        <v>230</v>
      </c>
      <c r="L132" s="1" t="s">
        <v>230</v>
      </c>
      <c r="M132" s="1" t="s">
        <v>230</v>
      </c>
      <c r="N132" s="1" t="s">
        <v>230</v>
      </c>
      <c r="O132" s="1" t="s">
        <v>230</v>
      </c>
      <c r="P132" s="1" t="s">
        <v>230</v>
      </c>
      <c r="Q132" s="1" t="s">
        <v>230</v>
      </c>
    </row>
    <row r="133" spans="1:17" x14ac:dyDescent="0.25">
      <c r="A133" s="8" t="s">
        <v>231</v>
      </c>
      <c r="B133" t="s">
        <v>231</v>
      </c>
      <c r="C133" t="s">
        <v>231</v>
      </c>
      <c r="D133" s="1" t="s">
        <v>232</v>
      </c>
      <c r="E133" s="1" t="s">
        <v>232</v>
      </c>
      <c r="F133" s="1" t="s">
        <v>232</v>
      </c>
      <c r="G133" s="1" t="s">
        <v>232</v>
      </c>
      <c r="H133" s="1" t="s">
        <v>232</v>
      </c>
      <c r="I133" s="1" t="s">
        <v>232</v>
      </c>
      <c r="J133" s="1" t="s">
        <v>232</v>
      </c>
      <c r="K133" s="1" t="s">
        <v>232</v>
      </c>
      <c r="L133" s="1" t="s">
        <v>232</v>
      </c>
      <c r="M133" s="1" t="s">
        <v>232</v>
      </c>
      <c r="N133" s="1" t="s">
        <v>232</v>
      </c>
      <c r="O133" s="1" t="s">
        <v>232</v>
      </c>
      <c r="P133" s="1" t="s">
        <v>232</v>
      </c>
      <c r="Q133" s="1" t="s">
        <v>232</v>
      </c>
    </row>
    <row r="134" spans="1:17" x14ac:dyDescent="0.25">
      <c r="A134" s="4" t="s">
        <v>196</v>
      </c>
      <c r="B134" t="s">
        <v>197</v>
      </c>
      <c r="C134" t="s">
        <v>197</v>
      </c>
      <c r="D134" s="1" t="s">
        <v>233</v>
      </c>
      <c r="E134" s="1" t="s">
        <v>233</v>
      </c>
      <c r="F134" s="1" t="s">
        <v>233</v>
      </c>
      <c r="G134" s="1" t="s">
        <v>233</v>
      </c>
      <c r="H134" s="1" t="s">
        <v>233</v>
      </c>
      <c r="I134" s="1" t="s">
        <v>233</v>
      </c>
      <c r="J134" s="1" t="s">
        <v>233</v>
      </c>
      <c r="K134" s="1" t="s">
        <v>233</v>
      </c>
      <c r="L134" s="1" t="s">
        <v>233</v>
      </c>
      <c r="M134" s="1" t="s">
        <v>233</v>
      </c>
      <c r="N134" s="1" t="s">
        <v>233</v>
      </c>
      <c r="O134" s="1" t="s">
        <v>233</v>
      </c>
      <c r="P134" s="1" t="s">
        <v>233</v>
      </c>
      <c r="Q134" s="1" t="s">
        <v>233</v>
      </c>
    </row>
    <row r="135" spans="1:17" x14ac:dyDescent="0.25">
      <c r="A135" s="4" t="s">
        <v>234</v>
      </c>
      <c r="B135" t="s">
        <v>235</v>
      </c>
      <c r="C135" t="s">
        <v>235</v>
      </c>
      <c r="D135" s="1" t="s">
        <v>236</v>
      </c>
      <c r="E135" s="1" t="s">
        <v>236</v>
      </c>
      <c r="F135" s="1" t="s">
        <v>236</v>
      </c>
      <c r="G135" s="1" t="s">
        <v>236</v>
      </c>
      <c r="H135" s="1" t="s">
        <v>236</v>
      </c>
      <c r="I135" s="1" t="s">
        <v>236</v>
      </c>
      <c r="J135" s="1" t="s">
        <v>236</v>
      </c>
      <c r="K135" s="1" t="s">
        <v>236</v>
      </c>
      <c r="L135" s="1" t="s">
        <v>236</v>
      </c>
      <c r="M135" s="1" t="s">
        <v>236</v>
      </c>
      <c r="N135" s="1" t="s">
        <v>236</v>
      </c>
      <c r="O135" s="1" t="s">
        <v>236</v>
      </c>
      <c r="P135" s="1" t="s">
        <v>236</v>
      </c>
      <c r="Q135" s="1" t="s">
        <v>236</v>
      </c>
    </row>
    <row r="136" spans="1:17" x14ac:dyDescent="0.25">
      <c r="A136" s="4" t="s">
        <v>237</v>
      </c>
      <c r="B136" t="s">
        <v>238</v>
      </c>
      <c r="C136" t="s">
        <v>238</v>
      </c>
      <c r="D136" s="1" t="s">
        <v>239</v>
      </c>
      <c r="E136" s="1" t="s">
        <v>239</v>
      </c>
      <c r="F136" s="1" t="s">
        <v>239</v>
      </c>
      <c r="G136" s="1" t="s">
        <v>239</v>
      </c>
      <c r="H136" s="1" t="s">
        <v>239</v>
      </c>
      <c r="I136" s="1" t="s">
        <v>239</v>
      </c>
      <c r="J136" s="1" t="s">
        <v>239</v>
      </c>
      <c r="K136" s="1" t="s">
        <v>239</v>
      </c>
      <c r="L136" s="1" t="s">
        <v>239</v>
      </c>
      <c r="M136" s="1" t="s">
        <v>239</v>
      </c>
      <c r="N136" s="1" t="s">
        <v>239</v>
      </c>
      <c r="O136" s="1" t="s">
        <v>239</v>
      </c>
      <c r="P136" s="1" t="s">
        <v>239</v>
      </c>
      <c r="Q136" s="1" t="s">
        <v>239</v>
      </c>
    </row>
    <row r="137" spans="1:17" x14ac:dyDescent="0.25">
      <c r="A137" s="4" t="s">
        <v>240</v>
      </c>
      <c r="B137" t="s">
        <v>241</v>
      </c>
      <c r="C137" t="s">
        <v>241</v>
      </c>
      <c r="D137" s="1" t="s">
        <v>242</v>
      </c>
      <c r="E137" s="1" t="s">
        <v>242</v>
      </c>
      <c r="F137" s="1" t="s">
        <v>242</v>
      </c>
      <c r="G137" s="1" t="s">
        <v>242</v>
      </c>
      <c r="H137" s="1" t="s">
        <v>242</v>
      </c>
      <c r="I137" s="1" t="s">
        <v>242</v>
      </c>
      <c r="J137" s="1" t="s">
        <v>242</v>
      </c>
      <c r="K137" s="1" t="s">
        <v>242</v>
      </c>
      <c r="L137" s="1" t="s">
        <v>242</v>
      </c>
      <c r="M137" s="1" t="s">
        <v>242</v>
      </c>
      <c r="N137" s="1" t="s">
        <v>242</v>
      </c>
      <c r="O137" s="1" t="s">
        <v>242</v>
      </c>
      <c r="P137" s="1" t="s">
        <v>242</v>
      </c>
      <c r="Q137" s="1" t="s">
        <v>242</v>
      </c>
    </row>
    <row r="138" spans="1:17" x14ac:dyDescent="0.25">
      <c r="A138" s="4" t="s">
        <v>243</v>
      </c>
      <c r="B138" t="s">
        <v>211</v>
      </c>
      <c r="C138" t="s">
        <v>211</v>
      </c>
      <c r="D138" s="1" t="s">
        <v>244</v>
      </c>
      <c r="E138" s="1" t="s">
        <v>244</v>
      </c>
      <c r="F138" s="1" t="s">
        <v>244</v>
      </c>
      <c r="G138" s="1" t="s">
        <v>244</v>
      </c>
      <c r="H138" s="1" t="s">
        <v>244</v>
      </c>
      <c r="I138" s="1" t="s">
        <v>244</v>
      </c>
      <c r="J138" s="1" t="s">
        <v>244</v>
      </c>
      <c r="K138" s="1" t="s">
        <v>244</v>
      </c>
      <c r="L138" s="1" t="s">
        <v>244</v>
      </c>
      <c r="M138" s="1" t="s">
        <v>244</v>
      </c>
      <c r="N138" s="1" t="s">
        <v>244</v>
      </c>
      <c r="O138" s="1" t="s">
        <v>244</v>
      </c>
      <c r="P138" s="1" t="s">
        <v>244</v>
      </c>
      <c r="Q138" s="1" t="s">
        <v>244</v>
      </c>
    </row>
    <row r="139" spans="1:17" x14ac:dyDescent="0.25">
      <c r="A139" s="4" t="s">
        <v>245</v>
      </c>
      <c r="B139" t="s">
        <v>214</v>
      </c>
      <c r="C139" t="s">
        <v>214</v>
      </c>
      <c r="D139" s="1" t="s">
        <v>246</v>
      </c>
      <c r="E139" s="1" t="s">
        <v>246</v>
      </c>
      <c r="F139" s="1" t="s">
        <v>246</v>
      </c>
      <c r="G139" s="1" t="s">
        <v>246</v>
      </c>
      <c r="H139" s="1" t="s">
        <v>246</v>
      </c>
      <c r="I139" s="1" t="s">
        <v>246</v>
      </c>
      <c r="J139" s="1" t="s">
        <v>246</v>
      </c>
      <c r="K139" s="1" t="s">
        <v>246</v>
      </c>
      <c r="L139" s="1" t="s">
        <v>246</v>
      </c>
      <c r="M139" s="1" t="s">
        <v>246</v>
      </c>
      <c r="N139" s="1" t="s">
        <v>246</v>
      </c>
      <c r="O139" s="1" t="s">
        <v>246</v>
      </c>
      <c r="P139" s="1" t="s">
        <v>246</v>
      </c>
      <c r="Q139" s="1" t="s">
        <v>246</v>
      </c>
    </row>
    <row r="140" spans="1:17" x14ac:dyDescent="0.25">
      <c r="A140" s="4" t="s">
        <v>247</v>
      </c>
      <c r="B140" t="s">
        <v>217</v>
      </c>
      <c r="C140" t="s">
        <v>217</v>
      </c>
      <c r="D140" s="1" t="s">
        <v>248</v>
      </c>
      <c r="E140" s="1" t="s">
        <v>248</v>
      </c>
      <c r="F140" s="1" t="s">
        <v>248</v>
      </c>
      <c r="G140" s="1" t="s">
        <v>248</v>
      </c>
      <c r="H140" s="1" t="s">
        <v>248</v>
      </c>
      <c r="I140" s="1" t="s">
        <v>248</v>
      </c>
      <c r="J140" s="1" t="s">
        <v>248</v>
      </c>
      <c r="K140" s="1" t="s">
        <v>248</v>
      </c>
      <c r="L140" s="1" t="s">
        <v>248</v>
      </c>
      <c r="M140" s="1" t="s">
        <v>248</v>
      </c>
      <c r="N140" s="1" t="s">
        <v>248</v>
      </c>
      <c r="O140" s="1" t="s">
        <v>248</v>
      </c>
      <c r="P140" s="1" t="s">
        <v>248</v>
      </c>
      <c r="Q140" s="1" t="s">
        <v>248</v>
      </c>
    </row>
    <row r="141" spans="1:17" x14ac:dyDescent="0.25">
      <c r="A141" s="4" t="s">
        <v>249</v>
      </c>
      <c r="B141" t="s">
        <v>220</v>
      </c>
      <c r="C141" t="s">
        <v>220</v>
      </c>
      <c r="D141" s="1" t="s">
        <v>250</v>
      </c>
      <c r="E141" s="1" t="s">
        <v>250</v>
      </c>
      <c r="F141" s="1" t="s">
        <v>250</v>
      </c>
      <c r="G141" s="1" t="s">
        <v>250</v>
      </c>
      <c r="H141" s="1" t="s">
        <v>250</v>
      </c>
      <c r="I141" s="1" t="s">
        <v>250</v>
      </c>
      <c r="J141" s="1" t="s">
        <v>250</v>
      </c>
      <c r="K141" s="1" t="s">
        <v>250</v>
      </c>
      <c r="L141" s="1" t="s">
        <v>250</v>
      </c>
      <c r="M141" s="1" t="s">
        <v>250</v>
      </c>
      <c r="N141" s="1" t="s">
        <v>250</v>
      </c>
      <c r="O141" s="1" t="s">
        <v>250</v>
      </c>
      <c r="P141" s="1" t="s">
        <v>250</v>
      </c>
      <c r="Q141" s="1" t="s">
        <v>250</v>
      </c>
    </row>
    <row r="142" spans="1:17" x14ac:dyDescent="0.25">
      <c r="A142" s="4" t="s">
        <v>251</v>
      </c>
      <c r="B142" t="s">
        <v>223</v>
      </c>
      <c r="C142" t="s">
        <v>223</v>
      </c>
      <c r="D142" s="1" t="s">
        <v>176</v>
      </c>
      <c r="E142" s="1" t="s">
        <v>176</v>
      </c>
      <c r="F142" s="1" t="s">
        <v>176</v>
      </c>
      <c r="G142" s="1" t="s">
        <v>176</v>
      </c>
      <c r="H142" s="1" t="s">
        <v>176</v>
      </c>
      <c r="I142" s="1" t="s">
        <v>176</v>
      </c>
      <c r="J142" s="1" t="s">
        <v>176</v>
      </c>
      <c r="K142" s="1" t="s">
        <v>176</v>
      </c>
      <c r="L142" s="1" t="s">
        <v>176</v>
      </c>
      <c r="M142" s="1" t="s">
        <v>176</v>
      </c>
      <c r="N142" s="1" t="s">
        <v>176</v>
      </c>
      <c r="O142" s="1" t="s">
        <v>176</v>
      </c>
      <c r="P142" s="1" t="s">
        <v>176</v>
      </c>
      <c r="Q142" s="1" t="s">
        <v>176</v>
      </c>
    </row>
    <row r="143" spans="1:17" x14ac:dyDescent="0.25">
      <c r="A143" s="4" t="s">
        <v>252</v>
      </c>
      <c r="B143" t="s">
        <v>226</v>
      </c>
      <c r="C143" t="s">
        <v>226</v>
      </c>
      <c r="D143" s="1" t="s">
        <v>253</v>
      </c>
      <c r="E143" s="1" t="s">
        <v>253</v>
      </c>
      <c r="F143" s="1" t="s">
        <v>253</v>
      </c>
      <c r="G143" s="1" t="s">
        <v>253</v>
      </c>
      <c r="H143" s="1" t="s">
        <v>253</v>
      </c>
      <c r="I143" s="1" t="s">
        <v>253</v>
      </c>
      <c r="J143" s="1" t="s">
        <v>253</v>
      </c>
      <c r="K143" s="1" t="s">
        <v>253</v>
      </c>
      <c r="L143" s="1" t="s">
        <v>253</v>
      </c>
      <c r="M143" s="1" t="s">
        <v>253</v>
      </c>
      <c r="N143" s="1" t="s">
        <v>253</v>
      </c>
      <c r="O143" s="1" t="s">
        <v>253</v>
      </c>
      <c r="P143" s="1" t="s">
        <v>253</v>
      </c>
      <c r="Q143" s="1" t="s">
        <v>253</v>
      </c>
    </row>
    <row r="144" spans="1:17" x14ac:dyDescent="0.25">
      <c r="A144" s="4" t="s">
        <v>254</v>
      </c>
      <c r="B144" t="s">
        <v>228</v>
      </c>
      <c r="C144" t="s">
        <v>228</v>
      </c>
      <c r="D144" s="1" t="s">
        <v>255</v>
      </c>
      <c r="E144" s="1" t="s">
        <v>255</v>
      </c>
      <c r="F144" s="1" t="s">
        <v>255</v>
      </c>
      <c r="G144" s="1" t="s">
        <v>255</v>
      </c>
      <c r="H144" s="1" t="s">
        <v>255</v>
      </c>
      <c r="I144" s="1" t="s">
        <v>255</v>
      </c>
      <c r="J144" s="1" t="s">
        <v>255</v>
      </c>
      <c r="K144" s="1" t="s">
        <v>255</v>
      </c>
      <c r="L144" s="1" t="s">
        <v>255</v>
      </c>
      <c r="M144" s="1" t="s">
        <v>255</v>
      </c>
      <c r="N144" s="1" t="s">
        <v>255</v>
      </c>
      <c r="O144" s="1" t="s">
        <v>255</v>
      </c>
      <c r="P144" s="1" t="s">
        <v>255</v>
      </c>
      <c r="Q144" s="1" t="s">
        <v>255</v>
      </c>
    </row>
    <row r="145" spans="1:17" x14ac:dyDescent="0.25">
      <c r="A145" s="4" t="s">
        <v>256</v>
      </c>
      <c r="B145" t="s">
        <v>230</v>
      </c>
      <c r="C145" t="s">
        <v>230</v>
      </c>
      <c r="D145" s="1" t="s">
        <v>180</v>
      </c>
      <c r="E145" s="1" t="s">
        <v>180</v>
      </c>
      <c r="F145" s="1" t="s">
        <v>180</v>
      </c>
      <c r="G145" s="1" t="s">
        <v>180</v>
      </c>
      <c r="H145" s="1" t="s">
        <v>180</v>
      </c>
      <c r="I145" s="1" t="s">
        <v>180</v>
      </c>
      <c r="J145" s="1" t="s">
        <v>180</v>
      </c>
      <c r="K145" s="1" t="s">
        <v>180</v>
      </c>
      <c r="L145" s="1" t="s">
        <v>180</v>
      </c>
      <c r="M145" s="1" t="s">
        <v>180</v>
      </c>
      <c r="N145" s="1" t="s">
        <v>180</v>
      </c>
      <c r="O145" s="1" t="s">
        <v>180</v>
      </c>
      <c r="P145" s="1" t="s">
        <v>180</v>
      </c>
      <c r="Q145" s="1" t="s">
        <v>180</v>
      </c>
    </row>
    <row r="146" spans="1:17" x14ac:dyDescent="0.25">
      <c r="A146" s="4" t="s">
        <v>257</v>
      </c>
      <c r="B146" t="s">
        <v>232</v>
      </c>
      <c r="C146" t="s">
        <v>232</v>
      </c>
      <c r="D146" s="1" t="s">
        <v>182</v>
      </c>
      <c r="E146" s="1" t="s">
        <v>182</v>
      </c>
      <c r="F146" s="1" t="s">
        <v>182</v>
      </c>
      <c r="G146" s="1" t="s">
        <v>182</v>
      </c>
      <c r="H146" s="1" t="s">
        <v>182</v>
      </c>
      <c r="I146" s="1" t="s">
        <v>182</v>
      </c>
      <c r="J146" s="1" t="s">
        <v>182</v>
      </c>
      <c r="K146" s="1" t="s">
        <v>182</v>
      </c>
      <c r="L146" s="1" t="s">
        <v>182</v>
      </c>
      <c r="M146" s="1" t="s">
        <v>182</v>
      </c>
      <c r="N146" s="1" t="s">
        <v>182</v>
      </c>
      <c r="O146" s="1" t="s">
        <v>182</v>
      </c>
      <c r="P146" s="1" t="s">
        <v>182</v>
      </c>
      <c r="Q146" s="1" t="s">
        <v>182</v>
      </c>
    </row>
    <row r="147" spans="1:17" x14ac:dyDescent="0.25">
      <c r="A147" s="4" t="s">
        <v>258</v>
      </c>
      <c r="B147" t="s">
        <v>233</v>
      </c>
      <c r="C147" t="s">
        <v>233</v>
      </c>
      <c r="D147" s="1" t="s">
        <v>259</v>
      </c>
      <c r="E147" s="1" t="s">
        <v>259</v>
      </c>
      <c r="F147" s="1" t="s">
        <v>259</v>
      </c>
      <c r="G147" s="1" t="s">
        <v>259</v>
      </c>
      <c r="H147" s="1" t="s">
        <v>259</v>
      </c>
      <c r="I147" s="1" t="s">
        <v>259</v>
      </c>
      <c r="J147" s="1" t="s">
        <v>259</v>
      </c>
      <c r="K147" s="1" t="s">
        <v>259</v>
      </c>
      <c r="L147" s="1" t="s">
        <v>259</v>
      </c>
      <c r="M147" s="1" t="s">
        <v>259</v>
      </c>
      <c r="N147" s="1" t="s">
        <v>259</v>
      </c>
      <c r="O147" s="1" t="s">
        <v>259</v>
      </c>
      <c r="P147" s="1" t="s">
        <v>259</v>
      </c>
      <c r="Q147" s="1" t="s">
        <v>259</v>
      </c>
    </row>
    <row r="148" spans="1:17" x14ac:dyDescent="0.25">
      <c r="A148" s="4" t="s">
        <v>260</v>
      </c>
      <c r="B148" t="s">
        <v>236</v>
      </c>
      <c r="C148" t="s">
        <v>236</v>
      </c>
      <c r="D148" s="1" t="s">
        <v>186</v>
      </c>
      <c r="E148" s="1" t="s">
        <v>186</v>
      </c>
      <c r="F148" s="1" t="s">
        <v>186</v>
      </c>
      <c r="G148" s="1" t="s">
        <v>186</v>
      </c>
      <c r="H148" s="1" t="s">
        <v>186</v>
      </c>
      <c r="I148" s="1" t="s">
        <v>186</v>
      </c>
      <c r="J148" s="1" t="s">
        <v>186</v>
      </c>
      <c r="K148" s="1" t="s">
        <v>186</v>
      </c>
      <c r="L148" s="1" t="s">
        <v>186</v>
      </c>
      <c r="M148" s="1" t="s">
        <v>186</v>
      </c>
      <c r="N148" s="1" t="s">
        <v>186</v>
      </c>
      <c r="O148" s="1" t="s">
        <v>186</v>
      </c>
      <c r="P148" s="1" t="s">
        <v>186</v>
      </c>
      <c r="Q148" s="1" t="s">
        <v>186</v>
      </c>
    </row>
    <row r="149" spans="1:17" x14ac:dyDescent="0.25">
      <c r="A149" s="4" t="s">
        <v>261</v>
      </c>
      <c r="B149" t="s">
        <v>262</v>
      </c>
      <c r="C149" t="s">
        <v>262</v>
      </c>
      <c r="D149" s="1" t="s">
        <v>188</v>
      </c>
      <c r="E149" s="1" t="s">
        <v>188</v>
      </c>
      <c r="F149" s="1" t="s">
        <v>188</v>
      </c>
      <c r="G149" s="1" t="s">
        <v>188</v>
      </c>
      <c r="H149" s="1" t="s">
        <v>188</v>
      </c>
      <c r="I149" s="1" t="s">
        <v>188</v>
      </c>
      <c r="J149" s="1" t="s">
        <v>188</v>
      </c>
      <c r="K149" s="1" t="s">
        <v>188</v>
      </c>
      <c r="L149" s="1" t="s">
        <v>188</v>
      </c>
      <c r="M149" s="1" t="s">
        <v>188</v>
      </c>
      <c r="N149" s="1" t="s">
        <v>188</v>
      </c>
      <c r="O149" s="1" t="s">
        <v>188</v>
      </c>
      <c r="P149" s="1" t="s">
        <v>188</v>
      </c>
      <c r="Q149" s="1" t="s">
        <v>188</v>
      </c>
    </row>
    <row r="150" spans="1:17" x14ac:dyDescent="0.25">
      <c r="A150" s="4" t="s">
        <v>263</v>
      </c>
      <c r="B150" t="s">
        <v>264</v>
      </c>
      <c r="C150" t="s">
        <v>264</v>
      </c>
      <c r="D150" s="1" t="s">
        <v>190</v>
      </c>
      <c r="E150" s="1" t="s">
        <v>190</v>
      </c>
      <c r="F150" s="1" t="s">
        <v>190</v>
      </c>
      <c r="G150" s="1" t="s">
        <v>190</v>
      </c>
      <c r="H150" s="1" t="s">
        <v>190</v>
      </c>
      <c r="I150" s="1" t="s">
        <v>190</v>
      </c>
      <c r="J150" s="1" t="s">
        <v>190</v>
      </c>
      <c r="K150" s="1" t="s">
        <v>190</v>
      </c>
      <c r="L150" s="1" t="s">
        <v>190</v>
      </c>
      <c r="M150" s="1" t="s">
        <v>190</v>
      </c>
      <c r="N150" s="1" t="s">
        <v>190</v>
      </c>
      <c r="O150" s="1" t="s">
        <v>190</v>
      </c>
      <c r="P150" s="1" t="s">
        <v>190</v>
      </c>
      <c r="Q150" s="1" t="s">
        <v>190</v>
      </c>
    </row>
    <row r="151" spans="1:17" x14ac:dyDescent="0.25">
      <c r="A151" s="4" t="s">
        <v>265</v>
      </c>
      <c r="B151" t="s">
        <v>266</v>
      </c>
      <c r="C151" t="s">
        <v>266</v>
      </c>
      <c r="D151" s="1" t="s">
        <v>193</v>
      </c>
      <c r="E151" s="1" t="s">
        <v>193</v>
      </c>
      <c r="F151" s="1" t="s">
        <v>193</v>
      </c>
      <c r="G151" s="1" t="s">
        <v>193</v>
      </c>
      <c r="H151" s="1" t="s">
        <v>193</v>
      </c>
      <c r="I151" s="1" t="s">
        <v>193</v>
      </c>
      <c r="J151" s="1" t="s">
        <v>193</v>
      </c>
      <c r="K151" s="1" t="s">
        <v>193</v>
      </c>
      <c r="L151" s="1" t="s">
        <v>193</v>
      </c>
      <c r="M151" s="1" t="s">
        <v>193</v>
      </c>
      <c r="N151" s="1" t="s">
        <v>193</v>
      </c>
      <c r="O151" s="1" t="s">
        <v>193</v>
      </c>
      <c r="P151" s="1" t="s">
        <v>193</v>
      </c>
      <c r="Q151" s="1" t="s">
        <v>193</v>
      </c>
    </row>
    <row r="152" spans="1:17" x14ac:dyDescent="0.25">
      <c r="A152" s="4" t="s">
        <v>267</v>
      </c>
      <c r="B152" t="s">
        <v>246</v>
      </c>
      <c r="C152" t="s">
        <v>246</v>
      </c>
      <c r="D152" s="1" t="s">
        <v>195</v>
      </c>
      <c r="E152" s="1" t="s">
        <v>195</v>
      </c>
      <c r="F152" s="1" t="s">
        <v>195</v>
      </c>
      <c r="G152" s="1" t="s">
        <v>195</v>
      </c>
      <c r="H152" s="1" t="s">
        <v>195</v>
      </c>
      <c r="I152" s="1" t="s">
        <v>195</v>
      </c>
      <c r="J152" s="1" t="s">
        <v>195</v>
      </c>
      <c r="K152" s="1" t="s">
        <v>195</v>
      </c>
      <c r="L152" s="1" t="s">
        <v>195</v>
      </c>
      <c r="M152" s="1" t="s">
        <v>195</v>
      </c>
      <c r="N152" s="1" t="s">
        <v>195</v>
      </c>
      <c r="O152" s="1" t="s">
        <v>195</v>
      </c>
      <c r="P152" s="1" t="s">
        <v>195</v>
      </c>
      <c r="Q152" s="1" t="s">
        <v>195</v>
      </c>
    </row>
    <row r="153" spans="1:17" x14ac:dyDescent="0.25">
      <c r="A153" s="4" t="s">
        <v>268</v>
      </c>
      <c r="B153" t="s">
        <v>269</v>
      </c>
      <c r="C153" t="s">
        <v>269</v>
      </c>
      <c r="D153" s="1" t="s">
        <v>197</v>
      </c>
      <c r="E153" s="1" t="s">
        <v>197</v>
      </c>
      <c r="F153" s="1" t="s">
        <v>197</v>
      </c>
      <c r="G153" s="1" t="s">
        <v>197</v>
      </c>
      <c r="H153" s="1" t="s">
        <v>197</v>
      </c>
      <c r="I153" s="1" t="s">
        <v>197</v>
      </c>
      <c r="J153" s="1" t="s">
        <v>197</v>
      </c>
      <c r="K153" s="1" t="s">
        <v>197</v>
      </c>
      <c r="L153" s="1" t="s">
        <v>197</v>
      </c>
      <c r="M153" s="1" t="s">
        <v>197</v>
      </c>
      <c r="N153" s="1" t="s">
        <v>197</v>
      </c>
      <c r="O153" s="1" t="s">
        <v>197</v>
      </c>
      <c r="P153" s="1" t="s">
        <v>197</v>
      </c>
      <c r="Q153" s="1" t="s">
        <v>197</v>
      </c>
    </row>
    <row r="154" spans="1:17" x14ac:dyDescent="0.25">
      <c r="A154" s="4" t="s">
        <v>270</v>
      </c>
      <c r="B154" t="s">
        <v>271</v>
      </c>
      <c r="C154" t="s">
        <v>271</v>
      </c>
      <c r="D154" s="1" t="s">
        <v>199</v>
      </c>
      <c r="E154" s="1" t="s">
        <v>199</v>
      </c>
      <c r="F154" s="1" t="s">
        <v>199</v>
      </c>
      <c r="G154" s="1" t="s">
        <v>199</v>
      </c>
      <c r="H154" s="1" t="s">
        <v>199</v>
      </c>
      <c r="I154" s="1" t="s">
        <v>199</v>
      </c>
      <c r="J154" s="1" t="s">
        <v>199</v>
      </c>
      <c r="K154" s="1" t="s">
        <v>199</v>
      </c>
      <c r="L154" s="1" t="s">
        <v>199</v>
      </c>
      <c r="M154" s="1" t="s">
        <v>199</v>
      </c>
      <c r="N154" s="1" t="s">
        <v>199</v>
      </c>
      <c r="O154" s="1" t="s">
        <v>199</v>
      </c>
      <c r="P154" s="1" t="s">
        <v>199</v>
      </c>
      <c r="Q154" s="1" t="s">
        <v>199</v>
      </c>
    </row>
    <row r="155" spans="1:17" x14ac:dyDescent="0.25">
      <c r="A155" s="4" t="s">
        <v>272</v>
      </c>
      <c r="B155" t="s">
        <v>273</v>
      </c>
      <c r="C155" t="s">
        <v>273</v>
      </c>
      <c r="D155" s="1" t="s">
        <v>201</v>
      </c>
      <c r="E155" s="1" t="s">
        <v>201</v>
      </c>
      <c r="F155" s="1" t="s">
        <v>201</v>
      </c>
      <c r="G155" s="1" t="s">
        <v>201</v>
      </c>
      <c r="H155" s="1" t="s">
        <v>201</v>
      </c>
      <c r="I155" s="1" t="s">
        <v>201</v>
      </c>
      <c r="J155" s="1" t="s">
        <v>201</v>
      </c>
      <c r="K155" s="1" t="s">
        <v>201</v>
      </c>
      <c r="L155" s="1" t="s">
        <v>201</v>
      </c>
      <c r="M155" s="1" t="s">
        <v>201</v>
      </c>
      <c r="N155" s="1" t="s">
        <v>201</v>
      </c>
      <c r="O155" s="1" t="s">
        <v>201</v>
      </c>
      <c r="P155" s="1" t="s">
        <v>201</v>
      </c>
      <c r="Q155" s="1" t="s">
        <v>201</v>
      </c>
    </row>
    <row r="156" spans="1:17" x14ac:dyDescent="0.25">
      <c r="A156" s="4" t="s">
        <v>274</v>
      </c>
      <c r="B156" t="s">
        <v>275</v>
      </c>
      <c r="C156" t="s">
        <v>275</v>
      </c>
      <c r="D156" s="1" t="s">
        <v>276</v>
      </c>
      <c r="E156" s="1" t="s">
        <v>276</v>
      </c>
      <c r="F156" s="1" t="s">
        <v>276</v>
      </c>
      <c r="G156" s="1" t="s">
        <v>276</v>
      </c>
      <c r="H156" s="1" t="s">
        <v>276</v>
      </c>
      <c r="I156" s="1" t="s">
        <v>276</v>
      </c>
      <c r="J156" s="1" t="s">
        <v>276</v>
      </c>
      <c r="K156" s="1" t="s">
        <v>276</v>
      </c>
      <c r="L156" s="1" t="s">
        <v>276</v>
      </c>
      <c r="M156" s="1" t="s">
        <v>276</v>
      </c>
      <c r="N156" s="1" t="s">
        <v>276</v>
      </c>
      <c r="O156" s="1" t="s">
        <v>276</v>
      </c>
      <c r="P156" s="1" t="s">
        <v>276</v>
      </c>
      <c r="Q156" s="1" t="s">
        <v>276</v>
      </c>
    </row>
    <row r="157" spans="1:17" x14ac:dyDescent="0.25">
      <c r="A157" s="4" t="s">
        <v>277</v>
      </c>
      <c r="B157" t="s">
        <v>278</v>
      </c>
      <c r="C157" t="s">
        <v>278</v>
      </c>
      <c r="D157" s="1" t="s">
        <v>205</v>
      </c>
      <c r="E157" s="1" t="s">
        <v>205</v>
      </c>
      <c r="F157" s="1" t="s">
        <v>205</v>
      </c>
      <c r="G157" s="1" t="s">
        <v>205</v>
      </c>
      <c r="H157" s="1" t="s">
        <v>205</v>
      </c>
      <c r="I157" s="1" t="s">
        <v>205</v>
      </c>
      <c r="J157" s="1" t="s">
        <v>205</v>
      </c>
      <c r="K157" s="1" t="s">
        <v>205</v>
      </c>
      <c r="L157" s="1" t="s">
        <v>205</v>
      </c>
      <c r="M157" s="1" t="s">
        <v>205</v>
      </c>
      <c r="N157" s="1" t="s">
        <v>205</v>
      </c>
      <c r="O157" s="1" t="s">
        <v>205</v>
      </c>
      <c r="P157" s="1" t="s">
        <v>205</v>
      </c>
      <c r="Q157" s="1" t="s">
        <v>205</v>
      </c>
    </row>
    <row r="158" spans="1:17" x14ac:dyDescent="0.25">
      <c r="A158" s="4" t="s">
        <v>279</v>
      </c>
      <c r="B158" t="s">
        <v>279</v>
      </c>
      <c r="C158" t="s">
        <v>279</v>
      </c>
      <c r="D158" s="1" t="s">
        <v>207</v>
      </c>
      <c r="E158" s="1" t="s">
        <v>207</v>
      </c>
      <c r="F158" s="1" t="s">
        <v>207</v>
      </c>
      <c r="G158" s="1" t="s">
        <v>207</v>
      </c>
      <c r="H158" s="1" t="s">
        <v>207</v>
      </c>
      <c r="I158" s="1" t="s">
        <v>207</v>
      </c>
      <c r="J158" s="1" t="s">
        <v>207</v>
      </c>
      <c r="K158" s="1" t="s">
        <v>207</v>
      </c>
      <c r="L158" s="1" t="s">
        <v>207</v>
      </c>
      <c r="M158" s="1" t="s">
        <v>207</v>
      </c>
      <c r="N158" s="1" t="s">
        <v>207</v>
      </c>
      <c r="O158" s="1" t="s">
        <v>207</v>
      </c>
      <c r="P158" s="1" t="s">
        <v>207</v>
      </c>
      <c r="Q158" s="1" t="s">
        <v>207</v>
      </c>
    </row>
    <row r="159" spans="1:17" x14ac:dyDescent="0.25">
      <c r="A159" s="4" t="s">
        <v>280</v>
      </c>
      <c r="B159" t="s">
        <v>280</v>
      </c>
      <c r="C159" t="s">
        <v>280</v>
      </c>
      <c r="D159" s="1" t="s">
        <v>210</v>
      </c>
      <c r="E159" s="1" t="s">
        <v>210</v>
      </c>
      <c r="F159" s="1" t="s">
        <v>210</v>
      </c>
      <c r="G159" s="1" t="s">
        <v>210</v>
      </c>
      <c r="H159" s="1" t="s">
        <v>210</v>
      </c>
      <c r="I159" s="1" t="s">
        <v>210</v>
      </c>
      <c r="J159" s="1" t="s">
        <v>210</v>
      </c>
      <c r="K159" s="1" t="s">
        <v>210</v>
      </c>
      <c r="L159" s="1" t="s">
        <v>210</v>
      </c>
      <c r="M159" s="1" t="s">
        <v>210</v>
      </c>
      <c r="N159" s="1" t="s">
        <v>210</v>
      </c>
      <c r="O159" s="1" t="s">
        <v>210</v>
      </c>
      <c r="P159" s="1" t="s">
        <v>210</v>
      </c>
      <c r="Q159" s="1" t="s">
        <v>210</v>
      </c>
    </row>
    <row r="160" spans="1:17" x14ac:dyDescent="0.25">
      <c r="A160" s="4" t="s">
        <v>281</v>
      </c>
      <c r="B160" t="s">
        <v>282</v>
      </c>
      <c r="C160" t="s">
        <v>282</v>
      </c>
      <c r="D160" s="1" t="s">
        <v>213</v>
      </c>
      <c r="E160" s="1" t="s">
        <v>213</v>
      </c>
      <c r="F160" s="1" t="s">
        <v>213</v>
      </c>
      <c r="G160" s="1" t="s">
        <v>213</v>
      </c>
      <c r="H160" s="1" t="s">
        <v>213</v>
      </c>
      <c r="I160" s="1" t="s">
        <v>213</v>
      </c>
      <c r="J160" s="1" t="s">
        <v>213</v>
      </c>
      <c r="K160" s="1" t="s">
        <v>213</v>
      </c>
      <c r="L160" s="1" t="s">
        <v>213</v>
      </c>
      <c r="M160" s="1" t="s">
        <v>213</v>
      </c>
      <c r="N160" s="1" t="s">
        <v>213</v>
      </c>
      <c r="O160" s="1" t="s">
        <v>213</v>
      </c>
      <c r="P160" s="1" t="s">
        <v>213</v>
      </c>
      <c r="Q160" s="1" t="s">
        <v>213</v>
      </c>
    </row>
    <row r="161" spans="1:17" x14ac:dyDescent="0.25">
      <c r="A161" s="4" t="s">
        <v>283</v>
      </c>
      <c r="B161" t="s">
        <v>284</v>
      </c>
      <c r="C161" t="s">
        <v>284</v>
      </c>
      <c r="D161" s="1" t="s">
        <v>216</v>
      </c>
      <c r="E161" s="1" t="s">
        <v>216</v>
      </c>
      <c r="F161" s="1" t="s">
        <v>216</v>
      </c>
      <c r="G161" s="1" t="s">
        <v>216</v>
      </c>
      <c r="H161" s="1" t="s">
        <v>216</v>
      </c>
      <c r="I161" s="1" t="s">
        <v>216</v>
      </c>
      <c r="J161" s="1" t="s">
        <v>216</v>
      </c>
      <c r="K161" s="1" t="s">
        <v>216</v>
      </c>
      <c r="L161" s="1" t="s">
        <v>216</v>
      </c>
      <c r="M161" s="1" t="s">
        <v>216</v>
      </c>
      <c r="N161" s="1" t="s">
        <v>216</v>
      </c>
      <c r="O161" s="1" t="s">
        <v>216</v>
      </c>
      <c r="P161" s="1" t="s">
        <v>216</v>
      </c>
      <c r="Q161" s="1" t="s">
        <v>216</v>
      </c>
    </row>
    <row r="162" spans="1:17" x14ac:dyDescent="0.25">
      <c r="A162" s="4" t="s">
        <v>285</v>
      </c>
      <c r="B162" t="s">
        <v>286</v>
      </c>
      <c r="C162" t="s">
        <v>286</v>
      </c>
      <c r="D162" s="1" t="s">
        <v>219</v>
      </c>
      <c r="E162" s="1" t="s">
        <v>219</v>
      </c>
      <c r="F162" s="1" t="s">
        <v>219</v>
      </c>
      <c r="G162" s="1" t="s">
        <v>219</v>
      </c>
      <c r="H162" s="1" t="s">
        <v>219</v>
      </c>
      <c r="I162" s="1" t="s">
        <v>219</v>
      </c>
      <c r="J162" s="1" t="s">
        <v>219</v>
      </c>
      <c r="K162" s="1" t="s">
        <v>219</v>
      </c>
      <c r="L162" s="1" t="s">
        <v>219</v>
      </c>
      <c r="M162" s="1" t="s">
        <v>219</v>
      </c>
      <c r="N162" s="1" t="s">
        <v>219</v>
      </c>
      <c r="O162" s="1" t="s">
        <v>219</v>
      </c>
      <c r="P162" s="1" t="s">
        <v>219</v>
      </c>
      <c r="Q162" s="1" t="s">
        <v>219</v>
      </c>
    </row>
    <row r="163" spans="1:17" x14ac:dyDescent="0.25">
      <c r="A163" s="4" t="s">
        <v>287</v>
      </c>
      <c r="B163" t="s">
        <v>288</v>
      </c>
      <c r="C163" t="s">
        <v>288</v>
      </c>
      <c r="D163" s="1" t="s">
        <v>222</v>
      </c>
      <c r="E163" s="1" t="s">
        <v>222</v>
      </c>
      <c r="F163" s="1" t="s">
        <v>222</v>
      </c>
      <c r="G163" s="1" t="s">
        <v>222</v>
      </c>
      <c r="H163" s="1" t="s">
        <v>222</v>
      </c>
      <c r="I163" s="1" t="s">
        <v>222</v>
      </c>
      <c r="J163" s="1" t="s">
        <v>222</v>
      </c>
      <c r="K163" s="1" t="s">
        <v>222</v>
      </c>
      <c r="L163" s="1" t="s">
        <v>222</v>
      </c>
      <c r="M163" s="1" t="s">
        <v>222</v>
      </c>
      <c r="N163" s="1" t="s">
        <v>222</v>
      </c>
      <c r="O163" s="1" t="s">
        <v>222</v>
      </c>
      <c r="P163" s="1" t="s">
        <v>222</v>
      </c>
      <c r="Q163" s="1" t="s">
        <v>222</v>
      </c>
    </row>
    <row r="164" spans="1:17" x14ac:dyDescent="0.25">
      <c r="A164" s="4" t="s">
        <v>289</v>
      </c>
      <c r="B164" t="s">
        <v>290</v>
      </c>
      <c r="C164" t="s">
        <v>290</v>
      </c>
      <c r="D164" s="1" t="s">
        <v>225</v>
      </c>
      <c r="E164" s="1" t="s">
        <v>225</v>
      </c>
      <c r="F164" s="1" t="s">
        <v>225</v>
      </c>
      <c r="G164" s="1" t="s">
        <v>225</v>
      </c>
      <c r="H164" s="1" t="s">
        <v>225</v>
      </c>
      <c r="I164" s="1" t="s">
        <v>225</v>
      </c>
      <c r="J164" s="1" t="s">
        <v>225</v>
      </c>
      <c r="K164" s="1" t="s">
        <v>225</v>
      </c>
      <c r="L164" s="1" t="s">
        <v>225</v>
      </c>
      <c r="M164" s="1" t="s">
        <v>225</v>
      </c>
      <c r="N164" s="1" t="s">
        <v>225</v>
      </c>
      <c r="O164" s="1" t="s">
        <v>225</v>
      </c>
      <c r="P164" s="1" t="s">
        <v>225</v>
      </c>
      <c r="Q164" s="1" t="s">
        <v>225</v>
      </c>
    </row>
    <row r="165" spans="1:17" x14ac:dyDescent="0.25">
      <c r="A165" s="4" t="s">
        <v>291</v>
      </c>
      <c r="B165" t="s">
        <v>291</v>
      </c>
      <c r="C165" t="s">
        <v>291</v>
      </c>
      <c r="D165" s="1" t="s">
        <v>227</v>
      </c>
      <c r="E165" s="1" t="s">
        <v>227</v>
      </c>
      <c r="F165" s="1" t="s">
        <v>227</v>
      </c>
      <c r="G165" s="1" t="s">
        <v>227</v>
      </c>
      <c r="H165" s="1" t="s">
        <v>227</v>
      </c>
      <c r="I165" s="1" t="s">
        <v>227</v>
      </c>
      <c r="J165" s="1" t="s">
        <v>227</v>
      </c>
      <c r="K165" s="1" t="s">
        <v>227</v>
      </c>
      <c r="L165" s="1" t="s">
        <v>227</v>
      </c>
      <c r="M165" s="1" t="s">
        <v>227</v>
      </c>
      <c r="N165" s="1" t="s">
        <v>227</v>
      </c>
      <c r="O165" s="1" t="s">
        <v>227</v>
      </c>
      <c r="P165" s="1" t="s">
        <v>227</v>
      </c>
      <c r="Q165" s="1" t="s">
        <v>227</v>
      </c>
    </row>
    <row r="166" spans="1:17" x14ac:dyDescent="0.25">
      <c r="A166" s="4" t="s">
        <v>292</v>
      </c>
      <c r="B166" t="s">
        <v>293</v>
      </c>
      <c r="C166" t="s">
        <v>293</v>
      </c>
      <c r="D166" s="1" t="s">
        <v>229</v>
      </c>
      <c r="E166" s="1" t="s">
        <v>229</v>
      </c>
      <c r="F166" s="1" t="s">
        <v>229</v>
      </c>
      <c r="G166" s="1" t="s">
        <v>229</v>
      </c>
      <c r="H166" s="1" t="s">
        <v>229</v>
      </c>
      <c r="I166" s="1" t="s">
        <v>229</v>
      </c>
      <c r="J166" s="1" t="s">
        <v>229</v>
      </c>
      <c r="K166" s="1" t="s">
        <v>229</v>
      </c>
      <c r="L166" s="1" t="s">
        <v>229</v>
      </c>
      <c r="M166" s="1" t="s">
        <v>229</v>
      </c>
      <c r="N166" s="1" t="s">
        <v>229</v>
      </c>
      <c r="O166" s="1" t="s">
        <v>229</v>
      </c>
      <c r="P166" s="1" t="s">
        <v>229</v>
      </c>
      <c r="Q166" s="1" t="s">
        <v>229</v>
      </c>
    </row>
    <row r="167" spans="1:17" x14ac:dyDescent="0.25">
      <c r="A167" s="4" t="s">
        <v>294</v>
      </c>
      <c r="B167" t="s">
        <v>295</v>
      </c>
      <c r="C167" t="s">
        <v>295</v>
      </c>
      <c r="D167" s="1" t="s">
        <v>231</v>
      </c>
      <c r="E167" s="1" t="s">
        <v>231</v>
      </c>
      <c r="F167" s="1" t="s">
        <v>231</v>
      </c>
      <c r="G167" s="1" t="s">
        <v>231</v>
      </c>
      <c r="H167" s="1" t="s">
        <v>231</v>
      </c>
      <c r="I167" s="1" t="s">
        <v>231</v>
      </c>
      <c r="J167" s="1" t="s">
        <v>231</v>
      </c>
      <c r="K167" s="1" t="s">
        <v>231</v>
      </c>
      <c r="L167" s="1" t="s">
        <v>231</v>
      </c>
      <c r="M167" s="1" t="s">
        <v>231</v>
      </c>
      <c r="N167" s="1" t="s">
        <v>231</v>
      </c>
      <c r="O167" s="1" t="s">
        <v>231</v>
      </c>
      <c r="P167" s="1" t="s">
        <v>231</v>
      </c>
      <c r="Q167" s="1" t="s">
        <v>231</v>
      </c>
    </row>
    <row r="168" spans="1:17" x14ac:dyDescent="0.25">
      <c r="A168" s="4" t="s">
        <v>296</v>
      </c>
      <c r="B168" t="s">
        <v>296</v>
      </c>
      <c r="C168" t="s">
        <v>296</v>
      </c>
      <c r="D168" s="1" t="s">
        <v>197</v>
      </c>
      <c r="E168" s="1" t="s">
        <v>197</v>
      </c>
      <c r="F168" s="1" t="s">
        <v>197</v>
      </c>
      <c r="G168" s="1" t="s">
        <v>197</v>
      </c>
      <c r="H168" s="1" t="s">
        <v>197</v>
      </c>
      <c r="I168" s="1" t="s">
        <v>197</v>
      </c>
      <c r="J168" s="1" t="s">
        <v>197</v>
      </c>
      <c r="K168" s="1" t="s">
        <v>197</v>
      </c>
      <c r="L168" s="1" t="s">
        <v>197</v>
      </c>
      <c r="M168" s="1" t="s">
        <v>197</v>
      </c>
      <c r="N168" s="1" t="s">
        <v>197</v>
      </c>
      <c r="O168" s="1" t="s">
        <v>197</v>
      </c>
      <c r="P168" s="1" t="s">
        <v>197</v>
      </c>
      <c r="Q168" s="1" t="s">
        <v>197</v>
      </c>
    </row>
    <row r="169" spans="1:17" x14ac:dyDescent="0.25">
      <c r="A169" s="4" t="s">
        <v>297</v>
      </c>
      <c r="B169" t="s">
        <v>298</v>
      </c>
      <c r="C169" t="s">
        <v>298</v>
      </c>
      <c r="D169" s="1" t="s">
        <v>199</v>
      </c>
      <c r="E169" s="1" t="s">
        <v>199</v>
      </c>
      <c r="F169" s="1" t="s">
        <v>199</v>
      </c>
      <c r="G169" s="1" t="s">
        <v>199</v>
      </c>
      <c r="H169" s="1" t="s">
        <v>199</v>
      </c>
      <c r="I169" s="1" t="s">
        <v>199</v>
      </c>
      <c r="J169" s="1" t="s">
        <v>199</v>
      </c>
      <c r="K169" s="1" t="s">
        <v>199</v>
      </c>
      <c r="L169" s="1" t="s">
        <v>199</v>
      </c>
      <c r="M169" s="1" t="s">
        <v>199</v>
      </c>
      <c r="N169" s="1" t="s">
        <v>199</v>
      </c>
      <c r="O169" s="1" t="s">
        <v>199</v>
      </c>
      <c r="P169" s="1" t="s">
        <v>199</v>
      </c>
      <c r="Q169" s="1" t="s">
        <v>199</v>
      </c>
    </row>
    <row r="170" spans="1:17" x14ac:dyDescent="0.25">
      <c r="A170" s="4" t="s">
        <v>299</v>
      </c>
      <c r="B170" t="s">
        <v>300</v>
      </c>
      <c r="C170" t="s">
        <v>300</v>
      </c>
      <c r="D170" s="1" t="s">
        <v>235</v>
      </c>
      <c r="E170" s="1" t="s">
        <v>235</v>
      </c>
      <c r="F170" s="1" t="s">
        <v>235</v>
      </c>
      <c r="G170" s="1" t="s">
        <v>235</v>
      </c>
      <c r="H170" s="1" t="s">
        <v>235</v>
      </c>
      <c r="I170" s="1" t="s">
        <v>235</v>
      </c>
      <c r="J170" s="1" t="s">
        <v>235</v>
      </c>
      <c r="K170" s="1" t="s">
        <v>235</v>
      </c>
      <c r="L170" s="1" t="s">
        <v>235</v>
      </c>
      <c r="M170" s="1" t="s">
        <v>235</v>
      </c>
      <c r="N170" s="1" t="s">
        <v>235</v>
      </c>
      <c r="O170" s="1" t="s">
        <v>235</v>
      </c>
      <c r="P170" s="1" t="s">
        <v>235</v>
      </c>
      <c r="Q170" s="1" t="s">
        <v>235</v>
      </c>
    </row>
    <row r="171" spans="1:17" x14ac:dyDescent="0.25">
      <c r="A171" s="4" t="s">
        <v>301</v>
      </c>
      <c r="B171" t="s">
        <v>302</v>
      </c>
      <c r="C171" t="s">
        <v>302</v>
      </c>
      <c r="D171" s="1" t="s">
        <v>238</v>
      </c>
      <c r="E171" s="1" t="s">
        <v>238</v>
      </c>
      <c r="F171" s="1" t="s">
        <v>238</v>
      </c>
      <c r="G171" s="1" t="s">
        <v>238</v>
      </c>
      <c r="H171" s="1" t="s">
        <v>238</v>
      </c>
      <c r="I171" s="1" t="s">
        <v>238</v>
      </c>
      <c r="J171" s="1" t="s">
        <v>238</v>
      </c>
      <c r="K171" s="1" t="s">
        <v>238</v>
      </c>
      <c r="L171" s="1" t="s">
        <v>238</v>
      </c>
      <c r="M171" s="1" t="s">
        <v>238</v>
      </c>
      <c r="N171" s="1" t="s">
        <v>238</v>
      </c>
      <c r="O171" s="1" t="s">
        <v>238</v>
      </c>
      <c r="P171" s="1" t="s">
        <v>238</v>
      </c>
      <c r="Q171" s="1" t="s">
        <v>238</v>
      </c>
    </row>
    <row r="172" spans="1:17" x14ac:dyDescent="0.25">
      <c r="A172" s="3" t="s">
        <v>303</v>
      </c>
      <c r="B172" t="s">
        <v>304</v>
      </c>
      <c r="C172" t="s">
        <v>304</v>
      </c>
      <c r="D172" s="1" t="s">
        <v>269</v>
      </c>
      <c r="E172" s="1" t="s">
        <v>269</v>
      </c>
      <c r="F172" s="1" t="s">
        <v>269</v>
      </c>
      <c r="G172" s="1" t="s">
        <v>269</v>
      </c>
      <c r="H172" s="1" t="s">
        <v>269</v>
      </c>
      <c r="I172" s="1" t="s">
        <v>269</v>
      </c>
      <c r="J172" s="1" t="s">
        <v>269</v>
      </c>
      <c r="K172" s="1" t="s">
        <v>269</v>
      </c>
      <c r="L172" s="1" t="s">
        <v>269</v>
      </c>
      <c r="M172" s="1" t="s">
        <v>269</v>
      </c>
      <c r="N172" s="1" t="s">
        <v>269</v>
      </c>
      <c r="O172" s="1" t="s">
        <v>269</v>
      </c>
      <c r="P172" s="1" t="s">
        <v>269</v>
      </c>
      <c r="Q172" s="1" t="s">
        <v>269</v>
      </c>
    </row>
    <row r="173" spans="1:17" x14ac:dyDescent="0.25">
      <c r="A173" s="3" t="s">
        <v>305</v>
      </c>
      <c r="B173" t="s">
        <v>306</v>
      </c>
      <c r="C173" t="s">
        <v>306</v>
      </c>
      <c r="D173" s="1" t="s">
        <v>271</v>
      </c>
      <c r="E173" s="1" t="s">
        <v>271</v>
      </c>
      <c r="F173" s="1" t="s">
        <v>271</v>
      </c>
      <c r="G173" s="1" t="s">
        <v>271</v>
      </c>
      <c r="H173" s="1" t="s">
        <v>271</v>
      </c>
      <c r="I173" s="1" t="s">
        <v>271</v>
      </c>
      <c r="J173" s="1" t="s">
        <v>271</v>
      </c>
      <c r="K173" s="1" t="s">
        <v>271</v>
      </c>
      <c r="L173" s="1" t="s">
        <v>271</v>
      </c>
      <c r="M173" s="1" t="s">
        <v>271</v>
      </c>
      <c r="N173" s="1" t="s">
        <v>271</v>
      </c>
      <c r="O173" s="1" t="s">
        <v>271</v>
      </c>
      <c r="P173" s="1" t="s">
        <v>271</v>
      </c>
      <c r="Q173" s="1" t="s">
        <v>271</v>
      </c>
    </row>
    <row r="174" spans="1:17" x14ac:dyDescent="0.25">
      <c r="A174" s="4" t="s">
        <v>307</v>
      </c>
      <c r="B174" t="s">
        <v>308</v>
      </c>
      <c r="C174" t="s">
        <v>308</v>
      </c>
      <c r="D174" s="1" t="s">
        <v>273</v>
      </c>
      <c r="E174" s="1" t="s">
        <v>273</v>
      </c>
      <c r="F174" s="1" t="s">
        <v>273</v>
      </c>
      <c r="G174" s="1" t="s">
        <v>273</v>
      </c>
      <c r="H174" s="1" t="s">
        <v>273</v>
      </c>
      <c r="I174" s="1" t="s">
        <v>273</v>
      </c>
      <c r="J174" s="1" t="s">
        <v>273</v>
      </c>
      <c r="K174" s="1" t="s">
        <v>273</v>
      </c>
      <c r="L174" s="1" t="s">
        <v>273</v>
      </c>
      <c r="M174" s="1" t="s">
        <v>273</v>
      </c>
      <c r="N174" s="1" t="s">
        <v>273</v>
      </c>
      <c r="O174" s="1" t="s">
        <v>273</v>
      </c>
      <c r="P174" s="1" t="s">
        <v>273</v>
      </c>
      <c r="Q174" s="1" t="s">
        <v>273</v>
      </c>
    </row>
    <row r="175" spans="1:17" x14ac:dyDescent="0.25">
      <c r="A175" s="4" t="s">
        <v>309</v>
      </c>
      <c r="B175" t="s">
        <v>310</v>
      </c>
      <c r="C175" t="s">
        <v>310</v>
      </c>
      <c r="D175" s="1" t="s">
        <v>275</v>
      </c>
      <c r="E175" s="1" t="s">
        <v>275</v>
      </c>
      <c r="F175" s="1" t="s">
        <v>275</v>
      </c>
      <c r="G175" s="1" t="s">
        <v>275</v>
      </c>
      <c r="H175" s="1" t="s">
        <v>275</v>
      </c>
      <c r="I175" s="1" t="s">
        <v>275</v>
      </c>
      <c r="J175" s="1" t="s">
        <v>275</v>
      </c>
      <c r="K175" s="1" t="s">
        <v>275</v>
      </c>
      <c r="L175" s="1" t="s">
        <v>275</v>
      </c>
      <c r="M175" s="1" t="s">
        <v>275</v>
      </c>
      <c r="N175" s="1" t="s">
        <v>275</v>
      </c>
      <c r="O175" s="1" t="s">
        <v>275</v>
      </c>
      <c r="P175" s="1" t="s">
        <v>275</v>
      </c>
      <c r="Q175" s="1" t="s">
        <v>275</v>
      </c>
    </row>
    <row r="176" spans="1:17" x14ac:dyDescent="0.25">
      <c r="A176" s="4" t="s">
        <v>311</v>
      </c>
      <c r="B176" t="s">
        <v>312</v>
      </c>
      <c r="C176" t="s">
        <v>312</v>
      </c>
      <c r="D176" s="1" t="s">
        <v>313</v>
      </c>
      <c r="E176" s="1" t="s">
        <v>313</v>
      </c>
      <c r="F176" s="1" t="s">
        <v>313</v>
      </c>
      <c r="G176" s="1" t="s">
        <v>313</v>
      </c>
      <c r="H176" s="1" t="s">
        <v>313</v>
      </c>
      <c r="I176" s="1" t="s">
        <v>313</v>
      </c>
      <c r="J176" s="1" t="s">
        <v>313</v>
      </c>
      <c r="K176" s="1" t="s">
        <v>313</v>
      </c>
      <c r="L176" s="1" t="s">
        <v>313</v>
      </c>
      <c r="M176" s="1" t="s">
        <v>313</v>
      </c>
      <c r="N176" s="1" t="s">
        <v>313</v>
      </c>
      <c r="O176" s="1" t="s">
        <v>313</v>
      </c>
      <c r="P176" s="1" t="s">
        <v>313</v>
      </c>
      <c r="Q176" s="1" t="s">
        <v>313</v>
      </c>
    </row>
    <row r="177" spans="1:17" x14ac:dyDescent="0.25">
      <c r="A177" s="4" t="s">
        <v>314</v>
      </c>
      <c r="B177" t="s">
        <v>315</v>
      </c>
      <c r="C177" t="s">
        <v>315</v>
      </c>
      <c r="D177" s="1" t="s">
        <v>279</v>
      </c>
      <c r="E177" s="1" t="s">
        <v>279</v>
      </c>
      <c r="F177" s="1" t="s">
        <v>279</v>
      </c>
      <c r="G177" s="1" t="s">
        <v>279</v>
      </c>
      <c r="H177" s="1" t="s">
        <v>279</v>
      </c>
      <c r="I177" s="1" t="s">
        <v>279</v>
      </c>
      <c r="J177" s="1" t="s">
        <v>279</v>
      </c>
      <c r="K177" s="1" t="s">
        <v>279</v>
      </c>
      <c r="L177" s="1" t="s">
        <v>279</v>
      </c>
      <c r="M177" s="1" t="s">
        <v>279</v>
      </c>
      <c r="N177" s="1" t="s">
        <v>279</v>
      </c>
      <c r="O177" s="1" t="s">
        <v>279</v>
      </c>
      <c r="P177" s="1" t="s">
        <v>279</v>
      </c>
      <c r="Q177" s="1" t="s">
        <v>279</v>
      </c>
    </row>
    <row r="178" spans="1:17" x14ac:dyDescent="0.25">
      <c r="A178" s="3" t="s">
        <v>316</v>
      </c>
      <c r="B178" t="s">
        <v>317</v>
      </c>
      <c r="C178" t="s">
        <v>317</v>
      </c>
      <c r="D178" s="1" t="s">
        <v>280</v>
      </c>
      <c r="E178" s="1" t="s">
        <v>280</v>
      </c>
      <c r="F178" s="1" t="s">
        <v>280</v>
      </c>
      <c r="G178" s="1" t="s">
        <v>280</v>
      </c>
      <c r="H178" s="1" t="s">
        <v>280</v>
      </c>
      <c r="I178" s="1" t="s">
        <v>280</v>
      </c>
      <c r="J178" s="1" t="s">
        <v>280</v>
      </c>
      <c r="K178" s="1" t="s">
        <v>280</v>
      </c>
      <c r="L178" s="1" t="s">
        <v>280</v>
      </c>
      <c r="M178" s="1" t="s">
        <v>280</v>
      </c>
      <c r="N178" s="1" t="s">
        <v>280</v>
      </c>
      <c r="O178" s="1" t="s">
        <v>280</v>
      </c>
      <c r="P178" s="1" t="s">
        <v>280</v>
      </c>
      <c r="Q178" s="1" t="s">
        <v>280</v>
      </c>
    </row>
    <row r="179" spans="1:17" x14ac:dyDescent="0.25">
      <c r="A179" s="3" t="s">
        <v>116</v>
      </c>
      <c r="B179" t="s">
        <v>117</v>
      </c>
      <c r="C179" t="s">
        <v>117</v>
      </c>
      <c r="D179" s="1" t="s">
        <v>282</v>
      </c>
      <c r="E179" s="1" t="s">
        <v>282</v>
      </c>
      <c r="F179" s="1" t="s">
        <v>282</v>
      </c>
      <c r="G179" s="1" t="s">
        <v>282</v>
      </c>
      <c r="H179" s="1" t="s">
        <v>282</v>
      </c>
      <c r="I179" s="1" t="s">
        <v>282</v>
      </c>
      <c r="J179" s="1" t="s">
        <v>282</v>
      </c>
      <c r="K179" s="1" t="s">
        <v>282</v>
      </c>
      <c r="L179" s="1" t="s">
        <v>282</v>
      </c>
      <c r="M179" s="1" t="s">
        <v>282</v>
      </c>
      <c r="N179" s="1" t="s">
        <v>282</v>
      </c>
      <c r="O179" s="1" t="s">
        <v>282</v>
      </c>
      <c r="P179" s="1" t="s">
        <v>282</v>
      </c>
      <c r="Q179" s="1" t="s">
        <v>282</v>
      </c>
    </row>
    <row r="180" spans="1:17" x14ac:dyDescent="0.25">
      <c r="A180" s="4" t="s">
        <v>118</v>
      </c>
      <c r="B180" t="s">
        <v>119</v>
      </c>
      <c r="C180" t="s">
        <v>119</v>
      </c>
      <c r="D180" s="1" t="s">
        <v>284</v>
      </c>
      <c r="E180" s="1" t="s">
        <v>284</v>
      </c>
      <c r="F180" s="1" t="s">
        <v>284</v>
      </c>
      <c r="G180" s="1" t="s">
        <v>284</v>
      </c>
      <c r="H180" s="1" t="s">
        <v>284</v>
      </c>
      <c r="I180" s="1" t="s">
        <v>284</v>
      </c>
      <c r="J180" s="1" t="s">
        <v>284</v>
      </c>
      <c r="K180" s="1" t="s">
        <v>284</v>
      </c>
      <c r="L180" s="1" t="s">
        <v>284</v>
      </c>
      <c r="M180" s="1" t="s">
        <v>284</v>
      </c>
      <c r="N180" s="1" t="s">
        <v>284</v>
      </c>
      <c r="O180" s="1" t="s">
        <v>284</v>
      </c>
      <c r="P180" s="1" t="s">
        <v>284</v>
      </c>
      <c r="Q180" s="1" t="s">
        <v>284</v>
      </c>
    </row>
    <row r="181" spans="1:17" x14ac:dyDescent="0.25">
      <c r="A181" s="4" t="s">
        <v>318</v>
      </c>
      <c r="B181" t="s">
        <v>319</v>
      </c>
      <c r="C181" t="s">
        <v>319</v>
      </c>
      <c r="D181" s="1" t="s">
        <v>286</v>
      </c>
      <c r="E181" s="1" t="s">
        <v>286</v>
      </c>
      <c r="F181" s="1" t="s">
        <v>286</v>
      </c>
      <c r="G181" s="1" t="s">
        <v>286</v>
      </c>
      <c r="H181" s="1" t="s">
        <v>286</v>
      </c>
      <c r="I181" s="1" t="s">
        <v>286</v>
      </c>
      <c r="J181" s="1" t="s">
        <v>286</v>
      </c>
      <c r="K181" s="1" t="s">
        <v>286</v>
      </c>
      <c r="L181" s="1" t="s">
        <v>286</v>
      </c>
      <c r="M181" s="1" t="s">
        <v>286</v>
      </c>
      <c r="N181" s="1" t="s">
        <v>286</v>
      </c>
      <c r="O181" s="1" t="s">
        <v>286</v>
      </c>
      <c r="P181" s="1" t="s">
        <v>286</v>
      </c>
      <c r="Q181" s="1" t="s">
        <v>286</v>
      </c>
    </row>
    <row r="182" spans="1:17" x14ac:dyDescent="0.25">
      <c r="A182" s="4" t="s">
        <v>320</v>
      </c>
      <c r="B182" t="s">
        <v>320</v>
      </c>
      <c r="C182" t="s">
        <v>320</v>
      </c>
      <c r="D182" s="1" t="s">
        <v>288</v>
      </c>
      <c r="E182" s="1" t="s">
        <v>288</v>
      </c>
      <c r="F182" s="1" t="s">
        <v>288</v>
      </c>
      <c r="G182" s="1" t="s">
        <v>288</v>
      </c>
      <c r="H182" s="1" t="s">
        <v>288</v>
      </c>
      <c r="I182" s="1" t="s">
        <v>288</v>
      </c>
      <c r="J182" s="1" t="s">
        <v>288</v>
      </c>
      <c r="K182" s="1" t="s">
        <v>288</v>
      </c>
      <c r="L182" s="1" t="s">
        <v>288</v>
      </c>
      <c r="M182" s="1" t="s">
        <v>288</v>
      </c>
      <c r="N182" s="1" t="s">
        <v>288</v>
      </c>
      <c r="O182" s="1" t="s">
        <v>288</v>
      </c>
      <c r="P182" s="1" t="s">
        <v>288</v>
      </c>
      <c r="Q182" s="1" t="s">
        <v>288</v>
      </c>
    </row>
    <row r="183" spans="1:17" x14ac:dyDescent="0.25">
      <c r="A183" s="4" t="s">
        <v>321</v>
      </c>
      <c r="B183" t="s">
        <v>322</v>
      </c>
      <c r="C183" t="s">
        <v>322</v>
      </c>
      <c r="D183" s="1" t="s">
        <v>290</v>
      </c>
      <c r="E183" s="1" t="s">
        <v>290</v>
      </c>
      <c r="F183" s="1" t="s">
        <v>290</v>
      </c>
      <c r="G183" s="1" t="s">
        <v>290</v>
      </c>
      <c r="H183" s="1" t="s">
        <v>290</v>
      </c>
      <c r="I183" s="1" t="s">
        <v>290</v>
      </c>
      <c r="J183" s="1" t="s">
        <v>290</v>
      </c>
      <c r="K183" s="1" t="s">
        <v>290</v>
      </c>
      <c r="L183" s="1" t="s">
        <v>290</v>
      </c>
      <c r="M183" s="1" t="s">
        <v>290</v>
      </c>
      <c r="N183" s="1" t="s">
        <v>290</v>
      </c>
      <c r="O183" s="1" t="s">
        <v>290</v>
      </c>
      <c r="P183" s="1" t="s">
        <v>290</v>
      </c>
      <c r="Q183" s="1" t="s">
        <v>290</v>
      </c>
    </row>
    <row r="184" spans="1:17" x14ac:dyDescent="0.25">
      <c r="A184" s="4" t="s">
        <v>114</v>
      </c>
      <c r="B184" t="s">
        <v>115</v>
      </c>
      <c r="C184" t="s">
        <v>115</v>
      </c>
      <c r="D184" s="1" t="s">
        <v>291</v>
      </c>
      <c r="E184" s="1" t="s">
        <v>291</v>
      </c>
      <c r="F184" s="1" t="s">
        <v>291</v>
      </c>
      <c r="G184" s="1" t="s">
        <v>291</v>
      </c>
      <c r="H184" s="1" t="s">
        <v>291</v>
      </c>
      <c r="I184" s="1" t="s">
        <v>291</v>
      </c>
      <c r="J184" s="1" t="s">
        <v>291</v>
      </c>
      <c r="K184" s="1" t="s">
        <v>291</v>
      </c>
      <c r="L184" s="1" t="s">
        <v>291</v>
      </c>
      <c r="M184" s="1" t="s">
        <v>291</v>
      </c>
      <c r="N184" s="1" t="s">
        <v>291</v>
      </c>
      <c r="O184" s="1" t="s">
        <v>291</v>
      </c>
      <c r="P184" s="1" t="s">
        <v>291</v>
      </c>
      <c r="Q184" s="1" t="s">
        <v>291</v>
      </c>
    </row>
    <row r="185" spans="1:17" x14ac:dyDescent="0.25">
      <c r="A185" s="4" t="s">
        <v>87</v>
      </c>
      <c r="B185" t="s">
        <v>88</v>
      </c>
      <c r="C185" t="s">
        <v>88</v>
      </c>
      <c r="D185" s="1" t="s">
        <v>293</v>
      </c>
      <c r="E185" s="1" t="s">
        <v>293</v>
      </c>
      <c r="F185" s="1" t="s">
        <v>293</v>
      </c>
      <c r="G185" s="1" t="s">
        <v>293</v>
      </c>
      <c r="H185" s="1" t="s">
        <v>293</v>
      </c>
      <c r="I185" s="1" t="s">
        <v>293</v>
      </c>
      <c r="J185" s="1" t="s">
        <v>293</v>
      </c>
      <c r="K185" s="1" t="s">
        <v>293</v>
      </c>
      <c r="L185" s="1" t="s">
        <v>293</v>
      </c>
      <c r="M185" s="1" t="s">
        <v>293</v>
      </c>
      <c r="N185" s="1" t="s">
        <v>293</v>
      </c>
      <c r="O185" s="1" t="s">
        <v>293</v>
      </c>
      <c r="P185" s="1" t="s">
        <v>293</v>
      </c>
      <c r="Q185" s="1" t="s">
        <v>293</v>
      </c>
    </row>
    <row r="186" spans="1:17" x14ac:dyDescent="0.25">
      <c r="A186" s="4" t="s">
        <v>118</v>
      </c>
      <c r="B186" t="s">
        <v>119</v>
      </c>
      <c r="C186" t="s">
        <v>119</v>
      </c>
      <c r="D186" s="1" t="s">
        <v>295</v>
      </c>
      <c r="E186" s="1" t="s">
        <v>295</v>
      </c>
      <c r="F186" s="1" t="s">
        <v>295</v>
      </c>
      <c r="G186" s="1" t="s">
        <v>295</v>
      </c>
      <c r="H186" s="1" t="s">
        <v>295</v>
      </c>
      <c r="I186" s="1" t="s">
        <v>295</v>
      </c>
      <c r="J186" s="1" t="s">
        <v>295</v>
      </c>
      <c r="K186" s="1" t="s">
        <v>295</v>
      </c>
      <c r="L186" s="1" t="s">
        <v>295</v>
      </c>
      <c r="M186" s="1" t="s">
        <v>295</v>
      </c>
      <c r="N186" s="1" t="s">
        <v>295</v>
      </c>
      <c r="O186" s="1" t="s">
        <v>295</v>
      </c>
      <c r="P186" s="1" t="s">
        <v>295</v>
      </c>
      <c r="Q186" s="1" t="s">
        <v>295</v>
      </c>
    </row>
    <row r="187" spans="1:17" x14ac:dyDescent="0.25">
      <c r="A187" s="5"/>
      <c r="D187" s="1" t="s">
        <v>296</v>
      </c>
      <c r="E187" s="1" t="s">
        <v>296</v>
      </c>
      <c r="F187" s="1" t="s">
        <v>296</v>
      </c>
      <c r="G187" s="1" t="s">
        <v>296</v>
      </c>
      <c r="H187" s="1" t="s">
        <v>296</v>
      </c>
      <c r="I187" s="1" t="s">
        <v>296</v>
      </c>
      <c r="J187" s="1" t="s">
        <v>296</v>
      </c>
      <c r="K187" s="1" t="s">
        <v>296</v>
      </c>
      <c r="L187" s="1" t="s">
        <v>296</v>
      </c>
      <c r="M187" s="1" t="s">
        <v>296</v>
      </c>
      <c r="N187" s="1" t="s">
        <v>296</v>
      </c>
      <c r="O187" s="1" t="s">
        <v>296</v>
      </c>
      <c r="P187" s="1" t="s">
        <v>296</v>
      </c>
      <c r="Q187" s="1" t="s">
        <v>296</v>
      </c>
    </row>
    <row r="188" spans="1:17" x14ac:dyDescent="0.25">
      <c r="A188" s="4" t="s">
        <v>323</v>
      </c>
      <c r="B188" t="s">
        <v>324</v>
      </c>
      <c r="C188" t="s">
        <v>324</v>
      </c>
      <c r="D188" s="1" t="s">
        <v>298</v>
      </c>
      <c r="E188" s="1" t="s">
        <v>298</v>
      </c>
      <c r="F188" s="1" t="s">
        <v>298</v>
      </c>
      <c r="G188" s="1" t="s">
        <v>298</v>
      </c>
      <c r="H188" s="1" t="s">
        <v>298</v>
      </c>
      <c r="I188" s="1" t="s">
        <v>298</v>
      </c>
      <c r="J188" s="1" t="s">
        <v>298</v>
      </c>
      <c r="K188" s="1" t="s">
        <v>298</v>
      </c>
      <c r="L188" s="1" t="s">
        <v>298</v>
      </c>
      <c r="M188" s="1" t="s">
        <v>298</v>
      </c>
      <c r="N188" s="1" t="s">
        <v>298</v>
      </c>
      <c r="O188" s="1" t="s">
        <v>298</v>
      </c>
      <c r="P188" s="1" t="s">
        <v>298</v>
      </c>
      <c r="Q188" s="1" t="s">
        <v>298</v>
      </c>
    </row>
    <row r="189" spans="1:17" x14ac:dyDescent="0.25">
      <c r="A189" s="4" t="s">
        <v>325</v>
      </c>
      <c r="B189" t="s">
        <v>127</v>
      </c>
      <c r="C189" t="s">
        <v>127</v>
      </c>
      <c r="D189" s="1" t="s">
        <v>300</v>
      </c>
      <c r="E189" s="1" t="s">
        <v>300</v>
      </c>
      <c r="F189" s="1" t="s">
        <v>300</v>
      </c>
      <c r="G189" s="1" t="s">
        <v>300</v>
      </c>
      <c r="H189" s="1" t="s">
        <v>300</v>
      </c>
      <c r="I189" s="1" t="s">
        <v>300</v>
      </c>
      <c r="J189" s="1" t="s">
        <v>300</v>
      </c>
      <c r="K189" s="1" t="s">
        <v>300</v>
      </c>
      <c r="L189" s="1" t="s">
        <v>300</v>
      </c>
      <c r="M189" s="1" t="s">
        <v>300</v>
      </c>
      <c r="N189" s="1" t="s">
        <v>300</v>
      </c>
      <c r="O189" s="1" t="s">
        <v>300</v>
      </c>
      <c r="P189" s="1" t="s">
        <v>300</v>
      </c>
      <c r="Q189" s="1" t="s">
        <v>300</v>
      </c>
    </row>
    <row r="190" spans="1:17" x14ac:dyDescent="0.25">
      <c r="A190" s="4" t="s">
        <v>326</v>
      </c>
      <c r="B190" t="s">
        <v>327</v>
      </c>
      <c r="C190" t="s">
        <v>327</v>
      </c>
      <c r="D190" s="1" t="s">
        <v>302</v>
      </c>
      <c r="E190" s="1" t="s">
        <v>302</v>
      </c>
      <c r="F190" s="1" t="s">
        <v>302</v>
      </c>
      <c r="G190" s="1" t="s">
        <v>302</v>
      </c>
      <c r="H190" s="1" t="s">
        <v>302</v>
      </c>
      <c r="I190" s="1" t="s">
        <v>302</v>
      </c>
      <c r="J190" s="1" t="s">
        <v>302</v>
      </c>
      <c r="K190" s="1" t="s">
        <v>302</v>
      </c>
      <c r="L190" s="1" t="s">
        <v>302</v>
      </c>
      <c r="M190" s="1" t="s">
        <v>302</v>
      </c>
      <c r="N190" s="1" t="s">
        <v>302</v>
      </c>
      <c r="O190" s="1" t="s">
        <v>302</v>
      </c>
      <c r="P190" s="1" t="s">
        <v>302</v>
      </c>
      <c r="Q190" s="1" t="s">
        <v>302</v>
      </c>
    </row>
    <row r="191" spans="1:17" x14ac:dyDescent="0.25">
      <c r="A191" s="3" t="s">
        <v>328</v>
      </c>
      <c r="B191" t="s">
        <v>329</v>
      </c>
      <c r="C191" t="s">
        <v>329</v>
      </c>
      <c r="D191" s="1" t="s">
        <v>304</v>
      </c>
      <c r="E191" s="1" t="s">
        <v>304</v>
      </c>
      <c r="F191" s="1" t="s">
        <v>304</v>
      </c>
      <c r="G191" s="1" t="s">
        <v>304</v>
      </c>
      <c r="H191" s="1" t="s">
        <v>304</v>
      </c>
      <c r="I191" s="1" t="s">
        <v>304</v>
      </c>
      <c r="J191" s="1" t="s">
        <v>304</v>
      </c>
      <c r="K191" s="1" t="s">
        <v>304</v>
      </c>
      <c r="L191" s="1" t="s">
        <v>304</v>
      </c>
      <c r="M191" s="1" t="s">
        <v>304</v>
      </c>
      <c r="N191" s="1" t="s">
        <v>304</v>
      </c>
      <c r="O191" s="1" t="s">
        <v>304</v>
      </c>
      <c r="P191" s="1" t="s">
        <v>304</v>
      </c>
      <c r="Q191" s="1" t="s">
        <v>304</v>
      </c>
    </row>
    <row r="192" spans="1:17" x14ac:dyDescent="0.25">
      <c r="A192" s="4" t="s">
        <v>330</v>
      </c>
      <c r="B192" t="s">
        <v>331</v>
      </c>
      <c r="C192" t="s">
        <v>331</v>
      </c>
      <c r="D192" s="1" t="s">
        <v>306</v>
      </c>
      <c r="E192" s="1" t="s">
        <v>306</v>
      </c>
      <c r="F192" s="1" t="s">
        <v>306</v>
      </c>
      <c r="G192" s="1" t="s">
        <v>306</v>
      </c>
      <c r="H192" s="1" t="s">
        <v>306</v>
      </c>
      <c r="I192" s="1" t="s">
        <v>306</v>
      </c>
      <c r="J192" s="1" t="s">
        <v>306</v>
      </c>
      <c r="K192" s="1" t="s">
        <v>306</v>
      </c>
      <c r="L192" s="1" t="s">
        <v>306</v>
      </c>
      <c r="M192" s="1" t="s">
        <v>306</v>
      </c>
      <c r="N192" s="1" t="s">
        <v>306</v>
      </c>
      <c r="O192" s="1" t="s">
        <v>306</v>
      </c>
      <c r="P192" s="1" t="s">
        <v>306</v>
      </c>
      <c r="Q192" s="1" t="s">
        <v>306</v>
      </c>
    </row>
    <row r="193" spans="1:17" x14ac:dyDescent="0.25">
      <c r="A193" s="4" t="s">
        <v>332</v>
      </c>
      <c r="B193" t="s">
        <v>333</v>
      </c>
      <c r="C193" t="s">
        <v>333</v>
      </c>
      <c r="D193" s="1" t="s">
        <v>308</v>
      </c>
      <c r="E193" s="1" t="s">
        <v>308</v>
      </c>
      <c r="F193" s="1" t="s">
        <v>308</v>
      </c>
      <c r="G193" s="1" t="s">
        <v>308</v>
      </c>
      <c r="H193" s="1" t="s">
        <v>308</v>
      </c>
      <c r="I193" s="1" t="s">
        <v>308</v>
      </c>
      <c r="J193" s="1" t="s">
        <v>308</v>
      </c>
      <c r="K193" s="1" t="s">
        <v>308</v>
      </c>
      <c r="L193" s="1" t="s">
        <v>308</v>
      </c>
      <c r="M193" s="1" t="s">
        <v>308</v>
      </c>
      <c r="N193" s="1" t="s">
        <v>308</v>
      </c>
      <c r="O193" s="1" t="s">
        <v>308</v>
      </c>
      <c r="P193" s="1" t="s">
        <v>308</v>
      </c>
      <c r="Q193" s="1" t="s">
        <v>308</v>
      </c>
    </row>
    <row r="194" spans="1:17" x14ac:dyDescent="0.25">
      <c r="A194" s="4" t="s">
        <v>334</v>
      </c>
      <c r="B194" t="s">
        <v>335</v>
      </c>
      <c r="C194" t="s">
        <v>335</v>
      </c>
      <c r="D194" s="1" t="s">
        <v>310</v>
      </c>
      <c r="E194" s="1" t="s">
        <v>310</v>
      </c>
      <c r="F194" s="1" t="s">
        <v>310</v>
      </c>
      <c r="G194" s="1" t="s">
        <v>310</v>
      </c>
      <c r="H194" s="1" t="s">
        <v>310</v>
      </c>
      <c r="I194" s="1" t="s">
        <v>310</v>
      </c>
      <c r="J194" s="1" t="s">
        <v>310</v>
      </c>
      <c r="K194" s="1" t="s">
        <v>310</v>
      </c>
      <c r="L194" s="1" t="s">
        <v>310</v>
      </c>
      <c r="M194" s="1" t="s">
        <v>310</v>
      </c>
      <c r="N194" s="1" t="s">
        <v>310</v>
      </c>
      <c r="O194" s="1" t="s">
        <v>310</v>
      </c>
      <c r="P194" s="1" t="s">
        <v>310</v>
      </c>
      <c r="Q194" s="1" t="s">
        <v>310</v>
      </c>
    </row>
    <row r="195" spans="1:17" x14ac:dyDescent="0.25">
      <c r="A195" s="4" t="s">
        <v>336</v>
      </c>
      <c r="B195" t="s">
        <v>337</v>
      </c>
      <c r="C195" t="s">
        <v>337</v>
      </c>
      <c r="D195" s="1" t="s">
        <v>312</v>
      </c>
      <c r="E195" s="1" t="s">
        <v>312</v>
      </c>
      <c r="F195" s="1" t="s">
        <v>312</v>
      </c>
      <c r="G195" s="1" t="s">
        <v>312</v>
      </c>
      <c r="H195" s="1" t="s">
        <v>312</v>
      </c>
      <c r="I195" s="1" t="s">
        <v>312</v>
      </c>
      <c r="J195" s="1" t="s">
        <v>312</v>
      </c>
      <c r="K195" s="1" t="s">
        <v>312</v>
      </c>
      <c r="L195" s="1" t="s">
        <v>312</v>
      </c>
      <c r="M195" s="1" t="s">
        <v>312</v>
      </c>
      <c r="N195" s="1" t="s">
        <v>312</v>
      </c>
      <c r="O195" s="1" t="s">
        <v>312</v>
      </c>
      <c r="P195" s="1" t="s">
        <v>312</v>
      </c>
      <c r="Q195" s="1" t="s">
        <v>312</v>
      </c>
    </row>
    <row r="196" spans="1:17" x14ac:dyDescent="0.25">
      <c r="A196" s="4" t="s">
        <v>338</v>
      </c>
      <c r="B196" t="s">
        <v>339</v>
      </c>
      <c r="C196" t="s">
        <v>339</v>
      </c>
      <c r="D196" s="1" t="s">
        <v>315</v>
      </c>
      <c r="E196" s="1" t="s">
        <v>315</v>
      </c>
      <c r="F196" s="1" t="s">
        <v>315</v>
      </c>
      <c r="G196" s="1" t="s">
        <v>315</v>
      </c>
      <c r="H196" s="1" t="s">
        <v>315</v>
      </c>
      <c r="I196" s="1" t="s">
        <v>315</v>
      </c>
      <c r="J196" s="1" t="s">
        <v>315</v>
      </c>
      <c r="K196" s="1" t="s">
        <v>315</v>
      </c>
      <c r="L196" s="1" t="s">
        <v>315</v>
      </c>
      <c r="M196" s="1" t="s">
        <v>315</v>
      </c>
      <c r="N196" s="1" t="s">
        <v>315</v>
      </c>
      <c r="O196" s="1" t="s">
        <v>315</v>
      </c>
      <c r="P196" s="1" t="s">
        <v>315</v>
      </c>
      <c r="Q196" s="1" t="s">
        <v>315</v>
      </c>
    </row>
    <row r="197" spans="1:17" x14ac:dyDescent="0.25">
      <c r="A197" s="5"/>
      <c r="D197" s="1" t="s">
        <v>317</v>
      </c>
      <c r="E197" s="1" t="s">
        <v>317</v>
      </c>
      <c r="F197" s="1" t="s">
        <v>317</v>
      </c>
      <c r="G197" s="1" t="s">
        <v>317</v>
      </c>
      <c r="H197" s="1" t="s">
        <v>317</v>
      </c>
      <c r="I197" s="1" t="s">
        <v>317</v>
      </c>
      <c r="J197" s="1" t="s">
        <v>317</v>
      </c>
      <c r="K197" s="1" t="s">
        <v>317</v>
      </c>
      <c r="L197" s="1" t="s">
        <v>317</v>
      </c>
      <c r="M197" s="1" t="s">
        <v>317</v>
      </c>
      <c r="N197" s="1" t="s">
        <v>317</v>
      </c>
      <c r="O197" s="1" t="s">
        <v>317</v>
      </c>
      <c r="P197" s="1" t="s">
        <v>317</v>
      </c>
      <c r="Q197" s="1" t="s">
        <v>317</v>
      </c>
    </row>
    <row r="198" spans="1:17" x14ac:dyDescent="0.25">
      <c r="A198" s="4" t="s">
        <v>332</v>
      </c>
      <c r="B198" t="s">
        <v>333</v>
      </c>
      <c r="C198" t="s">
        <v>333</v>
      </c>
      <c r="D198" s="1" t="s">
        <v>117</v>
      </c>
      <c r="E198" s="1" t="s">
        <v>117</v>
      </c>
      <c r="F198" s="1" t="s">
        <v>117</v>
      </c>
      <c r="G198" s="1" t="s">
        <v>117</v>
      </c>
      <c r="H198" s="1" t="s">
        <v>117</v>
      </c>
      <c r="I198" s="1" t="s">
        <v>117</v>
      </c>
      <c r="J198" s="1" t="s">
        <v>117</v>
      </c>
      <c r="K198" s="1" t="s">
        <v>117</v>
      </c>
      <c r="L198" s="1" t="s">
        <v>117</v>
      </c>
      <c r="M198" s="1" t="s">
        <v>117</v>
      </c>
      <c r="N198" s="1" t="s">
        <v>117</v>
      </c>
      <c r="O198" s="1" t="s">
        <v>117</v>
      </c>
      <c r="P198" s="1" t="s">
        <v>117</v>
      </c>
      <c r="Q198" s="1" t="s">
        <v>117</v>
      </c>
    </row>
    <row r="199" spans="1:17" x14ac:dyDescent="0.25">
      <c r="A199" s="4" t="s">
        <v>340</v>
      </c>
      <c r="B199" t="s">
        <v>341</v>
      </c>
      <c r="C199" t="s">
        <v>341</v>
      </c>
      <c r="D199" s="1" t="s">
        <v>119</v>
      </c>
      <c r="E199" s="1" t="s">
        <v>119</v>
      </c>
      <c r="F199" s="1" t="s">
        <v>119</v>
      </c>
      <c r="G199" s="1" t="s">
        <v>119</v>
      </c>
      <c r="H199" s="1" t="s">
        <v>119</v>
      </c>
      <c r="I199" s="1" t="s">
        <v>119</v>
      </c>
      <c r="J199" s="1" t="s">
        <v>119</v>
      </c>
      <c r="K199" s="1" t="s">
        <v>119</v>
      </c>
      <c r="L199" s="1" t="s">
        <v>119</v>
      </c>
      <c r="M199" s="1" t="s">
        <v>119</v>
      </c>
      <c r="N199" s="1" t="s">
        <v>119</v>
      </c>
      <c r="O199" s="1" t="s">
        <v>119</v>
      </c>
      <c r="P199" s="1" t="s">
        <v>119</v>
      </c>
      <c r="Q199" s="1" t="s">
        <v>119</v>
      </c>
    </row>
    <row r="200" spans="1:17" x14ac:dyDescent="0.25">
      <c r="A200" s="4" t="s">
        <v>342</v>
      </c>
      <c r="B200" t="s">
        <v>343</v>
      </c>
      <c r="C200" t="s">
        <v>343</v>
      </c>
      <c r="D200" s="1" t="s">
        <v>319</v>
      </c>
      <c r="E200" s="1" t="s">
        <v>319</v>
      </c>
      <c r="F200" s="1" t="s">
        <v>319</v>
      </c>
      <c r="G200" s="1" t="s">
        <v>319</v>
      </c>
      <c r="H200" s="1" t="s">
        <v>319</v>
      </c>
      <c r="I200" s="1" t="s">
        <v>319</v>
      </c>
      <c r="J200" s="1" t="s">
        <v>319</v>
      </c>
      <c r="K200" s="1" t="s">
        <v>319</v>
      </c>
      <c r="L200" s="1" t="s">
        <v>319</v>
      </c>
      <c r="M200" s="1" t="s">
        <v>319</v>
      </c>
      <c r="N200" s="1" t="s">
        <v>319</v>
      </c>
      <c r="O200" s="1" t="s">
        <v>319</v>
      </c>
      <c r="P200" s="1" t="s">
        <v>319</v>
      </c>
      <c r="Q200" s="1" t="s">
        <v>319</v>
      </c>
    </row>
    <row r="201" spans="1:17" x14ac:dyDescent="0.25">
      <c r="A201" s="4" t="s">
        <v>338</v>
      </c>
      <c r="B201" t="s">
        <v>339</v>
      </c>
      <c r="C201" t="s">
        <v>339</v>
      </c>
      <c r="D201" s="1" t="s">
        <v>320</v>
      </c>
      <c r="E201" s="1" t="s">
        <v>320</v>
      </c>
      <c r="F201" s="1" t="s">
        <v>320</v>
      </c>
      <c r="G201" s="1" t="s">
        <v>320</v>
      </c>
      <c r="H201" s="1" t="s">
        <v>320</v>
      </c>
      <c r="I201" s="1" t="s">
        <v>320</v>
      </c>
      <c r="J201" s="1" t="s">
        <v>320</v>
      </c>
      <c r="K201" s="1" t="s">
        <v>320</v>
      </c>
      <c r="L201" s="1" t="s">
        <v>320</v>
      </c>
      <c r="M201" s="1" t="s">
        <v>320</v>
      </c>
      <c r="N201" s="1" t="s">
        <v>320</v>
      </c>
      <c r="O201" s="1" t="s">
        <v>320</v>
      </c>
      <c r="P201" s="1" t="s">
        <v>320</v>
      </c>
      <c r="Q201" s="1" t="s">
        <v>320</v>
      </c>
    </row>
    <row r="202" spans="1:17" x14ac:dyDescent="0.25">
      <c r="A202" s="5"/>
      <c r="D202" s="1" t="s">
        <v>322</v>
      </c>
      <c r="E202" s="1" t="s">
        <v>322</v>
      </c>
      <c r="F202" s="1" t="s">
        <v>322</v>
      </c>
      <c r="G202" s="1" t="s">
        <v>322</v>
      </c>
      <c r="H202" s="1" t="s">
        <v>322</v>
      </c>
      <c r="I202" s="1" t="s">
        <v>322</v>
      </c>
      <c r="J202" s="1" t="s">
        <v>322</v>
      </c>
      <c r="K202" s="1" t="s">
        <v>322</v>
      </c>
      <c r="L202" s="1" t="s">
        <v>322</v>
      </c>
      <c r="M202" s="1" t="s">
        <v>322</v>
      </c>
      <c r="N202" s="1" t="s">
        <v>322</v>
      </c>
      <c r="O202" s="1" t="s">
        <v>322</v>
      </c>
      <c r="P202" s="1" t="s">
        <v>322</v>
      </c>
      <c r="Q202" s="1" t="s">
        <v>322</v>
      </c>
    </row>
    <row r="203" spans="1:17" x14ac:dyDescent="0.25">
      <c r="A203" s="4" t="s">
        <v>332</v>
      </c>
      <c r="B203" t="s">
        <v>333</v>
      </c>
      <c r="C203" t="s">
        <v>333</v>
      </c>
      <c r="D203" s="1" t="s">
        <v>115</v>
      </c>
      <c r="E203" s="1" t="s">
        <v>115</v>
      </c>
      <c r="F203" s="1" t="s">
        <v>115</v>
      </c>
      <c r="G203" s="1" t="s">
        <v>115</v>
      </c>
      <c r="H203" s="1" t="s">
        <v>115</v>
      </c>
      <c r="I203" s="1" t="s">
        <v>115</v>
      </c>
      <c r="J203" s="1" t="s">
        <v>115</v>
      </c>
      <c r="K203" s="1" t="s">
        <v>115</v>
      </c>
      <c r="L203" s="1" t="s">
        <v>115</v>
      </c>
      <c r="M203" s="1" t="s">
        <v>115</v>
      </c>
      <c r="N203" s="1" t="s">
        <v>115</v>
      </c>
      <c r="O203" s="1" t="s">
        <v>115</v>
      </c>
      <c r="P203" s="1" t="s">
        <v>115</v>
      </c>
      <c r="Q203" s="1" t="s">
        <v>115</v>
      </c>
    </row>
    <row r="204" spans="1:17" x14ac:dyDescent="0.25">
      <c r="A204" s="4" t="s">
        <v>344</v>
      </c>
      <c r="B204" t="s">
        <v>345</v>
      </c>
      <c r="C204" t="s">
        <v>345</v>
      </c>
      <c r="D204" s="1" t="s">
        <v>88</v>
      </c>
      <c r="E204" s="1" t="s">
        <v>88</v>
      </c>
      <c r="F204" s="1" t="s">
        <v>88</v>
      </c>
      <c r="G204" s="1" t="s">
        <v>88</v>
      </c>
      <c r="H204" s="1" t="s">
        <v>88</v>
      </c>
      <c r="I204" s="1" t="s">
        <v>88</v>
      </c>
      <c r="J204" s="1" t="s">
        <v>88</v>
      </c>
      <c r="K204" s="1" t="s">
        <v>88</v>
      </c>
      <c r="L204" s="1" t="s">
        <v>88</v>
      </c>
      <c r="M204" s="1" t="s">
        <v>88</v>
      </c>
      <c r="N204" s="1" t="s">
        <v>88</v>
      </c>
      <c r="O204" s="1" t="s">
        <v>88</v>
      </c>
      <c r="P204" s="1" t="s">
        <v>88</v>
      </c>
      <c r="Q204" s="1" t="s">
        <v>88</v>
      </c>
    </row>
    <row r="205" spans="1:17" x14ac:dyDescent="0.25">
      <c r="A205" s="4" t="s">
        <v>346</v>
      </c>
      <c r="B205" t="s">
        <v>347</v>
      </c>
      <c r="C205" t="s">
        <v>347</v>
      </c>
      <c r="D205" s="1" t="s">
        <v>119</v>
      </c>
      <c r="E205" s="1" t="s">
        <v>119</v>
      </c>
      <c r="F205" s="1" t="s">
        <v>119</v>
      </c>
      <c r="G205" s="1" t="s">
        <v>119</v>
      </c>
      <c r="H205" s="1" t="s">
        <v>119</v>
      </c>
      <c r="I205" s="1" t="s">
        <v>119</v>
      </c>
      <c r="J205" s="1" t="s">
        <v>119</v>
      </c>
      <c r="K205" s="1" t="s">
        <v>119</v>
      </c>
      <c r="L205" s="1" t="s">
        <v>119</v>
      </c>
      <c r="M205" s="1" t="s">
        <v>119</v>
      </c>
      <c r="N205" s="1" t="s">
        <v>119</v>
      </c>
      <c r="O205" s="1" t="s">
        <v>119</v>
      </c>
      <c r="P205" s="1" t="s">
        <v>119</v>
      </c>
      <c r="Q205" s="1" t="s">
        <v>119</v>
      </c>
    </row>
    <row r="206" spans="1:17" x14ac:dyDescent="0.25">
      <c r="A206" s="4" t="s">
        <v>338</v>
      </c>
      <c r="B206" t="s">
        <v>339</v>
      </c>
      <c r="C206" t="s">
        <v>339</v>
      </c>
      <c r="D206" s="1" t="s">
        <v>348</v>
      </c>
      <c r="E206" s="1" t="s">
        <v>348</v>
      </c>
      <c r="F206" s="1" t="s">
        <v>348</v>
      </c>
      <c r="G206" s="1" t="s">
        <v>348</v>
      </c>
      <c r="H206" s="1" t="s">
        <v>348</v>
      </c>
      <c r="I206" s="1" t="s">
        <v>348</v>
      </c>
      <c r="J206" s="1" t="s">
        <v>348</v>
      </c>
      <c r="K206" s="1" t="s">
        <v>348</v>
      </c>
      <c r="L206" s="1" t="s">
        <v>348</v>
      </c>
      <c r="M206" s="1" t="s">
        <v>348</v>
      </c>
      <c r="N206" s="1" t="s">
        <v>348</v>
      </c>
      <c r="O206" s="1" t="s">
        <v>348</v>
      </c>
      <c r="P206" s="1" t="s">
        <v>348</v>
      </c>
      <c r="Q206" s="1" t="s">
        <v>348</v>
      </c>
    </row>
    <row r="207" spans="1:17" x14ac:dyDescent="0.25">
      <c r="A207" s="4" t="s">
        <v>332</v>
      </c>
      <c r="B207" t="s">
        <v>333</v>
      </c>
      <c r="C207" t="s">
        <v>333</v>
      </c>
      <c r="E207" s="1"/>
      <c r="F207" s="1"/>
      <c r="G207" s="1"/>
      <c r="H207" s="1"/>
      <c r="I207" s="1"/>
      <c r="J207" s="1"/>
      <c r="K207" s="1"/>
      <c r="L207" s="1"/>
      <c r="M207" s="1"/>
      <c r="N207" s="1"/>
      <c r="O207" s="1"/>
      <c r="P207" s="1"/>
      <c r="Q207" s="1"/>
    </row>
    <row r="208" spans="1:17" x14ac:dyDescent="0.25">
      <c r="A208" s="4" t="s">
        <v>349</v>
      </c>
      <c r="B208" t="s">
        <v>350</v>
      </c>
      <c r="C208" t="s">
        <v>350</v>
      </c>
      <c r="D208" s="1" t="s">
        <v>351</v>
      </c>
      <c r="E208" s="1" t="s">
        <v>351</v>
      </c>
      <c r="F208" s="1" t="s">
        <v>351</v>
      </c>
      <c r="G208" s="1" t="s">
        <v>351</v>
      </c>
      <c r="H208" s="1" t="s">
        <v>351</v>
      </c>
      <c r="I208" s="1" t="s">
        <v>351</v>
      </c>
      <c r="J208" s="1" t="s">
        <v>351</v>
      </c>
      <c r="K208" s="1" t="s">
        <v>351</v>
      </c>
      <c r="L208" s="1" t="s">
        <v>351</v>
      </c>
      <c r="M208" s="1" t="s">
        <v>351</v>
      </c>
      <c r="N208" s="1" t="s">
        <v>351</v>
      </c>
      <c r="O208" s="1" t="s">
        <v>351</v>
      </c>
      <c r="P208" s="1" t="s">
        <v>351</v>
      </c>
      <c r="Q208" s="1" t="s">
        <v>351</v>
      </c>
    </row>
    <row r="209" spans="1:17" x14ac:dyDescent="0.25">
      <c r="A209" s="4" t="s">
        <v>352</v>
      </c>
      <c r="B209" t="s">
        <v>353</v>
      </c>
      <c r="C209" t="s">
        <v>353</v>
      </c>
      <c r="D209" s="1" t="s">
        <v>354</v>
      </c>
      <c r="E209" s="1" t="s">
        <v>354</v>
      </c>
      <c r="F209" s="1" t="s">
        <v>354</v>
      </c>
      <c r="G209" s="1" t="s">
        <v>354</v>
      </c>
      <c r="H209" s="1" t="s">
        <v>354</v>
      </c>
      <c r="I209" s="1" t="s">
        <v>354</v>
      </c>
      <c r="J209" s="1" t="s">
        <v>354</v>
      </c>
      <c r="K209" s="1" t="s">
        <v>354</v>
      </c>
      <c r="L209" s="1" t="s">
        <v>354</v>
      </c>
      <c r="M209" s="1" t="s">
        <v>354</v>
      </c>
      <c r="N209" s="1" t="s">
        <v>354</v>
      </c>
      <c r="O209" s="1" t="s">
        <v>354</v>
      </c>
      <c r="P209" s="1" t="s">
        <v>354</v>
      </c>
      <c r="Q209" s="1" t="s">
        <v>354</v>
      </c>
    </row>
    <row r="210" spans="1:17" x14ac:dyDescent="0.25">
      <c r="A210" s="4" t="s">
        <v>338</v>
      </c>
      <c r="B210" t="s">
        <v>339</v>
      </c>
      <c r="C210" t="s">
        <v>339</v>
      </c>
      <c r="D210" s="1" t="s">
        <v>355</v>
      </c>
      <c r="E210" s="1" t="s">
        <v>355</v>
      </c>
      <c r="F210" s="1" t="s">
        <v>355</v>
      </c>
      <c r="G210" s="1" t="s">
        <v>355</v>
      </c>
      <c r="H210" s="1" t="s">
        <v>355</v>
      </c>
      <c r="I210" s="1" t="s">
        <v>355</v>
      </c>
      <c r="J210" s="1" t="s">
        <v>355</v>
      </c>
      <c r="K210" s="1" t="s">
        <v>355</v>
      </c>
      <c r="L210" s="1" t="s">
        <v>355</v>
      </c>
      <c r="M210" s="1" t="s">
        <v>355</v>
      </c>
      <c r="N210" s="1" t="s">
        <v>355</v>
      </c>
      <c r="O210" s="1" t="s">
        <v>355</v>
      </c>
      <c r="P210" s="1" t="s">
        <v>355</v>
      </c>
      <c r="Q210" s="1" t="s">
        <v>355</v>
      </c>
    </row>
    <row r="211" spans="1:17" x14ac:dyDescent="0.25">
      <c r="A211" s="4" t="s">
        <v>356</v>
      </c>
      <c r="B211" t="s">
        <v>357</v>
      </c>
      <c r="C211" t="s">
        <v>357</v>
      </c>
      <c r="D211" s="1" t="s">
        <v>358</v>
      </c>
      <c r="E211" s="1" t="s">
        <v>358</v>
      </c>
      <c r="F211" s="1" t="s">
        <v>358</v>
      </c>
      <c r="G211" s="1" t="s">
        <v>358</v>
      </c>
      <c r="H211" s="1" t="s">
        <v>358</v>
      </c>
      <c r="I211" s="1" t="s">
        <v>358</v>
      </c>
      <c r="J211" s="1" t="s">
        <v>358</v>
      </c>
      <c r="K211" s="1" t="s">
        <v>358</v>
      </c>
      <c r="L211" s="1" t="s">
        <v>358</v>
      </c>
      <c r="M211" s="1" t="s">
        <v>358</v>
      </c>
      <c r="N211" s="1" t="s">
        <v>358</v>
      </c>
      <c r="O211" s="1" t="s">
        <v>358</v>
      </c>
      <c r="P211" s="1" t="s">
        <v>358</v>
      </c>
      <c r="Q211" s="1" t="s">
        <v>358</v>
      </c>
    </row>
    <row r="212" spans="1:17" x14ac:dyDescent="0.25">
      <c r="A212" s="4" t="s">
        <v>359</v>
      </c>
      <c r="B212" t="s">
        <v>360</v>
      </c>
      <c r="C212" t="s">
        <v>360</v>
      </c>
      <c r="D212" s="1" t="s">
        <v>42</v>
      </c>
      <c r="E212" s="1" t="s">
        <v>42</v>
      </c>
      <c r="F212" s="1" t="s">
        <v>42</v>
      </c>
      <c r="G212" s="1" t="s">
        <v>42</v>
      </c>
      <c r="H212" s="1" t="s">
        <v>42</v>
      </c>
      <c r="I212" s="1" t="s">
        <v>42</v>
      </c>
      <c r="J212" s="1" t="s">
        <v>42</v>
      </c>
      <c r="K212" s="1" t="s">
        <v>42</v>
      </c>
      <c r="L212" s="1" t="s">
        <v>42</v>
      </c>
      <c r="M212" s="1" t="s">
        <v>42</v>
      </c>
      <c r="N212" s="1" t="s">
        <v>42</v>
      </c>
      <c r="O212" s="1" t="s">
        <v>42</v>
      </c>
      <c r="P212" s="1" t="s">
        <v>42</v>
      </c>
      <c r="Q212" s="1" t="s">
        <v>42</v>
      </c>
    </row>
    <row r="213" spans="1:17" x14ac:dyDescent="0.25">
      <c r="A213" s="4" t="s">
        <v>361</v>
      </c>
      <c r="B213" t="s">
        <v>362</v>
      </c>
      <c r="C213" t="s">
        <v>362</v>
      </c>
      <c r="D213" s="1" t="s">
        <v>363</v>
      </c>
      <c r="E213" s="1" t="s">
        <v>363</v>
      </c>
      <c r="F213" s="1" t="s">
        <v>363</v>
      </c>
      <c r="G213" s="1" t="s">
        <v>363</v>
      </c>
      <c r="H213" s="1" t="s">
        <v>363</v>
      </c>
      <c r="I213" s="1" t="s">
        <v>363</v>
      </c>
      <c r="J213" s="1" t="s">
        <v>363</v>
      </c>
      <c r="K213" s="1" t="s">
        <v>363</v>
      </c>
      <c r="L213" s="1" t="s">
        <v>363</v>
      </c>
      <c r="M213" s="1" t="s">
        <v>363</v>
      </c>
      <c r="N213" s="1" t="s">
        <v>363</v>
      </c>
      <c r="O213" s="1" t="s">
        <v>363</v>
      </c>
      <c r="P213" s="1" t="s">
        <v>363</v>
      </c>
      <c r="Q213" s="1" t="s">
        <v>363</v>
      </c>
    </row>
    <row r="214" spans="1:17" x14ac:dyDescent="0.25">
      <c r="A214" s="4" t="s">
        <v>338</v>
      </c>
      <c r="B214" t="s">
        <v>339</v>
      </c>
      <c r="C214" t="s">
        <v>339</v>
      </c>
      <c r="D214" s="1" t="s">
        <v>364</v>
      </c>
      <c r="E214" s="1" t="s">
        <v>364</v>
      </c>
      <c r="F214" s="1" t="s">
        <v>364</v>
      </c>
      <c r="G214" s="1" t="s">
        <v>364</v>
      </c>
      <c r="H214" s="1" t="s">
        <v>364</v>
      </c>
      <c r="I214" s="1" t="s">
        <v>364</v>
      </c>
      <c r="J214" s="1" t="s">
        <v>364</v>
      </c>
      <c r="K214" s="1" t="s">
        <v>364</v>
      </c>
      <c r="L214" s="1" t="s">
        <v>364</v>
      </c>
      <c r="M214" s="1" t="s">
        <v>364</v>
      </c>
      <c r="N214" s="1" t="s">
        <v>364</v>
      </c>
      <c r="O214" s="1" t="s">
        <v>364</v>
      </c>
      <c r="P214" s="1" t="s">
        <v>364</v>
      </c>
      <c r="Q214" s="1" t="s">
        <v>364</v>
      </c>
    </row>
    <row r="215" spans="1:17" x14ac:dyDescent="0.25">
      <c r="A215" s="4" t="s">
        <v>356</v>
      </c>
      <c r="B215" t="s">
        <v>357</v>
      </c>
      <c r="C215" t="s">
        <v>357</v>
      </c>
      <c r="D215" s="1" t="s">
        <v>365</v>
      </c>
      <c r="E215" s="1" t="s">
        <v>365</v>
      </c>
      <c r="F215" s="1" t="s">
        <v>365</v>
      </c>
      <c r="G215" s="1" t="s">
        <v>365</v>
      </c>
      <c r="H215" s="1" t="s">
        <v>365</v>
      </c>
      <c r="I215" s="1" t="s">
        <v>365</v>
      </c>
      <c r="J215" s="1" t="s">
        <v>365</v>
      </c>
      <c r="K215" s="1" t="s">
        <v>365</v>
      </c>
      <c r="L215" s="1" t="s">
        <v>365</v>
      </c>
      <c r="M215" s="1" t="s">
        <v>365</v>
      </c>
      <c r="N215" s="1" t="s">
        <v>365</v>
      </c>
      <c r="O215" s="1" t="s">
        <v>365</v>
      </c>
      <c r="P215" s="1" t="s">
        <v>365</v>
      </c>
      <c r="Q215" s="1" t="s">
        <v>365</v>
      </c>
    </row>
    <row r="216" spans="1:17" x14ac:dyDescent="0.25">
      <c r="A216" s="4" t="s">
        <v>366</v>
      </c>
      <c r="B216" t="s">
        <v>367</v>
      </c>
      <c r="C216" t="s">
        <v>367</v>
      </c>
      <c r="D216" s="1" t="s">
        <v>368</v>
      </c>
      <c r="E216" s="1" t="s">
        <v>368</v>
      </c>
      <c r="F216" s="1" t="s">
        <v>368</v>
      </c>
      <c r="G216" s="1" t="s">
        <v>368</v>
      </c>
      <c r="H216" s="1" t="s">
        <v>368</v>
      </c>
      <c r="I216" s="1" t="s">
        <v>368</v>
      </c>
      <c r="J216" s="1" t="s">
        <v>368</v>
      </c>
      <c r="K216" s="1" t="s">
        <v>368</v>
      </c>
      <c r="L216" s="1" t="s">
        <v>368</v>
      </c>
      <c r="M216" s="1" t="s">
        <v>368</v>
      </c>
      <c r="N216" s="1" t="s">
        <v>368</v>
      </c>
      <c r="O216" s="1" t="s">
        <v>368</v>
      </c>
      <c r="P216" s="1" t="s">
        <v>368</v>
      </c>
      <c r="Q216" s="1" t="s">
        <v>368</v>
      </c>
    </row>
    <row r="217" spans="1:17" x14ac:dyDescent="0.25">
      <c r="A217" s="4" t="s">
        <v>369</v>
      </c>
      <c r="B217" t="s">
        <v>370</v>
      </c>
      <c r="C217" t="s">
        <v>370</v>
      </c>
      <c r="D217" s="1" t="s">
        <v>371</v>
      </c>
      <c r="E217" s="1" t="s">
        <v>371</v>
      </c>
      <c r="F217" s="1" t="s">
        <v>371</v>
      </c>
      <c r="G217" s="1" t="s">
        <v>371</v>
      </c>
      <c r="H217" s="1" t="s">
        <v>371</v>
      </c>
      <c r="I217" s="1" t="s">
        <v>371</v>
      </c>
      <c r="J217" s="1" t="s">
        <v>371</v>
      </c>
      <c r="K217" s="1" t="s">
        <v>371</v>
      </c>
      <c r="L217" s="1" t="s">
        <v>371</v>
      </c>
      <c r="M217" s="1" t="s">
        <v>371</v>
      </c>
      <c r="N217" s="1" t="s">
        <v>371</v>
      </c>
      <c r="O217" s="1" t="s">
        <v>371</v>
      </c>
      <c r="P217" s="1" t="s">
        <v>371</v>
      </c>
      <c r="Q217" s="1" t="s">
        <v>371</v>
      </c>
    </row>
    <row r="218" spans="1:17" x14ac:dyDescent="0.25">
      <c r="A218" s="4" t="s">
        <v>338</v>
      </c>
      <c r="B218" t="s">
        <v>339</v>
      </c>
      <c r="C218" t="s">
        <v>339</v>
      </c>
      <c r="D218" s="1" t="s">
        <v>372</v>
      </c>
      <c r="E218" s="1" t="s">
        <v>372</v>
      </c>
      <c r="F218" s="1" t="s">
        <v>372</v>
      </c>
      <c r="G218" s="1" t="s">
        <v>372</v>
      </c>
      <c r="H218" s="1" t="s">
        <v>372</v>
      </c>
      <c r="I218" s="1" t="s">
        <v>372</v>
      </c>
      <c r="J218" s="1" t="s">
        <v>372</v>
      </c>
      <c r="K218" s="1" t="s">
        <v>372</v>
      </c>
      <c r="L218" s="1" t="s">
        <v>372</v>
      </c>
      <c r="M218" s="1" t="s">
        <v>372</v>
      </c>
      <c r="N218" s="1" t="s">
        <v>372</v>
      </c>
      <c r="O218" s="1" t="s">
        <v>372</v>
      </c>
      <c r="P218" s="1" t="s">
        <v>372</v>
      </c>
      <c r="Q218" s="1" t="s">
        <v>372</v>
      </c>
    </row>
    <row r="219" spans="1:17" x14ac:dyDescent="0.25">
      <c r="A219" s="4" t="s">
        <v>114</v>
      </c>
      <c r="B219" t="s">
        <v>115</v>
      </c>
      <c r="C219" t="s">
        <v>115</v>
      </c>
      <c r="E219" s="1"/>
      <c r="F219" s="1"/>
      <c r="G219" s="1"/>
      <c r="H219" s="1"/>
      <c r="I219" s="1"/>
      <c r="J219" s="1"/>
      <c r="K219" s="1"/>
      <c r="L219" s="1"/>
      <c r="M219" s="1"/>
      <c r="N219" s="1"/>
      <c r="O219" s="1"/>
      <c r="P219" s="1"/>
      <c r="Q219" s="1"/>
    </row>
    <row r="220" spans="1:17" x14ac:dyDescent="0.25">
      <c r="A220" s="4" t="s">
        <v>87</v>
      </c>
      <c r="B220" t="s">
        <v>88</v>
      </c>
      <c r="C220" t="s">
        <v>88</v>
      </c>
      <c r="E220" s="1"/>
      <c r="F220" s="1"/>
      <c r="G220" s="1"/>
      <c r="H220" s="1"/>
      <c r="I220" s="1"/>
      <c r="J220" s="1"/>
      <c r="K220" s="1"/>
      <c r="L220" s="1"/>
      <c r="M220" s="1"/>
      <c r="N220" s="1"/>
      <c r="O220" s="1"/>
      <c r="P220" s="1"/>
      <c r="Q220" s="1"/>
    </row>
    <row r="221" spans="1:17" x14ac:dyDescent="0.25">
      <c r="A221" s="4" t="s">
        <v>118</v>
      </c>
      <c r="B221" t="s">
        <v>119</v>
      </c>
      <c r="C221" t="s">
        <v>119</v>
      </c>
      <c r="E221" s="1"/>
      <c r="F221" s="1"/>
      <c r="G221" s="1"/>
      <c r="H221" s="1"/>
      <c r="I221" s="1"/>
      <c r="J221" s="1"/>
      <c r="K221" s="1"/>
      <c r="L221" s="1"/>
      <c r="M221" s="1"/>
      <c r="N221" s="1"/>
      <c r="O221" s="1"/>
      <c r="P221" s="1"/>
      <c r="Q221" s="1"/>
    </row>
    <row r="222" spans="1:17" x14ac:dyDescent="0.25">
      <c r="A222" s="5"/>
      <c r="E222" s="1"/>
      <c r="F222" s="1"/>
      <c r="G222" s="1"/>
      <c r="H222" s="1"/>
      <c r="I222" s="1"/>
      <c r="J222" s="1"/>
      <c r="K222" s="1"/>
      <c r="L222" s="1"/>
      <c r="M222" s="1"/>
      <c r="N222" s="1"/>
      <c r="O222" s="1"/>
      <c r="P222" s="1"/>
      <c r="Q222" s="1"/>
    </row>
    <row r="223" spans="1:17" x14ac:dyDescent="0.25">
      <c r="A223" s="4" t="s">
        <v>373</v>
      </c>
      <c r="B223" t="s">
        <v>124</v>
      </c>
      <c r="C223" t="s">
        <v>124</v>
      </c>
      <c r="E223" s="1"/>
      <c r="F223" s="1"/>
      <c r="G223" s="1"/>
      <c r="H223" s="1"/>
      <c r="I223" s="1"/>
      <c r="J223" s="1"/>
      <c r="K223" s="1"/>
      <c r="L223" s="1"/>
      <c r="M223" s="1"/>
      <c r="N223" s="1"/>
      <c r="O223" s="1"/>
      <c r="P223" s="1"/>
      <c r="Q223" s="1"/>
    </row>
    <row r="224" spans="1:17" x14ac:dyDescent="0.25">
      <c r="A224" s="4" t="s">
        <v>325</v>
      </c>
      <c r="B224" t="s">
        <v>127</v>
      </c>
      <c r="C224" t="s">
        <v>127</v>
      </c>
      <c r="E224" s="1"/>
      <c r="F224" s="1"/>
      <c r="G224" s="1"/>
      <c r="H224" s="1"/>
      <c r="I224" s="1"/>
      <c r="J224" s="1"/>
      <c r="K224" s="1"/>
      <c r="L224" s="1"/>
      <c r="M224" s="1"/>
      <c r="N224" s="1"/>
      <c r="O224" s="1"/>
      <c r="P224" s="1"/>
      <c r="Q224" s="1"/>
    </row>
    <row r="225" spans="1:17" x14ac:dyDescent="0.25">
      <c r="A225" s="4" t="s">
        <v>374</v>
      </c>
      <c r="B225" t="s">
        <v>130</v>
      </c>
      <c r="C225" t="s">
        <v>130</v>
      </c>
      <c r="E225" s="1"/>
      <c r="F225" s="1"/>
      <c r="G225" s="1"/>
      <c r="H225" s="1"/>
      <c r="I225" s="1"/>
      <c r="J225" s="1"/>
      <c r="K225" s="1"/>
      <c r="L225" s="1"/>
      <c r="M225" s="1"/>
      <c r="N225" s="1"/>
      <c r="O225" s="1"/>
      <c r="P225" s="1"/>
      <c r="Q225" s="1"/>
    </row>
    <row r="226" spans="1:17" x14ac:dyDescent="0.25">
      <c r="A226" s="4" t="s">
        <v>375</v>
      </c>
      <c r="B226" t="s">
        <v>133</v>
      </c>
      <c r="C226" t="s">
        <v>133</v>
      </c>
      <c r="E226" s="1"/>
      <c r="F226" s="1"/>
      <c r="G226" s="1"/>
      <c r="H226" s="1"/>
      <c r="I226" s="1"/>
      <c r="J226" s="1"/>
      <c r="K226" s="1"/>
      <c r="L226" s="1"/>
      <c r="M226" s="1"/>
      <c r="N226" s="1"/>
      <c r="O226" s="1"/>
      <c r="P226" s="1"/>
      <c r="Q226" s="1"/>
    </row>
    <row r="227" spans="1:17" x14ac:dyDescent="0.25">
      <c r="A227" s="4" t="s">
        <v>376</v>
      </c>
      <c r="B227" t="s">
        <v>135</v>
      </c>
      <c r="C227" t="s">
        <v>135</v>
      </c>
      <c r="E227" s="1"/>
      <c r="F227" s="1"/>
      <c r="G227" s="1"/>
      <c r="H227" s="1"/>
      <c r="I227" s="1"/>
      <c r="J227" s="1"/>
      <c r="K227" s="1"/>
      <c r="L227" s="1"/>
      <c r="M227" s="1"/>
      <c r="N227" s="1"/>
      <c r="O227" s="1"/>
      <c r="P227" s="1"/>
      <c r="Q227" s="1"/>
    </row>
    <row r="228" spans="1:17" x14ac:dyDescent="0.25">
      <c r="A228" s="4" t="s">
        <v>114</v>
      </c>
      <c r="B228" t="s">
        <v>115</v>
      </c>
      <c r="C228" t="s">
        <v>115</v>
      </c>
      <c r="E228" s="1"/>
      <c r="F228" s="1"/>
      <c r="G228" s="1"/>
      <c r="H228" s="1"/>
      <c r="I228" s="1"/>
      <c r="J228" s="1"/>
      <c r="K228" s="1"/>
      <c r="L228" s="1"/>
      <c r="M228" s="1"/>
      <c r="N228" s="1"/>
      <c r="O228" s="1"/>
      <c r="P228" s="1"/>
      <c r="Q228" s="1"/>
    </row>
    <row r="229" spans="1:17" x14ac:dyDescent="0.25">
      <c r="A229" s="5"/>
      <c r="E229" s="1"/>
      <c r="F229" s="1"/>
      <c r="G229" s="1"/>
      <c r="H229" s="1"/>
      <c r="I229" s="1"/>
      <c r="J229" s="1"/>
      <c r="K229" s="1"/>
      <c r="L229" s="1"/>
      <c r="M229" s="1"/>
      <c r="N229" s="1"/>
      <c r="O229" s="1"/>
      <c r="P229" s="1"/>
      <c r="Q229" s="1"/>
    </row>
    <row r="230" spans="1:17" x14ac:dyDescent="0.25">
      <c r="A230" s="4" t="s">
        <v>377</v>
      </c>
      <c r="B230" t="s">
        <v>378</v>
      </c>
      <c r="C230" t="s">
        <v>378</v>
      </c>
      <c r="E230" s="1"/>
      <c r="F230" s="1"/>
      <c r="G230" s="1"/>
      <c r="H230" s="1"/>
      <c r="I230" s="1"/>
      <c r="J230" s="1"/>
      <c r="K230" s="1"/>
      <c r="L230" s="1"/>
      <c r="M230" s="1"/>
      <c r="N230" s="1"/>
      <c r="O230" s="1"/>
      <c r="P230" s="1"/>
      <c r="Q230" s="1"/>
    </row>
    <row r="231" spans="1:17" x14ac:dyDescent="0.25">
      <c r="A231" s="4" t="s">
        <v>140</v>
      </c>
      <c r="B231" t="s">
        <v>140</v>
      </c>
      <c r="C231" t="s">
        <v>140</v>
      </c>
      <c r="E231" s="1"/>
      <c r="F231" s="1"/>
      <c r="G231" s="1"/>
      <c r="H231" s="1"/>
      <c r="I231" s="1"/>
      <c r="J231" s="1"/>
      <c r="K231" s="1"/>
      <c r="L231" s="1"/>
      <c r="M231" s="1"/>
      <c r="N231" s="1"/>
      <c r="O231" s="1"/>
      <c r="P231" s="1"/>
      <c r="Q231" s="1"/>
    </row>
    <row r="232" spans="1:17" x14ac:dyDescent="0.25">
      <c r="A232" s="4" t="s">
        <v>379</v>
      </c>
      <c r="B232" t="s">
        <v>143</v>
      </c>
      <c r="C232" t="s">
        <v>143</v>
      </c>
      <c r="E232" s="1"/>
      <c r="F232" s="1"/>
      <c r="G232" s="1"/>
      <c r="H232" s="1"/>
      <c r="I232" s="1"/>
      <c r="J232" s="1"/>
      <c r="K232" s="1"/>
      <c r="L232" s="1"/>
      <c r="M232" s="1"/>
      <c r="N232" s="1"/>
      <c r="O232" s="1"/>
      <c r="P232" s="1"/>
      <c r="Q232" s="1"/>
    </row>
    <row r="233" spans="1:17" x14ac:dyDescent="0.25">
      <c r="A233" s="4" t="s">
        <v>380</v>
      </c>
      <c r="B233" t="s">
        <v>146</v>
      </c>
      <c r="C233" t="s">
        <v>146</v>
      </c>
      <c r="E233" s="1"/>
      <c r="F233" s="1"/>
      <c r="G233" s="1"/>
      <c r="H233" s="1"/>
      <c r="I233" s="1"/>
      <c r="J233" s="1"/>
      <c r="K233" s="1"/>
      <c r="L233" s="1"/>
      <c r="M233" s="1"/>
      <c r="N233" s="1"/>
      <c r="O233" s="1"/>
      <c r="P233" s="1"/>
      <c r="Q233" s="1"/>
    </row>
    <row r="234" spans="1:17" x14ac:dyDescent="0.25">
      <c r="A234" s="4" t="s">
        <v>87</v>
      </c>
      <c r="B234" t="s">
        <v>88</v>
      </c>
      <c r="C234" t="s">
        <v>88</v>
      </c>
      <c r="E234" s="1"/>
      <c r="F234" s="1"/>
      <c r="G234" s="1"/>
      <c r="H234" s="1"/>
      <c r="I234" s="1"/>
      <c r="J234" s="1"/>
      <c r="K234" s="1"/>
      <c r="L234" s="1"/>
      <c r="M234" s="1"/>
      <c r="N234" s="1"/>
      <c r="O234" s="1"/>
      <c r="P234" s="1"/>
      <c r="Q234" s="1"/>
    </row>
    <row r="235" spans="1:17" x14ac:dyDescent="0.25">
      <c r="A235" s="4" t="s">
        <v>118</v>
      </c>
      <c r="B235" t="s">
        <v>119</v>
      </c>
      <c r="C235" t="s">
        <v>119</v>
      </c>
      <c r="E235" s="1"/>
      <c r="F235" s="1"/>
      <c r="G235" s="1"/>
      <c r="H235" s="1"/>
      <c r="I235" s="1"/>
      <c r="J235" s="1"/>
      <c r="K235" s="1"/>
      <c r="L235" s="1"/>
      <c r="M235" s="1"/>
      <c r="N235" s="1"/>
      <c r="O235" s="1"/>
      <c r="P235" s="1"/>
      <c r="Q235" s="1"/>
    </row>
    <row r="236" spans="1:17" x14ac:dyDescent="0.25">
      <c r="A236" s="4" t="s">
        <v>381</v>
      </c>
      <c r="B236" t="s">
        <v>348</v>
      </c>
      <c r="C236" t="s">
        <v>348</v>
      </c>
      <c r="E236" s="1"/>
      <c r="F236" s="1"/>
      <c r="G236" s="1"/>
      <c r="H236" s="1"/>
      <c r="I236" s="1"/>
      <c r="J236" s="1"/>
      <c r="K236" s="1"/>
      <c r="L236" s="1"/>
      <c r="M236" s="1"/>
      <c r="N236" s="1"/>
      <c r="O236" s="1"/>
      <c r="P236" s="1"/>
      <c r="Q236" s="1"/>
    </row>
    <row r="237" spans="1:17" x14ac:dyDescent="0.25">
      <c r="A237" s="5"/>
      <c r="E237" s="1"/>
      <c r="F237" s="1"/>
      <c r="G237" s="1"/>
      <c r="H237" s="1"/>
      <c r="I237" s="1"/>
      <c r="J237" s="1"/>
      <c r="K237" s="1"/>
      <c r="L237" s="1"/>
      <c r="M237" s="1"/>
      <c r="N237" s="1"/>
      <c r="O237" s="1"/>
      <c r="P237" s="1"/>
      <c r="Q237" s="1"/>
    </row>
    <row r="238" spans="1:17" x14ac:dyDescent="0.25">
      <c r="A238" s="4" t="s">
        <v>382</v>
      </c>
      <c r="B238" t="s">
        <v>351</v>
      </c>
      <c r="C238" t="s">
        <v>351</v>
      </c>
      <c r="E238" s="1"/>
      <c r="F238" s="1"/>
      <c r="G238" s="1"/>
      <c r="H238" s="1"/>
      <c r="I238" s="1"/>
      <c r="J238" s="1"/>
      <c r="K238" s="1"/>
      <c r="L238" s="1"/>
      <c r="M238" s="1"/>
      <c r="N238" s="1"/>
      <c r="O238" s="1"/>
      <c r="P238" s="1"/>
      <c r="Q238" s="1"/>
    </row>
    <row r="239" spans="1:17" x14ac:dyDescent="0.25">
      <c r="A239" s="4" t="s">
        <v>383</v>
      </c>
      <c r="B239" t="s">
        <v>354</v>
      </c>
      <c r="C239" t="s">
        <v>354</v>
      </c>
      <c r="E239" s="1"/>
      <c r="F239" s="1"/>
      <c r="G239" s="1"/>
      <c r="H239" s="1"/>
      <c r="I239" s="1"/>
      <c r="J239" s="1"/>
      <c r="K239" s="1"/>
      <c r="L239" s="1"/>
      <c r="M239" s="1"/>
      <c r="N239" s="1"/>
      <c r="O239" s="1"/>
      <c r="P239" s="1"/>
      <c r="Q239" s="1"/>
    </row>
    <row r="240" spans="1:17" x14ac:dyDescent="0.25">
      <c r="A240" s="4" t="s">
        <v>384</v>
      </c>
      <c r="B240" t="s">
        <v>355</v>
      </c>
      <c r="C240" t="s">
        <v>355</v>
      </c>
      <c r="E240" s="1"/>
      <c r="F240" s="1"/>
      <c r="G240" s="1"/>
      <c r="H240" s="1"/>
      <c r="I240" s="1"/>
      <c r="J240" s="1"/>
      <c r="K240" s="1"/>
      <c r="L240" s="1"/>
      <c r="M240" s="1"/>
      <c r="N240" s="1"/>
      <c r="O240" s="1"/>
      <c r="P240" s="1"/>
      <c r="Q240" s="1"/>
    </row>
    <row r="241" spans="1:17" x14ac:dyDescent="0.25">
      <c r="A241" s="4" t="s">
        <v>385</v>
      </c>
      <c r="B241" t="s">
        <v>358</v>
      </c>
      <c r="C241" t="s">
        <v>358</v>
      </c>
      <c r="E241" s="1"/>
      <c r="F241" s="1"/>
      <c r="G241" s="1"/>
      <c r="H241" s="1"/>
      <c r="I241" s="1"/>
      <c r="J241" s="1"/>
      <c r="K241" s="1"/>
      <c r="L241" s="1"/>
      <c r="M241" s="1"/>
      <c r="N241" s="1"/>
      <c r="O241" s="1"/>
      <c r="P241" s="1"/>
      <c r="Q241" s="1"/>
    </row>
    <row r="242" spans="1:17" x14ac:dyDescent="0.25">
      <c r="A242" s="4" t="s">
        <v>41</v>
      </c>
      <c r="B242" t="s">
        <v>42</v>
      </c>
      <c r="C242" t="s">
        <v>42</v>
      </c>
      <c r="E242" s="1"/>
      <c r="F242" s="1"/>
      <c r="G242" s="1"/>
      <c r="H242" s="1"/>
      <c r="I242" s="1"/>
      <c r="J242" s="1"/>
      <c r="K242" s="1"/>
      <c r="L242" s="1"/>
      <c r="M242" s="1"/>
      <c r="N242" s="1"/>
      <c r="O242" s="1"/>
      <c r="P242" s="1"/>
      <c r="Q242" s="1"/>
    </row>
    <row r="243" spans="1:17" x14ac:dyDescent="0.25">
      <c r="A243" s="4" t="s">
        <v>386</v>
      </c>
      <c r="B243" t="s">
        <v>363</v>
      </c>
      <c r="C243" t="s">
        <v>363</v>
      </c>
      <c r="E243" s="1"/>
      <c r="F243" s="1"/>
      <c r="G243" s="1"/>
      <c r="H243" s="1"/>
      <c r="I243" s="1"/>
      <c r="J243" s="1"/>
      <c r="K243" s="1"/>
      <c r="L243" s="1"/>
      <c r="M243" s="1"/>
      <c r="N243" s="1"/>
      <c r="O243" s="1"/>
      <c r="P243" s="1"/>
      <c r="Q243" s="1"/>
    </row>
    <row r="244" spans="1:17" x14ac:dyDescent="0.25">
      <c r="A244" s="4" t="s">
        <v>387</v>
      </c>
      <c r="B244" t="s">
        <v>364</v>
      </c>
      <c r="C244" t="s">
        <v>364</v>
      </c>
      <c r="E244" s="1"/>
      <c r="F244" s="1"/>
      <c r="G244" s="1"/>
      <c r="H244" s="1"/>
      <c r="I244" s="1"/>
      <c r="J244" s="1"/>
      <c r="K244" s="1"/>
      <c r="L244" s="1"/>
      <c r="M244" s="1"/>
      <c r="N244" s="1"/>
      <c r="O244" s="1"/>
      <c r="P244" s="1"/>
      <c r="Q244" s="1"/>
    </row>
    <row r="245" spans="1:17" x14ac:dyDescent="0.25">
      <c r="A245" s="4" t="s">
        <v>388</v>
      </c>
      <c r="B245" t="s">
        <v>365</v>
      </c>
      <c r="C245" t="s">
        <v>365</v>
      </c>
      <c r="E245" s="1"/>
      <c r="F245" s="1"/>
      <c r="G245" s="1"/>
      <c r="H245" s="1"/>
      <c r="I245" s="1"/>
      <c r="J245" s="1"/>
      <c r="K245" s="1"/>
      <c r="L245" s="1"/>
      <c r="M245" s="1"/>
      <c r="N245" s="1"/>
      <c r="O245" s="1"/>
      <c r="P245" s="1"/>
      <c r="Q245" s="1"/>
    </row>
    <row r="246" spans="1:17" x14ac:dyDescent="0.25">
      <c r="A246" s="4" t="s">
        <v>389</v>
      </c>
      <c r="B246" t="s">
        <v>368</v>
      </c>
      <c r="C246" t="s">
        <v>368</v>
      </c>
      <c r="E246" s="1"/>
      <c r="F246" s="1"/>
      <c r="G246" s="1"/>
      <c r="H246" s="1"/>
      <c r="I246" s="1"/>
      <c r="J246" s="1"/>
      <c r="K246" s="1"/>
      <c r="L246" s="1"/>
      <c r="M246" s="1"/>
      <c r="N246" s="1"/>
      <c r="O246" s="1"/>
      <c r="P246" s="1"/>
      <c r="Q246" s="1"/>
    </row>
    <row r="247" spans="1:17" x14ac:dyDescent="0.25">
      <c r="A247" s="9" t="s">
        <v>390</v>
      </c>
      <c r="B247" t="s">
        <v>371</v>
      </c>
      <c r="C247" t="s">
        <v>371</v>
      </c>
      <c r="E247" s="1"/>
      <c r="F247" s="1"/>
      <c r="G247" s="1"/>
      <c r="H247" s="1"/>
      <c r="I247" s="1"/>
      <c r="J247" s="1"/>
      <c r="K247" s="1"/>
      <c r="L247" s="1"/>
      <c r="M247" s="1"/>
      <c r="N247" s="1"/>
      <c r="O247" s="1"/>
      <c r="P247" s="1"/>
      <c r="Q247" s="1"/>
    </row>
    <row r="248" spans="1:17" x14ac:dyDescent="0.25">
      <c r="A248" s="3" t="s">
        <v>391</v>
      </c>
      <c r="B248" t="s">
        <v>372</v>
      </c>
      <c r="C248" t="s">
        <v>372</v>
      </c>
      <c r="E248" s="1"/>
      <c r="F248" s="1"/>
      <c r="G248" s="1"/>
      <c r="H248" s="1"/>
      <c r="I248" s="1"/>
      <c r="J248" s="1"/>
      <c r="K248" s="1"/>
      <c r="L248" s="1"/>
      <c r="M248" s="1"/>
      <c r="N248" s="1"/>
      <c r="O248" s="1"/>
      <c r="P248" s="1"/>
      <c r="Q248" s="1"/>
    </row>
  </sheetData>
  <pageMargins left="0.7" right="0.7" top="0.78749999999999998" bottom="0.78749999999999998"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Exerzitien_archive_de</vt:lpstr>
      <vt:lpstr>header_block_de</vt:lpstr>
      <vt:lpstr>form_block_de</vt:lpstr>
      <vt:lpstr>exerzitien-katalog</vt:lpstr>
      <vt:lpstr>Tabelle2</vt:lpstr>
      <vt:lpstr>Exerzitien_archive_en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Joshua Roe</dc:creator>
  <dc:description/>
  <cp:lastModifiedBy>Joshua Roe</cp:lastModifiedBy>
  <cp:revision>1</cp:revision>
  <dcterms:created xsi:type="dcterms:W3CDTF">2026-08-13T08:06:23Z</dcterms:created>
  <dcterms:modified xsi:type="dcterms:W3CDTF">2026-09-14T14:05:25Z</dcterms:modified>
  <dc:language>en-GB</dc:language>
</cp:coreProperties>
</file>