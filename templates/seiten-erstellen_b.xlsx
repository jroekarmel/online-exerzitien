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roe.AD\Documents\Code\online-exerzitien\templates\"/>
    </mc:Choice>
  </mc:AlternateContent>
  <xr:revisionPtr revIDLastSave="0" documentId="13_ncr:1_{84494F6C-2D9B-4670-BD0F-8433842F0311}" xr6:coauthVersionLast="47" xr6:coauthVersionMax="47" xr10:uidLastSave="{00000000-0000-0000-0000-000000000000}"/>
  <bookViews>
    <workbookView xWindow="28680" yWindow="-120" windowWidth="29040" windowHeight="15720" tabRatio="500" xr2:uid="{00000000-000D-0000-FFFF-FFFF00000000}"/>
  </bookViews>
  <sheets>
    <sheet name="Exerzitien_archive_de" sheetId="1" r:id="rId1"/>
    <sheet name="header_block_de" sheetId="2" r:id="rId2"/>
    <sheet name="form_block_de" sheetId="3" r:id="rId3"/>
    <sheet name="exerzitien-katalog" sheetId="4" r:id="rId4"/>
    <sheet name="Tabelle2" sheetId="5" r:id="rId5"/>
    <sheet name="Exerzitien_archive_en" sheetId="6" r:id="rId6"/>
  </sheets>
  <definedNames>
    <definedName name="Verbindung1" localSheetId="3" hidden="1">'exerzitien-katalog'!$A$1:$L$30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E62" i="1" l="1"/>
  <c r="AD62" i="1"/>
  <c r="AC62" i="1"/>
  <c r="AB62" i="1"/>
  <c r="AA62" i="1"/>
  <c r="Z62" i="1"/>
  <c r="Y62" i="1"/>
  <c r="X62" i="1"/>
  <c r="W62" i="1"/>
  <c r="V62" i="1"/>
  <c r="U62" i="1"/>
  <c r="T62" i="1"/>
  <c r="S62" i="1"/>
  <c r="R62" i="1"/>
  <c r="Q62" i="1"/>
  <c r="P62" i="1"/>
  <c r="O62" i="1"/>
  <c r="N62" i="1"/>
  <c r="M62" i="1"/>
  <c r="L62" i="1"/>
  <c r="K62" i="1"/>
  <c r="J62" i="1"/>
  <c r="I62" i="1"/>
  <c r="H62" i="1"/>
  <c r="G62" i="1"/>
  <c r="F62" i="1"/>
  <c r="E62" i="1"/>
  <c r="D62" i="1"/>
  <c r="C62" i="1"/>
  <c r="AE61" i="1"/>
  <c r="AD61" i="1"/>
  <c r="AC61" i="1"/>
  <c r="AB61" i="1"/>
  <c r="AA61" i="1"/>
  <c r="Z61" i="1"/>
  <c r="Y61" i="1"/>
  <c r="X61" i="1"/>
  <c r="W61" i="1"/>
  <c r="V61" i="1"/>
  <c r="U61" i="1"/>
  <c r="T61" i="1"/>
  <c r="S61" i="1"/>
  <c r="R61" i="1"/>
  <c r="Q61" i="1"/>
  <c r="P61" i="1"/>
  <c r="O61" i="1"/>
  <c r="N61" i="1"/>
  <c r="M61" i="1"/>
  <c r="L61" i="1"/>
  <c r="K61" i="1"/>
  <c r="J61" i="1"/>
  <c r="I61" i="1"/>
  <c r="H61" i="1"/>
  <c r="G61" i="1"/>
  <c r="F61" i="1"/>
  <c r="E61" i="1"/>
  <c r="D61" i="1"/>
  <c r="C61" i="1"/>
  <c r="AE15" i="1"/>
  <c r="AD15" i="1"/>
  <c r="AC15" i="1"/>
  <c r="AB15" i="1"/>
  <c r="AA15" i="1"/>
  <c r="Z15" i="1"/>
  <c r="Y15" i="1"/>
  <c r="X15" i="1"/>
  <c r="W15" i="1"/>
  <c r="V15" i="1"/>
  <c r="U15" i="1"/>
  <c r="T15" i="1"/>
  <c r="S15" i="1"/>
  <c r="R15" i="1"/>
  <c r="Q15" i="1"/>
  <c r="P15" i="1"/>
  <c r="O15" i="1"/>
  <c r="N15" i="1"/>
  <c r="M15" i="1"/>
  <c r="L15" i="1"/>
  <c r="K15" i="1"/>
  <c r="J15" i="1"/>
  <c r="I15" i="1"/>
  <c r="H15" i="1"/>
  <c r="G15" i="1"/>
  <c r="F15" i="1"/>
  <c r="E15" i="1"/>
  <c r="D15" i="1"/>
  <c r="C15" i="1"/>
  <c r="F113" i="1"/>
  <c r="G113" i="1"/>
  <c r="H113" i="1"/>
  <c r="I113" i="1"/>
  <c r="J113" i="1"/>
  <c r="K113" i="1"/>
  <c r="L113" i="1"/>
  <c r="M113" i="1"/>
  <c r="N113" i="1"/>
  <c r="O113" i="1"/>
  <c r="P113" i="1"/>
  <c r="Q113" i="1"/>
  <c r="R113" i="1"/>
  <c r="S113" i="1"/>
  <c r="T113" i="1"/>
  <c r="U113" i="1"/>
  <c r="V113" i="1"/>
  <c r="W113" i="1"/>
  <c r="X113" i="1"/>
  <c r="Y113" i="1"/>
  <c r="Z113" i="1"/>
  <c r="AA113" i="1"/>
  <c r="AB113" i="1"/>
  <c r="AC113" i="1"/>
  <c r="AD113" i="1"/>
  <c r="AE113" i="1"/>
  <c r="E113" i="1"/>
  <c r="AD3" i="1" a="1"/>
  <c r="AD3" i="1" s="1"/>
  <c r="AE3" i="1" a="1"/>
  <c r="AE3" i="1" s="1"/>
  <c r="AD4" i="1" a="1"/>
  <c r="AD4" i="1" s="1"/>
  <c r="AE4" i="1" a="1"/>
  <c r="AE4" i="1" s="1"/>
  <c r="AD5" i="1" a="1"/>
  <c r="AD5" i="1" s="1"/>
  <c r="AD65" i="1" s="1"/>
  <c r="AE5" i="1" a="1"/>
  <c r="AE5" i="1" s="1"/>
  <c r="AE65" i="1" s="1"/>
  <c r="AD6" i="1" a="1"/>
  <c r="AD6" i="1" s="1"/>
  <c r="AD77" i="1" s="1"/>
  <c r="AE6" i="1" a="1"/>
  <c r="AE6" i="1" s="1"/>
  <c r="AE77" i="1" s="1"/>
  <c r="AD7" i="1" a="1"/>
  <c r="AD7" i="1" s="1"/>
  <c r="AE7" i="1" a="1"/>
  <c r="AE7" i="1" s="1"/>
  <c r="AD8" i="1" a="1"/>
  <c r="AD8" i="1" s="1"/>
  <c r="AD63" i="1" s="1"/>
  <c r="AE8" i="1" a="1"/>
  <c r="AE8" i="1" s="1"/>
  <c r="AD9" i="1" a="1"/>
  <c r="AD9" i="1" s="1"/>
  <c r="AE9" i="1" a="1"/>
  <c r="AE9" i="1" s="1"/>
  <c r="AD27" i="1"/>
  <c r="AE27" i="1"/>
  <c r="AD64" i="1"/>
  <c r="AE64" i="1"/>
  <c r="AD90" i="1"/>
  <c r="AE90" i="1"/>
  <c r="V3" i="1" a="1"/>
  <c r="V3" i="1" s="1"/>
  <c r="W3" i="1" a="1"/>
  <c r="W3" i="1" s="1"/>
  <c r="X3" i="1" a="1"/>
  <c r="X3" i="1" s="1"/>
  <c r="Y3" i="1" a="1"/>
  <c r="Y3" i="1" s="1"/>
  <c r="Z3" i="1" a="1"/>
  <c r="Z3" i="1"/>
  <c r="AA3" i="1" a="1"/>
  <c r="AA3" i="1" s="1"/>
  <c r="AB3" i="1" a="1"/>
  <c r="AB3" i="1" s="1"/>
  <c r="AC3" i="1" a="1"/>
  <c r="AC3" i="1" s="1"/>
  <c r="V4" i="1" a="1"/>
  <c r="V4" i="1" s="1"/>
  <c r="W4" i="1" a="1"/>
  <c r="W4" i="1" s="1"/>
  <c r="X4" i="1" a="1"/>
  <c r="X4" i="1"/>
  <c r="Y4" i="1" a="1"/>
  <c r="Y4" i="1" s="1"/>
  <c r="Z4" i="1" a="1"/>
  <c r="Z4" i="1" s="1"/>
  <c r="AA4" i="1" a="1"/>
  <c r="AA4" i="1" s="1"/>
  <c r="AB4" i="1" a="1"/>
  <c r="AB4" i="1" s="1"/>
  <c r="AC4" i="1" a="1"/>
  <c r="AC4" i="1" s="1"/>
  <c r="V5" i="1" a="1"/>
  <c r="V5" i="1" s="1"/>
  <c r="V65" i="1" s="1"/>
  <c r="W5" i="1" a="1"/>
  <c r="W5" i="1" s="1"/>
  <c r="W65" i="1" s="1"/>
  <c r="X5" i="1" a="1"/>
  <c r="X5" i="1" s="1"/>
  <c r="X65" i="1" s="1"/>
  <c r="Y5" i="1" a="1"/>
  <c r="Y5" i="1" s="1"/>
  <c r="Y65" i="1" s="1"/>
  <c r="Z5" i="1" a="1"/>
  <c r="Z5" i="1" s="1"/>
  <c r="Z65" i="1" s="1"/>
  <c r="AA5" i="1" a="1"/>
  <c r="AA5" i="1" s="1"/>
  <c r="AA65" i="1" s="1"/>
  <c r="AB5" i="1" a="1"/>
  <c r="AB5" i="1"/>
  <c r="AC5" i="1" a="1"/>
  <c r="AC5" i="1" s="1"/>
  <c r="AC65" i="1" s="1"/>
  <c r="V6" i="1" a="1"/>
  <c r="V6" i="1" s="1"/>
  <c r="V77" i="1" s="1"/>
  <c r="W6" i="1" a="1"/>
  <c r="W6" i="1" s="1"/>
  <c r="W77" i="1" s="1"/>
  <c r="X6" i="1" a="1"/>
  <c r="X6" i="1" s="1"/>
  <c r="X77" i="1" s="1"/>
  <c r="Y6" i="1" a="1"/>
  <c r="Y6" i="1" s="1"/>
  <c r="Y77" i="1" s="1"/>
  <c r="Z6" i="1" a="1"/>
  <c r="Z6" i="1"/>
  <c r="Z77" i="1" s="1"/>
  <c r="AA6" i="1" a="1"/>
  <c r="AA6" i="1" s="1"/>
  <c r="AA77" i="1" s="1"/>
  <c r="AB6" i="1" a="1"/>
  <c r="AB6" i="1" s="1"/>
  <c r="AB77" i="1" s="1"/>
  <c r="AC6" i="1" a="1"/>
  <c r="AC6" i="1" s="1"/>
  <c r="AC77" i="1" s="1"/>
  <c r="V7" i="1" a="1"/>
  <c r="V7" i="1" s="1"/>
  <c r="W7" i="1" a="1"/>
  <c r="W7" i="1" s="1"/>
  <c r="X7" i="1" a="1"/>
  <c r="X7" i="1"/>
  <c r="Y7" i="1" a="1"/>
  <c r="Y7" i="1" s="1"/>
  <c r="Z7" i="1" a="1"/>
  <c r="Z7" i="1" s="1"/>
  <c r="AA7" i="1" a="1"/>
  <c r="AA7" i="1" s="1"/>
  <c r="AB7" i="1" a="1"/>
  <c r="AB7" i="1" s="1"/>
  <c r="AC7" i="1" a="1"/>
  <c r="AC7" i="1" s="1"/>
  <c r="V8" i="1" a="1"/>
  <c r="V8" i="1" s="1"/>
  <c r="V63" i="1" s="1"/>
  <c r="W8" i="1" a="1"/>
  <c r="W8" i="1" s="1"/>
  <c r="X8" i="1" a="1"/>
  <c r="X8" i="1" s="1"/>
  <c r="Y8" i="1" a="1"/>
  <c r="Y8" i="1" s="1"/>
  <c r="Z8" i="1" a="1"/>
  <c r="Z8" i="1" s="1"/>
  <c r="AA8" i="1" a="1"/>
  <c r="AA8" i="1" s="1"/>
  <c r="AA63" i="1" s="1"/>
  <c r="AB8" i="1" a="1"/>
  <c r="AB8" i="1" s="1"/>
  <c r="AC8" i="1" a="1"/>
  <c r="AC8" i="1" s="1"/>
  <c r="V9" i="1" a="1"/>
  <c r="V9" i="1" s="1"/>
  <c r="W9" i="1" a="1"/>
  <c r="W9" i="1" s="1"/>
  <c r="X9" i="1" a="1"/>
  <c r="X9" i="1" s="1"/>
  <c r="Y9" i="1" a="1"/>
  <c r="Y9" i="1" s="1"/>
  <c r="Z9" i="1" a="1"/>
  <c r="Z9" i="1" s="1"/>
  <c r="AA9" i="1" a="1"/>
  <c r="AA9" i="1" s="1"/>
  <c r="AB9" i="1" a="1"/>
  <c r="AB9" i="1" s="1"/>
  <c r="AC9" i="1" a="1"/>
  <c r="AC9" i="1" s="1"/>
  <c r="V27" i="1"/>
  <c r="W27" i="1"/>
  <c r="X27" i="1"/>
  <c r="Y27" i="1"/>
  <c r="Z27" i="1"/>
  <c r="AA27" i="1"/>
  <c r="AB27" i="1"/>
  <c r="AC27" i="1"/>
  <c r="V64" i="1"/>
  <c r="W64" i="1"/>
  <c r="X64" i="1"/>
  <c r="Y64" i="1"/>
  <c r="Z64" i="1"/>
  <c r="AA64" i="1"/>
  <c r="AB64" i="1"/>
  <c r="AC64" i="1"/>
  <c r="AB65" i="1"/>
  <c r="V90" i="1"/>
  <c r="W90" i="1"/>
  <c r="X90" i="1"/>
  <c r="Y90" i="1"/>
  <c r="Z90" i="1"/>
  <c r="AA90" i="1"/>
  <c r="AB90" i="1"/>
  <c r="AC90" i="1"/>
  <c r="I3" i="1" a="1"/>
  <c r="I3" i="1" s="1"/>
  <c r="J3" i="1" a="1"/>
  <c r="J3" i="1" s="1"/>
  <c r="K3" i="1" a="1"/>
  <c r="K3" i="1" s="1"/>
  <c r="L3" i="1" a="1"/>
  <c r="L3" i="1" s="1"/>
  <c r="M3" i="1" a="1"/>
  <c r="M3" i="1"/>
  <c r="N3" i="1" a="1"/>
  <c r="N3" i="1" s="1"/>
  <c r="O3" i="1" a="1"/>
  <c r="O3" i="1" s="1"/>
  <c r="P3" i="1" a="1"/>
  <c r="P3" i="1" s="1"/>
  <c r="Q3" i="1" a="1"/>
  <c r="Q3" i="1" s="1"/>
  <c r="R3" i="1" a="1"/>
  <c r="R3" i="1" s="1"/>
  <c r="S3" i="1" a="1"/>
  <c r="S3" i="1"/>
  <c r="T3" i="1" a="1"/>
  <c r="T3" i="1" s="1"/>
  <c r="U3" i="1" a="1"/>
  <c r="U3" i="1" s="1"/>
  <c r="I4" i="1" a="1"/>
  <c r="I4" i="1" s="1"/>
  <c r="J4" i="1" a="1"/>
  <c r="J4" i="1" s="1"/>
  <c r="K4" i="1" a="1"/>
  <c r="K4" i="1" s="1"/>
  <c r="L4" i="1" a="1"/>
  <c r="L4" i="1"/>
  <c r="M4" i="1" a="1"/>
  <c r="M4" i="1" s="1"/>
  <c r="N4" i="1" a="1"/>
  <c r="N4" i="1" s="1"/>
  <c r="O4" i="1" a="1"/>
  <c r="O4" i="1" s="1"/>
  <c r="P4" i="1" a="1"/>
  <c r="P4" i="1" s="1"/>
  <c r="Q4" i="1" a="1"/>
  <c r="Q4" i="1" s="1"/>
  <c r="R4" i="1" a="1"/>
  <c r="R4" i="1"/>
  <c r="S4" i="1" a="1"/>
  <c r="S4" i="1" s="1"/>
  <c r="T4" i="1" a="1"/>
  <c r="T4" i="1" s="1"/>
  <c r="U4" i="1" a="1"/>
  <c r="U4" i="1" s="1"/>
  <c r="I5" i="1" a="1"/>
  <c r="I5" i="1" s="1"/>
  <c r="I65" i="1" s="1"/>
  <c r="J5" i="1" a="1"/>
  <c r="J5" i="1" s="1"/>
  <c r="J65" i="1" s="1"/>
  <c r="K5" i="1" a="1"/>
  <c r="K5" i="1"/>
  <c r="L5" i="1" a="1"/>
  <c r="L5" i="1" s="1"/>
  <c r="L65" i="1" s="1"/>
  <c r="M5" i="1" a="1"/>
  <c r="M5" i="1" s="1"/>
  <c r="M65" i="1" s="1"/>
  <c r="N5" i="1" a="1"/>
  <c r="N5" i="1" s="1"/>
  <c r="N65" i="1" s="1"/>
  <c r="O5" i="1" a="1"/>
  <c r="O5" i="1" s="1"/>
  <c r="O65" i="1" s="1"/>
  <c r="P5" i="1" a="1"/>
  <c r="P5" i="1" s="1"/>
  <c r="P65" i="1" s="1"/>
  <c r="Q5" i="1" a="1"/>
  <c r="Q5" i="1"/>
  <c r="Q65" i="1" s="1"/>
  <c r="R5" i="1" a="1"/>
  <c r="R5" i="1" s="1"/>
  <c r="R65" i="1" s="1"/>
  <c r="S5" i="1" a="1"/>
  <c r="S5" i="1" s="1"/>
  <c r="S65" i="1" s="1"/>
  <c r="T5" i="1" a="1"/>
  <c r="T5" i="1" s="1"/>
  <c r="T65" i="1" s="1"/>
  <c r="U5" i="1" a="1"/>
  <c r="U5" i="1" s="1"/>
  <c r="U65" i="1" s="1"/>
  <c r="I6" i="1" a="1"/>
  <c r="I6" i="1" s="1"/>
  <c r="I77" i="1" s="1"/>
  <c r="J6" i="1" a="1"/>
  <c r="J6" i="1"/>
  <c r="K6" i="1" a="1"/>
  <c r="K6" i="1" s="1"/>
  <c r="K77" i="1" s="1"/>
  <c r="L6" i="1" a="1"/>
  <c r="L6" i="1" s="1"/>
  <c r="L77" i="1" s="1"/>
  <c r="M6" i="1" a="1"/>
  <c r="M6" i="1" s="1"/>
  <c r="M77" i="1" s="1"/>
  <c r="N6" i="1" a="1"/>
  <c r="N6" i="1" s="1"/>
  <c r="N77" i="1" s="1"/>
  <c r="O6" i="1" a="1"/>
  <c r="O6" i="1" s="1"/>
  <c r="O77" i="1" s="1"/>
  <c r="P6" i="1" a="1"/>
  <c r="P6" i="1"/>
  <c r="P77" i="1" s="1"/>
  <c r="Q6" i="1" a="1"/>
  <c r="Q6" i="1" s="1"/>
  <c r="Q77" i="1" s="1"/>
  <c r="R6" i="1" a="1"/>
  <c r="R6" i="1" s="1"/>
  <c r="R77" i="1" s="1"/>
  <c r="S6" i="1" a="1"/>
  <c r="S6" i="1" s="1"/>
  <c r="S77" i="1" s="1"/>
  <c r="T6" i="1" a="1"/>
  <c r="T6" i="1" s="1"/>
  <c r="T77" i="1" s="1"/>
  <c r="U6" i="1" a="1"/>
  <c r="U6" i="1" s="1"/>
  <c r="U77" i="1" s="1"/>
  <c r="I7" i="1" a="1"/>
  <c r="I7" i="1"/>
  <c r="J7" i="1" a="1"/>
  <c r="J7" i="1" s="1"/>
  <c r="K7" i="1" a="1"/>
  <c r="K7" i="1" s="1"/>
  <c r="L7" i="1" a="1"/>
  <c r="L7" i="1" s="1"/>
  <c r="M7" i="1" a="1"/>
  <c r="M7" i="1" s="1"/>
  <c r="N7" i="1" a="1"/>
  <c r="N7" i="1" s="1"/>
  <c r="O7" i="1" a="1"/>
  <c r="O7" i="1"/>
  <c r="P7" i="1" a="1"/>
  <c r="P7" i="1" s="1"/>
  <c r="Q7" i="1" a="1"/>
  <c r="Q7" i="1" s="1"/>
  <c r="R7" i="1" a="1"/>
  <c r="R7" i="1" s="1"/>
  <c r="S7" i="1" a="1"/>
  <c r="S7" i="1" s="1"/>
  <c r="T7" i="1" a="1"/>
  <c r="T7" i="1" s="1"/>
  <c r="U7" i="1" a="1"/>
  <c r="U7" i="1"/>
  <c r="I8" i="1" a="1"/>
  <c r="I8" i="1" s="1"/>
  <c r="J8" i="1" a="1"/>
  <c r="J8" i="1" s="1"/>
  <c r="J63" i="1" s="1"/>
  <c r="K8" i="1" a="1"/>
  <c r="K8" i="1" s="1"/>
  <c r="L8" i="1" a="1"/>
  <c r="L8" i="1" s="1"/>
  <c r="M8" i="1" a="1"/>
  <c r="M8" i="1" s="1"/>
  <c r="N8" i="1" a="1"/>
  <c r="N8" i="1" s="1"/>
  <c r="O8" i="1" a="1"/>
  <c r="O8" i="1" s="1"/>
  <c r="P8" i="1" a="1"/>
  <c r="P8" i="1" s="1"/>
  <c r="Q8" i="1" a="1"/>
  <c r="Q8" i="1" s="1"/>
  <c r="R8" i="1" a="1"/>
  <c r="R8" i="1" s="1"/>
  <c r="S8" i="1" a="1"/>
  <c r="S8" i="1" s="1"/>
  <c r="T8" i="1" a="1"/>
  <c r="T8" i="1" s="1"/>
  <c r="U8" i="1" a="1"/>
  <c r="U8" i="1" s="1"/>
  <c r="U63" i="1" s="1"/>
  <c r="I9" i="1" a="1"/>
  <c r="I9" i="1" s="1"/>
  <c r="J9" i="1" a="1"/>
  <c r="J9" i="1" s="1"/>
  <c r="K9" i="1" a="1"/>
  <c r="K9" i="1" s="1"/>
  <c r="L9" i="1" a="1"/>
  <c r="L9" i="1" s="1"/>
  <c r="M9" i="1" a="1"/>
  <c r="M9" i="1" s="1"/>
  <c r="N9" i="1" a="1"/>
  <c r="N9" i="1" s="1"/>
  <c r="O9" i="1" a="1"/>
  <c r="O9" i="1" s="1"/>
  <c r="P9" i="1" a="1"/>
  <c r="P9" i="1" s="1"/>
  <c r="Q9" i="1" a="1"/>
  <c r="Q9" i="1" s="1"/>
  <c r="R9" i="1" a="1"/>
  <c r="R9" i="1" s="1"/>
  <c r="S9" i="1" a="1"/>
  <c r="S9" i="1"/>
  <c r="T9" i="1" a="1"/>
  <c r="T9" i="1" s="1"/>
  <c r="U9" i="1" a="1"/>
  <c r="U9" i="1" s="1"/>
  <c r="I27" i="1"/>
  <c r="J27" i="1"/>
  <c r="K27" i="1"/>
  <c r="L27" i="1"/>
  <c r="M27" i="1"/>
  <c r="N27" i="1"/>
  <c r="O27" i="1"/>
  <c r="P27" i="1"/>
  <c r="Q27" i="1"/>
  <c r="R27" i="1"/>
  <c r="S27" i="1"/>
  <c r="T27" i="1"/>
  <c r="U27" i="1"/>
  <c r="I64" i="1"/>
  <c r="J64" i="1"/>
  <c r="K64" i="1"/>
  <c r="L64" i="1"/>
  <c r="M64" i="1"/>
  <c r="N64" i="1"/>
  <c r="O64" i="1"/>
  <c r="P64" i="1"/>
  <c r="Q64" i="1"/>
  <c r="R64" i="1"/>
  <c r="S64" i="1"/>
  <c r="T64" i="1"/>
  <c r="U64" i="1"/>
  <c r="K65" i="1"/>
  <c r="J77" i="1"/>
  <c r="I90" i="1"/>
  <c r="J90" i="1"/>
  <c r="K90" i="1"/>
  <c r="L90" i="1"/>
  <c r="M90" i="1"/>
  <c r="N90" i="1"/>
  <c r="O90" i="1"/>
  <c r="P90" i="1"/>
  <c r="Q90" i="1"/>
  <c r="R90" i="1"/>
  <c r="S90" i="1"/>
  <c r="T90" i="1"/>
  <c r="U90" i="1"/>
  <c r="F3" i="1" a="1"/>
  <c r="F3" i="1" s="1"/>
  <c r="G3" i="1" a="1"/>
  <c r="G3" i="1" s="1"/>
  <c r="H3" i="1" a="1"/>
  <c r="H3" i="1" s="1"/>
  <c r="F4" i="1" a="1"/>
  <c r="F4" i="1"/>
  <c r="G4" i="1" a="1"/>
  <c r="G4" i="1" s="1"/>
  <c r="H4" i="1" a="1"/>
  <c r="H4" i="1"/>
  <c r="F5" i="1" a="1"/>
  <c r="F5" i="1" s="1"/>
  <c r="F65" i="1" s="1"/>
  <c r="G5" i="1" a="1"/>
  <c r="G5" i="1" s="1"/>
  <c r="G65" i="1" s="1"/>
  <c r="H5" i="1" a="1"/>
  <c r="H5" i="1" s="1"/>
  <c r="H65" i="1" s="1"/>
  <c r="F6" i="1" a="1"/>
  <c r="F6" i="1"/>
  <c r="F77" i="1" s="1"/>
  <c r="G6" i="1" a="1"/>
  <c r="G6" i="1" s="1"/>
  <c r="G77" i="1" s="1"/>
  <c r="H6" i="1" a="1"/>
  <c r="H6" i="1" s="1"/>
  <c r="H77" i="1" s="1"/>
  <c r="F7" i="1" a="1"/>
  <c r="F7" i="1" s="1"/>
  <c r="G7" i="1" a="1"/>
  <c r="G7" i="1" s="1"/>
  <c r="H7" i="1" a="1"/>
  <c r="H7" i="1" s="1"/>
  <c r="F8" i="1" a="1"/>
  <c r="F8" i="1" s="1"/>
  <c r="G8" i="1" a="1"/>
  <c r="G8" i="1" s="1"/>
  <c r="H8" i="1" a="1"/>
  <c r="H8" i="1" s="1"/>
  <c r="F9" i="1" a="1"/>
  <c r="F9" i="1" s="1"/>
  <c r="G9" i="1" a="1"/>
  <c r="G9" i="1" s="1"/>
  <c r="H9" i="1" a="1"/>
  <c r="H9" i="1" s="1"/>
  <c r="F27" i="1"/>
  <c r="G27" i="1"/>
  <c r="H27" i="1"/>
  <c r="F64" i="1"/>
  <c r="G64" i="1"/>
  <c r="H64" i="1"/>
  <c r="F90" i="1"/>
  <c r="G90" i="1"/>
  <c r="H90" i="1"/>
  <c r="E27" i="1"/>
  <c r="Q90" i="6"/>
  <c r="P90" i="6"/>
  <c r="O90" i="6"/>
  <c r="N90" i="6"/>
  <c r="M90" i="6"/>
  <c r="L90" i="6"/>
  <c r="K90" i="6"/>
  <c r="J90" i="6"/>
  <c r="I90" i="6"/>
  <c r="H90" i="6"/>
  <c r="G90" i="6"/>
  <c r="F90" i="6"/>
  <c r="E90" i="6"/>
  <c r="D90" i="6"/>
  <c r="Q64" i="6"/>
  <c r="P64" i="6"/>
  <c r="O64" i="6"/>
  <c r="N64" i="6"/>
  <c r="M64" i="6"/>
  <c r="L64" i="6"/>
  <c r="K64" i="6"/>
  <c r="J64" i="6"/>
  <c r="I64" i="6"/>
  <c r="H64" i="6"/>
  <c r="G64" i="6"/>
  <c r="F64" i="6"/>
  <c r="E64" i="6"/>
  <c r="D64" i="6"/>
  <c r="C64" i="6"/>
  <c r="B64" i="6"/>
  <c r="Q9" i="6"/>
  <c r="P9" i="6"/>
  <c r="O9" i="6"/>
  <c r="N9" i="6"/>
  <c r="M9" i="6"/>
  <c r="L9" i="6"/>
  <c r="K9" i="6"/>
  <c r="J9" i="6"/>
  <c r="I9" i="6"/>
  <c r="H9" i="6"/>
  <c r="G9" i="6"/>
  <c r="F9" i="6"/>
  <c r="E9" i="6"/>
  <c r="D9" i="6"/>
  <c r="C9" i="6"/>
  <c r="B9" i="6"/>
  <c r="Q8" i="6"/>
  <c r="Q63" i="6" s="1"/>
  <c r="P8" i="6"/>
  <c r="P63" i="6" s="1"/>
  <c r="O8" i="6"/>
  <c r="O63" i="6" s="1"/>
  <c r="N8" i="6"/>
  <c r="N63" i="6" s="1"/>
  <c r="M8" i="6"/>
  <c r="M63" i="6" s="1"/>
  <c r="L8" i="6"/>
  <c r="L63" i="6" s="1"/>
  <c r="K8" i="6"/>
  <c r="K63" i="6" s="1"/>
  <c r="J8" i="6"/>
  <c r="J63" i="6" s="1"/>
  <c r="I8" i="6"/>
  <c r="I63" i="6" s="1"/>
  <c r="H8" i="6"/>
  <c r="H63" i="6" s="1"/>
  <c r="G8" i="6"/>
  <c r="G63" i="6" s="1"/>
  <c r="F8" i="6"/>
  <c r="F63" i="6" s="1"/>
  <c r="E8" i="6"/>
  <c r="E63" i="6" s="1"/>
  <c r="D8" i="6"/>
  <c r="D63" i="6" s="1"/>
  <c r="C8" i="6"/>
  <c r="C63" i="6" s="1"/>
  <c r="B8" i="6"/>
  <c r="B63" i="6" s="1"/>
  <c r="Q7" i="6"/>
  <c r="P7" i="6"/>
  <c r="O7" i="6"/>
  <c r="N7" i="6"/>
  <c r="M7" i="6"/>
  <c r="L7" i="6"/>
  <c r="K7" i="6"/>
  <c r="J7" i="6"/>
  <c r="I7" i="6"/>
  <c r="H7" i="6"/>
  <c r="G7" i="6"/>
  <c r="F7" i="6"/>
  <c r="E7" i="6"/>
  <c r="D7" i="6"/>
  <c r="C7" i="6"/>
  <c r="B7" i="6"/>
  <c r="Q6" i="6"/>
  <c r="Q77" i="6" s="1"/>
  <c r="P6" i="6"/>
  <c r="P77" i="6" s="1"/>
  <c r="O6" i="6"/>
  <c r="O77" i="6" s="1"/>
  <c r="N6" i="6"/>
  <c r="N77" i="6" s="1"/>
  <c r="M6" i="6"/>
  <c r="M77" i="6" s="1"/>
  <c r="L6" i="6"/>
  <c r="L77" i="6" s="1"/>
  <c r="K6" i="6"/>
  <c r="K77" i="6" s="1"/>
  <c r="J6" i="6"/>
  <c r="J77" i="6" s="1"/>
  <c r="I6" i="6"/>
  <c r="I77" i="6" s="1"/>
  <c r="H6" i="6"/>
  <c r="H77" i="6" s="1"/>
  <c r="G6" i="6"/>
  <c r="G77" i="6" s="1"/>
  <c r="F6" i="6"/>
  <c r="F77" i="6" s="1"/>
  <c r="E6" i="6"/>
  <c r="E77" i="6" s="1"/>
  <c r="D6" i="6"/>
  <c r="D77" i="6" s="1"/>
  <c r="C6" i="6"/>
  <c r="C77" i="6" s="1"/>
  <c r="B6" i="6"/>
  <c r="B77" i="6" s="1"/>
  <c r="A6" i="6"/>
  <c r="Q5" i="6"/>
  <c r="Q65" i="6" s="1"/>
  <c r="P5" i="6"/>
  <c r="P65" i="6" s="1"/>
  <c r="O5" i="6"/>
  <c r="O65" i="6" s="1"/>
  <c r="N5" i="6"/>
  <c r="N65" i="6" s="1"/>
  <c r="M5" i="6"/>
  <c r="M65" i="6" s="1"/>
  <c r="L5" i="6"/>
  <c r="L65" i="6" s="1"/>
  <c r="K5" i="6"/>
  <c r="K65" i="6" s="1"/>
  <c r="J5" i="6"/>
  <c r="J65" i="6" s="1"/>
  <c r="I5" i="6"/>
  <c r="I65" i="6" s="1"/>
  <c r="H5" i="6"/>
  <c r="H65" i="6" s="1"/>
  <c r="G5" i="6"/>
  <c r="G65" i="6" s="1"/>
  <c r="F5" i="6"/>
  <c r="F65" i="6" s="1"/>
  <c r="E5" i="6"/>
  <c r="E65" i="6" s="1"/>
  <c r="D5" i="6"/>
  <c r="D65" i="6" s="1"/>
  <c r="C5" i="6"/>
  <c r="C65" i="6" s="1"/>
  <c r="B5" i="6"/>
  <c r="B65" i="6" s="1"/>
  <c r="A5" i="6"/>
  <c r="Q4" i="6"/>
  <c r="Q61" i="6" s="1"/>
  <c r="P4" i="6"/>
  <c r="P61" i="6" s="1"/>
  <c r="O4" i="6"/>
  <c r="O61" i="6" s="1"/>
  <c r="N4" i="6"/>
  <c r="N61" i="6" s="1"/>
  <c r="M4" i="6"/>
  <c r="M61" i="6" s="1"/>
  <c r="L4" i="6"/>
  <c r="L61" i="6" s="1"/>
  <c r="K4" i="6"/>
  <c r="K61" i="6" s="1"/>
  <c r="J4" i="6"/>
  <c r="J61" i="6" s="1"/>
  <c r="I4" i="6"/>
  <c r="I61" i="6" s="1"/>
  <c r="H4" i="6"/>
  <c r="H61" i="6" s="1"/>
  <c r="G4" i="6"/>
  <c r="G61" i="6" s="1"/>
  <c r="F4" i="6"/>
  <c r="F61" i="6" s="1"/>
  <c r="E4" i="6"/>
  <c r="E61" i="6" s="1"/>
  <c r="D4" i="6"/>
  <c r="D61" i="6" s="1"/>
  <c r="C4" i="6"/>
  <c r="C61" i="6" s="1"/>
  <c r="B4" i="6"/>
  <c r="B61" i="6" s="1"/>
  <c r="A4" i="6"/>
  <c r="Q3" i="6"/>
  <c r="Q15" i="6" s="1"/>
  <c r="P3" i="6"/>
  <c r="P15" i="6" s="1"/>
  <c r="O3" i="6"/>
  <c r="O15" i="6" s="1"/>
  <c r="N3" i="6"/>
  <c r="N15" i="6" s="1"/>
  <c r="M3" i="6"/>
  <c r="M15" i="6" s="1"/>
  <c r="L3" i="6"/>
  <c r="L15" i="6" s="1"/>
  <c r="K3" i="6"/>
  <c r="K62" i="6" s="1"/>
  <c r="J3" i="6"/>
  <c r="J62" i="6" s="1"/>
  <c r="I3" i="6"/>
  <c r="I62" i="6" s="1"/>
  <c r="H3" i="6"/>
  <c r="H62" i="6" s="1"/>
  <c r="G3" i="6"/>
  <c r="G15" i="6" s="1"/>
  <c r="F3" i="6"/>
  <c r="F15" i="6" s="1"/>
  <c r="E3" i="6"/>
  <c r="E15" i="6" s="1"/>
  <c r="D3" i="6"/>
  <c r="D15" i="6" s="1"/>
  <c r="C3" i="6"/>
  <c r="C15" i="6" s="1"/>
  <c r="B3" i="6"/>
  <c r="B15" i="6" s="1"/>
  <c r="A3" i="6"/>
  <c r="E90" i="1"/>
  <c r="E64" i="1"/>
  <c r="D64" i="1"/>
  <c r="C64" i="1"/>
  <c r="E9" i="1" a="1"/>
  <c r="E9" i="1" s="1"/>
  <c r="D9" i="1" a="1"/>
  <c r="D9" i="1" s="1"/>
  <c r="C9" i="1" a="1"/>
  <c r="C9" i="1" s="1"/>
  <c r="E8" i="1" a="1"/>
  <c r="E8" i="1" s="1"/>
  <c r="E63" i="1" s="1"/>
  <c r="D8" i="1" a="1"/>
  <c r="D8" i="1" s="1"/>
  <c r="C8" i="1" a="1"/>
  <c r="C8" i="1" s="1"/>
  <c r="E7" i="1" a="1"/>
  <c r="E7" i="1"/>
  <c r="D7" i="1" a="1"/>
  <c r="D7" i="1" s="1"/>
  <c r="C7" i="1" a="1"/>
  <c r="C7" i="1" s="1"/>
  <c r="E6" i="1" a="1"/>
  <c r="E6" i="1" s="1"/>
  <c r="E77" i="1" s="1"/>
  <c r="D6" i="1" a="1"/>
  <c r="D6" i="1"/>
  <c r="D77" i="1" s="1"/>
  <c r="C6" i="1" a="1"/>
  <c r="C6" i="1" s="1"/>
  <c r="C77" i="1" s="1"/>
  <c r="B6" i="1"/>
  <c r="E5" i="1" a="1"/>
  <c r="E5" i="1" s="1"/>
  <c r="E65" i="1" s="1"/>
  <c r="D5" i="1" a="1"/>
  <c r="D5" i="1"/>
  <c r="D65" i="1" s="1"/>
  <c r="C5" i="1" a="1"/>
  <c r="C5" i="1" s="1"/>
  <c r="C65" i="1" s="1"/>
  <c r="B5" i="1"/>
  <c r="E4" i="1" a="1"/>
  <c r="E4" i="1"/>
  <c r="D4" i="1" a="1"/>
  <c r="D4" i="1" s="1"/>
  <c r="C4" i="1" a="1"/>
  <c r="C4" i="1"/>
  <c r="B4" i="1"/>
  <c r="E3" i="1" a="1"/>
  <c r="E3" i="1"/>
  <c r="D3" i="1" a="1"/>
  <c r="D3" i="1" s="1"/>
  <c r="C3" i="1" a="1"/>
  <c r="C3" i="1"/>
  <c r="B3" i="1"/>
  <c r="C63" i="1" l="1"/>
  <c r="M63" i="1"/>
  <c r="K63" i="1"/>
  <c r="I63" i="1"/>
  <c r="T63" i="1"/>
  <c r="S63" i="1"/>
  <c r="D63" i="1"/>
  <c r="Z63" i="1"/>
  <c r="AE63" i="1"/>
  <c r="Y63" i="1"/>
  <c r="X63" i="1"/>
  <c r="W63" i="1"/>
  <c r="AC63" i="1"/>
  <c r="AB63" i="1"/>
  <c r="N63" i="1"/>
  <c r="O63" i="1"/>
  <c r="L63" i="1"/>
  <c r="Q63" i="1"/>
  <c r="R63" i="1"/>
  <c r="P63" i="1"/>
  <c r="H63" i="1"/>
  <c r="G63" i="1"/>
  <c r="F63" i="1"/>
  <c r="H15" i="6"/>
  <c r="L62" i="6"/>
  <c r="I15" i="6"/>
  <c r="M62" i="6"/>
  <c r="J15" i="6"/>
  <c r="B62" i="6"/>
  <c r="N62" i="6"/>
  <c r="K15" i="6"/>
  <c r="C62" i="6"/>
  <c r="O62" i="6"/>
  <c r="D62" i="6"/>
  <c r="P62" i="6"/>
  <c r="E62" i="6"/>
  <c r="Q62" i="6"/>
  <c r="F62" i="6"/>
  <c r="G6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Verbindung1" type="5" refreshedVersion="3" background="1" saveData="1">
    <dbPr connection="Provider=Microsoft.Mashup.OleDb.1;Data Source=$Workbook$;Location=exerzitien-katalog;Extended Properties=&quot;&quot;" command="SELECT * FROM [exerzitien-katalog]"/>
  </connection>
</connections>
</file>

<file path=xl/sharedStrings.xml><?xml version="1.0" encoding="utf-8"?>
<sst xmlns="http://schemas.openxmlformats.org/spreadsheetml/2006/main" count="5913" uniqueCount="806">
  <si>
    <t>2024_ad</t>
  </si>
  <si>
    <t>2024_fs</t>
  </si>
  <si>
    <t>2023_ad</t>
  </si>
  <si>
    <t>2023_fs</t>
  </si>
  <si>
    <r>
      <rPr>
        <sz val="11"/>
        <color rgb="FF808080"/>
        <rFont val="Consolas"/>
        <family val="3"/>
        <charset val="1"/>
      </rPr>
      <t>&lt;!</t>
    </r>
    <r>
      <rPr>
        <sz val="11"/>
        <color rgb="FF7EE787"/>
        <rFont val="Consolas"/>
        <family val="3"/>
        <charset val="1"/>
      </rPr>
      <t>doctype</t>
    </r>
    <r>
      <rPr>
        <sz val="11"/>
        <color rgb="FFBBBEBF"/>
        <rFont val="Consolas"/>
        <family val="3"/>
        <charset val="1"/>
      </rPr>
      <t xml:space="preserve"> </t>
    </r>
    <r>
      <rPr>
        <sz val="11"/>
        <color rgb="FF9CDCFE"/>
        <rFont val="Consolas"/>
        <family val="3"/>
        <charset val="1"/>
      </rPr>
      <t>html</t>
    </r>
    <r>
      <rPr>
        <sz val="11"/>
        <color rgb="FF808080"/>
        <rFont val="Consolas"/>
        <family val="3"/>
        <charset val="1"/>
      </rPr>
      <t>&gt;</t>
    </r>
  </si>
  <si>
    <t>&lt;!doctype html&gt;</t>
  </si>
  <si>
    <r>
      <rPr>
        <sz val="11"/>
        <color rgb="FF808080"/>
        <rFont val="Consolas"/>
        <family val="3"/>
        <charset val="1"/>
      </rPr>
      <t>&lt;</t>
    </r>
    <r>
      <rPr>
        <sz val="11"/>
        <color rgb="FF7EE787"/>
        <rFont val="Consolas"/>
        <family val="3"/>
        <charset val="1"/>
      </rPr>
      <t>html</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r>
      <rPr>
        <sz val="11"/>
        <color rgb="FF808080"/>
        <rFont val="Consolas"/>
        <family val="3"/>
        <charset val="1"/>
      </rPr>
      <t>&gt;</t>
    </r>
  </si>
  <si>
    <t>&lt;html lang="de"&gt;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</si>
  <si>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</si>
  <si>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</si>
  <si>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charset</t>
    </r>
    <r>
      <rPr>
        <sz val="11"/>
        <color rgb="FFBBBEBF"/>
        <rFont val="Consolas"/>
        <family val="3"/>
        <charset val="1"/>
      </rPr>
      <t>=</t>
    </r>
    <r>
      <rPr>
        <sz val="11"/>
        <color rgb="FFA5D6FF"/>
        <rFont val="Consolas"/>
        <family val="3"/>
        <charset val="1"/>
      </rPr>
      <t>"UTF-8"</t>
    </r>
    <r>
      <rPr>
        <sz val="11"/>
        <color rgb="FFBBBEBF"/>
        <rFont val="Consolas"/>
        <family val="3"/>
        <charset val="1"/>
      </rPr>
      <t xml:space="preserve"> </t>
    </r>
    <r>
      <rPr>
        <sz val="11"/>
        <color rgb="FF808080"/>
        <rFont val="Consolas"/>
        <family val="3"/>
        <charset val="1"/>
      </rPr>
      <t>/&gt;</t>
    </r>
  </si>
  <si>
    <t>    &lt;meta charset="UTF-8"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</si>
  <si>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meta</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"viewport"</t>
    </r>
    <r>
      <rPr>
        <sz val="11"/>
        <color rgb="FFBBBEBF"/>
        <rFont val="Consolas"/>
        <family val="3"/>
        <charset val="1"/>
      </rPr>
      <t xml:space="preserve"> </t>
    </r>
    <r>
      <rPr>
        <sz val="11"/>
        <color rgb="FF9CDCFE"/>
        <rFont val="Consolas"/>
        <family val="3"/>
        <charset val="1"/>
      </rPr>
      <t>content</t>
    </r>
    <r>
      <rPr>
        <sz val="11"/>
        <color rgb="FFBBBEBF"/>
        <rFont val="Consolas"/>
        <family val="3"/>
        <charset val="1"/>
      </rPr>
      <t>=</t>
    </r>
    <r>
      <rPr>
        <sz val="11"/>
        <color rgb="FFA5D6FF"/>
        <rFont val="Consolas"/>
        <family val="3"/>
        <charset val="1"/>
      </rPr>
      <t>"width=device-width, initial-scale=1.0"</t>
    </r>
    <r>
      <rPr>
        <sz val="11"/>
        <color rgb="FFBBBEBF"/>
        <rFont val="Consolas"/>
        <family val="3"/>
        <charset val="1"/>
      </rPr>
      <t xml:space="preserve"> </t>
    </r>
    <r>
      <rPr>
        <sz val="11"/>
        <color rgb="FF808080"/>
        <rFont val="Consolas"/>
        <family val="3"/>
        <charset val="1"/>
      </rPr>
      <t>/&gt;</t>
    </r>
  </si>
  <si>
    <t>    &lt;meta name="viewport" content="width=device-width, initial-scale=1.0"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</si>
  <si>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title</t>
    </r>
    <r>
      <rPr>
        <sz val="11"/>
        <color rgb="FF808080"/>
        <rFont val="Consolas"/>
        <family val="3"/>
        <charset val="1"/>
      </rPr>
      <t>&gt;</t>
    </r>
    <r>
      <rPr>
        <sz val="11"/>
        <color rgb="FFBBBEBF"/>
        <rFont val="Consolas"/>
        <family val="3"/>
        <charset val="1"/>
      </rPr>
      <t>Fastenzeit 2026 mit Johannes vom Kreuz</t>
    </r>
    <r>
      <rPr>
        <sz val="11"/>
        <color rgb="FF808080"/>
        <rFont val="Consolas"/>
        <family val="3"/>
        <charset val="1"/>
      </rPr>
      <t>&lt;/</t>
    </r>
    <r>
      <rPr>
        <sz val="11"/>
        <color rgb="FF7EE787"/>
        <rFont val="Consolas"/>
        <family val="3"/>
        <charset val="1"/>
      </rPr>
      <t>title</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</si>
  <si>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t>
    </r>
    <r>
      <rPr>
        <sz val="11"/>
        <color rgb="FFBBBEBF"/>
        <rFont val="Consolas"/>
        <family val="3"/>
        <charset val="1"/>
      </rPr>
      <t xml:space="preserve"> </t>
    </r>
    <r>
      <rPr>
        <sz val="11"/>
        <color rgb="FF808080"/>
        <rFont val="Consolas"/>
        <family val="3"/>
        <charset val="1"/>
      </rPr>
      <t>/&gt;</t>
    </r>
  </si>
  <si>
    <t>    &lt;link rel="preconnect" href="https://fonts.googleapis.com"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</si>
  <si>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"preconnect"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"https://fonts.gstatic.com"</t>
    </r>
    <r>
      <rPr>
        <sz val="11"/>
        <color rgb="FFBBBEBF"/>
        <rFont val="Consolas"/>
        <family val="3"/>
        <charset val="1"/>
      </rPr>
      <t xml:space="preserve"> </t>
    </r>
    <r>
      <rPr>
        <sz val="11"/>
        <color rgb="FF9CDCFE"/>
        <rFont val="Consolas"/>
        <family val="3"/>
        <charset val="1"/>
      </rPr>
      <t>crossorigin</t>
    </r>
    <r>
      <rPr>
        <sz val="11"/>
        <color rgb="FFBBBEBF"/>
        <rFont val="Consolas"/>
        <family val="3"/>
        <charset val="1"/>
      </rPr>
      <t xml:space="preserve"> </t>
    </r>
    <r>
      <rPr>
        <sz val="11"/>
        <color rgb="FF808080"/>
        <rFont val="Consolas"/>
        <family val="3"/>
        <charset val="1"/>
      </rPr>
      <t>/&gt;</t>
    </r>
  </si>
  <si>
    <t>    &lt;link rel="preconnect" href="https://fonts.gstatic.com" crossorigin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</si>
  <si>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</si>
  <si>
    <t>    &lt;link</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</si>
  <si>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"https://fonts.googleapis.com/css2?family=Cormorant+Garamond:wght@500;600;700&amp;family=Inter:wght@400;500;600;700&amp;display=swap"</t>
    </r>
  </si>
  <si>
    <t>      href="https://fonts.googleapis.com/css2?family=Cormorant+Garamond:wght@500;600;700&amp;family=Inter:wght@400;500;600;700&amp;display=swap"</t>
  </si>
  <si>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</si>
  <si>
    <t>      rel="stylesheet"</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</si>
  <si>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</si>
  <si>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</si>
  <si>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"stylesheet"</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"../style.css"</t>
    </r>
    <r>
      <rPr>
        <sz val="11"/>
        <color rgb="FFBBBEBF"/>
        <rFont val="Consolas"/>
        <family val="3"/>
        <charset val="1"/>
      </rPr>
      <t xml:space="preserve"> </t>
    </r>
    <r>
      <rPr>
        <sz val="11"/>
        <color rgb="FF808080"/>
        <rFont val="Consolas"/>
        <family val="3"/>
        <charset val="1"/>
      </rPr>
      <t>/&gt;</t>
    </r>
  </si>
  <si>
    <t>    &lt;link rel="stylesheet" href="../style.css"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</si>
  <si>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t>
    </r>
    <r>
      <rPr>
        <sz val="11"/>
        <color rgb="FF808080"/>
        <rFont val="Consolas"/>
        <family val="3"/>
        <charset val="1"/>
      </rPr>
      <t>&gt;</t>
    </r>
  </si>
  <si>
    <t>  &lt;/head&gt;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</si>
  <si>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</si>
  <si>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t>  &lt;body&gt;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</si>
  <si>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"skip-link"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"#main"</t>
    </r>
    <r>
      <rPr>
        <sz val="11"/>
        <color rgb="FF808080"/>
        <rFont val="Consolas"/>
        <family val="3"/>
        <charset val="1"/>
      </rPr>
      <t>&gt;</t>
    </r>
    <r>
      <rPr>
        <sz val="11"/>
        <color rgb="FFBBBEBF"/>
        <rFont val="Consolas"/>
        <family val="3"/>
        <charset val="1"/>
      </rPr>
      <t>Zum Inhalt springen</t>
    </r>
    <r>
      <rPr>
        <sz val="11"/>
        <color rgb="FF808080"/>
        <rFont val="Consolas"/>
        <family val="3"/>
        <charset val="1"/>
      </rPr>
      <t>&lt;/</t>
    </r>
    <r>
      <rPr>
        <sz val="11"/>
        <color rgb="FF7EE787"/>
        <rFont val="Consolas"/>
        <family val="3"/>
        <charset val="1"/>
      </rPr>
      <t>a</t>
    </r>
    <r>
      <rPr>
        <sz val="11"/>
        <color rgb="FF808080"/>
        <rFont val="Consolas"/>
        <family val="3"/>
        <charset val="1"/>
      </rPr>
      <t>&gt;</t>
    </r>
  </si>
  <si>
    <t>    &lt;a class="skip-link" href="#main"&gt;Zum Inhalt springen&lt;/a&gt;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</si>
  <si>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"site-header"</t>
    </r>
    <r>
      <rPr>
        <sz val="11"/>
        <color rgb="FF808080"/>
        <rFont val="Consolas"/>
        <family val="3"/>
        <charset val="1"/>
      </rPr>
      <t>&gt;</t>
    </r>
  </si>
  <si>
    <t>    &lt;header class="site-header"&gt;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</si>
  <si>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"cover-img"</t>
    </r>
    <r>
      <rPr>
        <sz val="11"/>
        <color rgb="FF808080"/>
        <rFont val="Consolas"/>
        <family val="3"/>
        <charset val="1"/>
      </rPr>
      <t>&gt;</t>
    </r>
  </si>
  <si>
    <t>      &lt;div class="cover-img"&gt;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</si>
  <si>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"../img/website_banner.jpg"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</si>
  <si>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t>        &lt;img src="../img/website_banner.jpg" alt=""&gt;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</si>
  <si>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</si>
  <si>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</si>
  <si>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header</t>
    </r>
    <r>
      <rPr>
        <sz val="11"/>
        <color rgb="FF808080"/>
        <rFont val="Consolas"/>
        <family val="3"/>
        <charset val="1"/>
      </rPr>
      <t>&gt;</t>
    </r>
  </si>
  <si>
    <t>    &lt;/header&gt;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</si>
  <si>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header-inner"</t>
    </r>
    <r>
      <rPr>
        <sz val="11"/>
        <color rgb="FF808080"/>
        <rFont val="Consolas"/>
        <family val="3"/>
        <charset val="1"/>
      </rPr>
      <t>&gt;</t>
    </r>
  </si>
  <si>
    <t>      &lt;div class="container header-inner"&gt;</t>
  </si>
  <si>
    <t>&lt;nav class="header-inner"&gt;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</si>
  <si>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"Startseite"</t>
    </r>
    <r>
      <rPr>
        <sz val="11"/>
        <color rgb="FF808080"/>
        <rFont val="Consolas"/>
        <family val="3"/>
        <charset val="1"/>
      </rPr>
      <t>&gt;</t>
    </r>
  </si>
  <si>
    <t>        &lt;a href=".." class="brand" aria-label="Startseite"&gt;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</si>
  <si>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"brand-mark"</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"../img/apple-touch-icon.png"</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"border-radius: var(--radius-lg)"</t>
    </r>
    <r>
      <rPr>
        <sz val="11"/>
        <color rgb="FF808080"/>
        <rFont val="Consolas"/>
        <family val="3"/>
        <charset val="1"/>
      </rPr>
      <t>&gt;&lt;/</t>
    </r>
    <r>
      <rPr>
        <sz val="11"/>
        <color rgb="FF7EE787"/>
        <rFont val="Consolas"/>
        <family val="3"/>
        <charset val="1"/>
      </rPr>
      <t>span</t>
    </r>
    <r>
      <rPr>
        <sz val="11"/>
        <color rgb="FF808080"/>
        <rFont val="Consolas"/>
        <family val="3"/>
        <charset val="1"/>
      </rPr>
      <t>&gt;</t>
    </r>
  </si>
  <si>
    <t>          &lt;span class="brand-mark" aria-hidden="true"&gt;&lt;img src="../img/apple-touch-icon.png" style="border-radius: var(--radius-lg)"&gt;&lt;/span&gt;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</si>
  <si>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"brand-text"</t>
    </r>
    <r>
      <rPr>
        <sz val="11"/>
        <color rgb="FF808080"/>
        <rFont val="Consolas"/>
        <family val="3"/>
        <charset val="1"/>
      </rPr>
      <t>&gt;</t>
    </r>
  </si>
  <si>
    <t>          &lt;span class="brand-text"&gt;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</si>
  <si>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"brand-kicker"</t>
    </r>
    <r>
      <rPr>
        <sz val="11"/>
        <color rgb="FF808080"/>
        <rFont val="Consolas"/>
        <family val="3"/>
        <charset val="1"/>
      </rPr>
      <t>&gt;</t>
    </r>
    <r>
      <rPr>
        <sz val="11"/>
        <color rgb="FFBBBEBF"/>
        <rFont val="Consolas"/>
        <family val="3"/>
        <charset val="1"/>
      </rPr>
      <t>Karmel</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</si>
  <si>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class="brand-kicker"&gt;Karmel&lt;/span&gt;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</si>
  <si>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"brand-name"</t>
    </r>
    <r>
      <rPr>
        <sz val="11"/>
        <color rgb="FF808080"/>
        <rFont val="Consolas"/>
        <family val="3"/>
        <charset val="1"/>
      </rPr>
      <t>&gt;</t>
    </r>
    <r>
      <rPr>
        <sz val="11"/>
        <color rgb="FFBBBEBF"/>
        <rFont val="Consolas"/>
        <family val="3"/>
        <charset val="1"/>
      </rPr>
      <t>Online-Exerzitien</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</si>
  <si>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class="brand-name"&gt;Online-Exerzitien&lt;/span&gt;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</si>
  <si>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</si>
  <si>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</si>
  <si>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t>
    </r>
  </si>
  <si>
    <t>        &lt;/a&gt;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</si>
  <si>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"header-actions"</t>
    </r>
    <r>
      <rPr>
        <sz val="11"/>
        <color rgb="FF808080"/>
        <rFont val="Consolas"/>
        <family val="3"/>
        <charset val="1"/>
      </rPr>
      <t>&gt;</t>
    </r>
  </si>
  <si>
    <t>        &lt;div class="header-actions"&gt;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</si>
  <si>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"language-switcher"</t>
    </r>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"Sprachauswahl"</t>
    </r>
    <r>
      <rPr>
        <sz val="11"/>
        <color rgb="FF808080"/>
        <rFont val="Consolas"/>
        <family val="3"/>
        <charset val="1"/>
      </rPr>
      <t>&gt;</t>
    </r>
  </si>
  <si>
    <t>          &lt;nav class="language-switcher" aria-label="Sprachauswahl"&gt;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</si>
  <si>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</si>
  <si>
    <t>            &lt;a</t>
  </si>
  <si>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</si>
  <si>
    <t>              href="#"</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</si>
  <si>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 is-active"</t>
    </r>
  </si>
  <si>
    <t>              class="lang-link is-active"</t>
  </si>
  <si>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"de"</t>
    </r>
  </si>
  <si>
    <t>              lang="de"</t>
  </si>
  <si>
    <r>
      <rPr>
        <sz val="11"/>
        <color rgb="FFBBBEBF"/>
        <rFont val="Consolas"/>
        <family val="3"/>
        <charset val="1"/>
      </rPr>
      <t xml:space="preserve">              </t>
    </r>
    <r>
      <rPr>
        <sz val="11"/>
        <color rgb="FF9CDCFE"/>
        <rFont val="Consolas"/>
        <family val="3"/>
        <charset val="1"/>
      </rPr>
      <t>aria-current</t>
    </r>
    <r>
      <rPr>
        <sz val="11"/>
        <color rgb="FFBBBEBF"/>
        <rFont val="Consolas"/>
        <family val="3"/>
        <charset val="1"/>
      </rPr>
      <t>=</t>
    </r>
    <r>
      <rPr>
        <sz val="11"/>
        <color rgb="FFA5D6FF"/>
        <rFont val="Consolas"/>
        <family val="3"/>
        <charset val="1"/>
      </rPr>
      <t>"page"</t>
    </r>
  </si>
  <si>
    <t>              aria-current="page"</t>
  </si>
  <si>
    <r>
      <rPr>
        <sz val="11"/>
        <color rgb="FFBBBEBF"/>
        <rFont val="Consolas"/>
        <family val="3"/>
        <charset val="1"/>
      </rPr>
      <t xml:space="preserve">              </t>
    </r>
    <r>
      <rPr>
        <sz val="11"/>
        <color rgb="FF808080"/>
        <rFont val="Consolas"/>
        <family val="3"/>
        <charset val="1"/>
      </rPr>
      <t>&gt;</t>
    </r>
    <r>
      <rPr>
        <sz val="11"/>
        <color rgb="FFBBBEBF"/>
        <rFont val="Consolas"/>
        <family val="3"/>
        <charset val="1"/>
      </rPr>
      <t>DE</t>
    </r>
    <r>
      <rPr>
        <sz val="11"/>
        <color rgb="FF808080"/>
        <rFont val="Consolas"/>
        <family val="3"/>
        <charset val="1"/>
      </rPr>
      <t>&lt;/</t>
    </r>
    <r>
      <rPr>
        <sz val="11"/>
        <color rgb="FF7EE787"/>
        <rFont val="Consolas"/>
        <family val="3"/>
        <charset val="1"/>
      </rPr>
      <t>a</t>
    </r>
  </si>
  <si>
    <t>              &gt;DE&lt;/a</t>
  </si>
  <si>
    <r>
      <rPr>
        <sz val="11"/>
        <color rgb="FFBBBEBF"/>
        <rFont val="Consolas"/>
        <family val="3"/>
        <charset val="1"/>
      </rPr>
      <t xml:space="preserve">            </t>
    </r>
    <r>
      <rPr>
        <sz val="11"/>
        <color rgb="FF808080"/>
        <rFont val="Consolas"/>
        <family val="3"/>
        <charset val="1"/>
      </rPr>
      <t>&gt;</t>
    </r>
  </si>
  <si>
    <t>            &gt;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</si>
  <si>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"https://retraites.carmes-paris.org/careme-2026/careme-2026-st-jean-de-la-croix/"</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"fr"</t>
    </r>
    <r>
      <rPr>
        <sz val="11"/>
        <color rgb="FF808080"/>
        <rFont val="Consolas"/>
        <family val="3"/>
        <charset val="1"/>
      </rPr>
      <t>&gt;</t>
    </r>
    <r>
      <rPr>
        <sz val="11"/>
        <color rgb="FFBBBEBF"/>
        <rFont val="Consolas"/>
        <family val="3"/>
        <charset val="1"/>
      </rPr>
      <t>FR</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</si>
  <si>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href="https://retraites.carmes-paris.org/careme-2026/careme-2026-st-jean-de-la-croix/" class="lang-link" lang="fr"&gt;FR&lt;/a&gt;</t>
  </si>
  <si>
    <t>            &lt;a href="https://retraites.carmes-paris.org" class="lang-link" lang="fr"&gt;FR&lt;/a&gt;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</si>
  <si>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"lang-link"</t>
    </r>
    <r>
      <rPr>
        <sz val="11"/>
        <color rgb="FFBBBEBF"/>
        <rFont val="Consolas"/>
        <family val="3"/>
        <charset val="1"/>
      </rPr>
      <t xml:space="preserve"> </t>
    </r>
    <r>
      <rPr>
        <sz val="11"/>
        <color rgb="FF9CDCFE"/>
        <rFont val="Consolas"/>
        <family val="3"/>
        <charset val="1"/>
      </rPr>
      <t>lang</t>
    </r>
    <r>
      <rPr>
        <sz val="11"/>
        <color rgb="FFBBBEBF"/>
        <rFont val="Consolas"/>
        <family val="3"/>
        <charset val="1"/>
      </rPr>
      <t>=</t>
    </r>
    <r>
      <rPr>
        <sz val="11"/>
        <color rgb="FFA5D6FF"/>
        <rFont val="Consolas"/>
        <family val="3"/>
        <charset val="1"/>
      </rPr>
      <t>"en"</t>
    </r>
    <r>
      <rPr>
        <sz val="11"/>
        <color rgb="FF808080"/>
        <rFont val="Consolas"/>
        <family val="3"/>
        <charset val="1"/>
      </rPr>
      <t>&gt;</t>
    </r>
    <r>
      <rPr>
        <sz val="11"/>
        <color rgb="FFBBBEBF"/>
        <rFont val="Consolas"/>
        <family val="3"/>
        <charset val="1"/>
      </rPr>
      <t>EN</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</si>
  <si>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 class="lang-link" lang="en"&gt;EN&lt;/a&gt;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</si>
  <si>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nav</t>
    </r>
    <r>
      <rPr>
        <sz val="11"/>
        <color rgb="FF808080"/>
        <rFont val="Consolas"/>
        <family val="3"/>
        <charset val="1"/>
      </rPr>
      <t>&gt;</t>
    </r>
  </si>
  <si>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</si>
  <si>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</si>
  <si>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</si>
  <si>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&lt;/nav&gt;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</si>
  <si>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"main"</t>
    </r>
    <r>
      <rPr>
        <sz val="11"/>
        <color rgb="FF808080"/>
        <rFont val="Consolas"/>
        <family val="3"/>
        <charset val="1"/>
      </rPr>
      <t>&gt;</t>
    </r>
  </si>
  <si>
    <t>    &lt;main id="main"&gt;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</si>
  <si>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"hero"</t>
    </r>
    <r>
      <rPr>
        <sz val="11"/>
        <color rgb="FF808080"/>
        <rFont val="Consolas"/>
        <family val="3"/>
        <charset val="1"/>
      </rPr>
      <t>&gt;</t>
    </r>
  </si>
  <si>
    <t>      &lt;section class="hero"&gt;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</si>
  <si>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hero-grid-1col"</t>
    </r>
    <r>
      <rPr>
        <sz val="11"/>
        <color rgb="FF808080"/>
        <rFont val="Consolas"/>
        <family val="3"/>
        <charset val="1"/>
      </rPr>
      <t>&gt;</t>
    </r>
  </si>
  <si>
    <t>        &lt;div class="container hero-grid-1col"&gt;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</si>
  <si>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„Christus in der Tiefe des Herzens begegnen”</t>
    </r>
    <r>
      <rPr>
        <sz val="11"/>
        <color rgb="FF808080"/>
        <rFont val="Consolas"/>
        <family val="3"/>
        <charset val="1"/>
      </rPr>
      <t>&lt;/</t>
    </r>
    <r>
      <rPr>
        <sz val="11"/>
        <color rgb="FF7EE787"/>
        <rFont val="Consolas"/>
        <family val="3"/>
        <charset val="1"/>
      </rPr>
      <t>h1</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</si>
  <si>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 dem heiligen Johannes vom Kreuz</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</si>
  <si>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Vom 18. Februar bis 5. April 2026</t>
    </r>
    <r>
      <rPr>
        <sz val="11"/>
        <color rgb="FF808080"/>
        <rFont val="Consolas"/>
        <family val="3"/>
        <charset val="1"/>
      </rPr>
      <t>&lt;/</t>
    </r>
    <r>
      <rPr>
        <sz val="11"/>
        <color rgb="FF7EE787"/>
        <rFont val="Consolas"/>
        <family val="3"/>
        <charset val="1"/>
      </rPr>
      <t>h3</t>
    </r>
    <r>
      <rPr>
        <sz val="11"/>
        <color rgb="FF808080"/>
        <rFont val="Consolas"/>
        <family val="3"/>
        <charset val="1"/>
      </rPr>
      <t>&gt;</t>
    </r>
  </si>
  <si>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Anlässlich des doppelten Jubiläums des heiligen Johannes vom Kreuz (1726-1926-2026):</t>
    </r>
  </si>
  <si>
    <r>
      <rPr>
        <sz val="11"/>
        <color rgb="FF808080"/>
        <rFont val="Consolas"/>
        <family val="3"/>
        <charset val="1"/>
      </rPr>
      <t>&lt;</t>
    </r>
    <r>
      <rPr>
        <sz val="11"/>
        <color rgb="FF7EE787"/>
        <rFont val="Consolas"/>
        <family val="3"/>
        <charset val="1"/>
      </rPr>
      <t>ul</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</si>
  <si>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300. Jahrestag seiner Heiligsprechung (1726)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</si>
  <si>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t>
    </r>
    <r>
      <rPr>
        <sz val="11"/>
        <color rgb="FFBBBEBF"/>
        <rFont val="Consolas"/>
        <family val="3"/>
        <charset val="1"/>
      </rPr>
      <t>100. Jahrestag seiner Ernennung zum Kirchenlehrer (1926)</t>
    </r>
    <r>
      <rPr>
        <sz val="11"/>
        <color rgb="FF808080"/>
        <rFont val="Consolas"/>
        <family val="3"/>
        <charset val="1"/>
      </rPr>
      <t>&lt;/</t>
    </r>
    <r>
      <rPr>
        <sz val="11"/>
        <color rgb="FF7EE787"/>
        <rFont val="Consolas"/>
        <family val="3"/>
        <charset val="1"/>
      </rPr>
      <t>li</t>
    </r>
    <r>
      <rPr>
        <sz val="11"/>
        <color rgb="FF808080"/>
        <rFont val="Consolas"/>
        <family val="3"/>
        <charset val="1"/>
      </rPr>
      <t>&gt;</t>
    </r>
  </si>
  <si>
    <r>
      <rPr>
        <sz val="11"/>
        <color rgb="FF808080"/>
        <rFont val="Consolas"/>
        <family val="3"/>
        <charset val="1"/>
      </rPr>
      <t>&lt;/</t>
    </r>
    <r>
      <rPr>
        <sz val="11"/>
        <color rgb="FF7EE787"/>
        <rFont val="Consolas"/>
        <family val="3"/>
        <charset val="1"/>
      </rPr>
      <t>ul</t>
    </r>
    <r>
      <rPr>
        <sz val="11"/>
        <color rgb="FF808080"/>
        <rFont val="Consolas"/>
        <family val="3"/>
        <charset val="1"/>
      </rPr>
      <t>&gt;</t>
    </r>
  </si>
  <si>
    <t xml:space="preserve">Wir bieten Ihnen Online-Exerzitien in der Schule des heiligen Johannes vom Kreuz an. In diesen Exerzitien werden wir im Lichte der Evangelien unsere </t>
  </si>
  <si>
    <t xml:space="preserve">Beziehung zu Jesus vertiefen, um im Heiligen Geist wieder zur Vertrautheit mit Ihm und mit Gott Vater in der Tiefe unseres Herzens zu gelangen. </t>
  </si>
  <si>
    <t xml:space="preserve">Es wird ein Weg der inneren Befreiung sein, auf dem uns Johannes vom Kreuz zuverlässig und sicher führen wird. Er wird uns in einer zunehmend auf </t>
  </si>
  <si>
    <t xml:space="preserve">das Äußere hin orientierten Welt lehren, wieder in unser tiefstes Inneres einzugehen, wo Christus, der Bräutigam der Kirche, uns begegnen und </t>
  </si>
  <si>
    <r>
      <rPr>
        <sz val="11"/>
        <color rgb="FFBBBEBF"/>
        <rFont val="Consolas"/>
        <family val="3"/>
        <charset val="1"/>
      </rPr>
      <t>reinigen will, damit wir mit Ihm im Feuer des Heiligen Geistes zu den innig geliebten Kindern des Vaters werden.</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Fastenzeit 2026 mit</t>
    </r>
  </si>
  <si>
    <r>
      <rPr>
        <sz val="11"/>
        <color rgb="FFBBBEBF"/>
        <rFont val="Consolas"/>
        <family val="3"/>
        <charset val="1"/>
      </rPr>
      <t>dem heiligen Johannes vom Kreuz</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</si>
  <si>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</si>
  <si>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"image-zoom"</t>
    </r>
    <r>
      <rPr>
        <sz val="11"/>
        <color rgb="FF808080"/>
        <rFont val="Consolas"/>
        <family val="3"/>
        <charset val="1"/>
      </rPr>
      <t>&gt;</t>
    </r>
  </si>
  <si>
    <t>          &lt;div class="image-zoom"&gt;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</si>
  <si>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img</t>
    </r>
    <r>
      <rPr>
        <sz val="11"/>
        <color rgb="FFBBBEBF"/>
        <rFont val="Consolas"/>
        <family val="3"/>
        <charset val="1"/>
      </rPr>
      <t xml:space="preserve"> </t>
    </r>
    <r>
      <rPr>
        <sz val="11"/>
        <color rgb="FF9CDCFE"/>
        <rFont val="Consolas"/>
        <family val="3"/>
        <charset val="1"/>
      </rPr>
      <t>src</t>
    </r>
    <r>
      <rPr>
        <sz val="11"/>
        <color rgb="FFBBBEBF"/>
        <rFont val="Consolas"/>
        <family val="3"/>
        <charset val="1"/>
      </rPr>
      <t>=</t>
    </r>
    <r>
      <rPr>
        <sz val="11"/>
        <color rgb="FFA5D6FF"/>
        <rFont val="Consolas"/>
        <family val="3"/>
        <charset val="1"/>
      </rPr>
      <t>"../img/FS26_header_DE.png"</t>
    </r>
    <r>
      <rPr>
        <sz val="11"/>
        <color rgb="FFBBBEBF"/>
        <rFont val="Consolas"/>
        <family val="3"/>
        <charset val="1"/>
      </rPr>
      <t xml:space="preserve"> </t>
    </r>
    <r>
      <rPr>
        <sz val="11"/>
        <color rgb="FF9CDCFE"/>
        <rFont val="Consolas"/>
        <family val="3"/>
        <charset val="1"/>
      </rPr>
      <t>alt</t>
    </r>
    <r>
      <rPr>
        <sz val="11"/>
        <color rgb="FFBBBEBF"/>
        <rFont val="Consolas"/>
        <family val="3"/>
        <charset val="1"/>
      </rPr>
      <t>=</t>
    </r>
    <r>
      <rPr>
        <sz val="11"/>
        <color rgb="FFA5D6FF"/>
        <rFont val="Consolas"/>
        <family val="3"/>
        <charset val="1"/>
      </rPr>
      <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</si>
  <si>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</si>
  <si>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</si>
  <si>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808080"/>
        <rFont val="Consolas"/>
        <family val="3"/>
        <charset val="1"/>
      </rPr>
      <t>&lt;/</t>
    </r>
    <r>
      <rPr>
        <sz val="11"/>
        <color rgb="FF7EE787"/>
        <rFont val="Consolas"/>
        <family val="3"/>
        <charset val="1"/>
      </rPr>
      <t>div</t>
    </r>
    <r>
      <rPr>
        <sz val="11"/>
        <color rgb="FF808080"/>
        <rFont val="Consolas"/>
        <family val="3"/>
        <charset val="1"/>
      </rPr>
      <t>&gt;</t>
    </r>
  </si>
  <si>
    <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</si>
  <si>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808080"/>
        <rFont val="Consolas"/>
        <family val="3"/>
        <charset val="1"/>
      </rPr>
      <t>&gt;</t>
    </r>
  </si>
  <si>
    <t>      &lt;/section&gt;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</si>
  <si>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section-intro"</t>
    </r>
    <r>
      <rPr>
        <sz val="11"/>
        <color rgb="FF808080"/>
        <rFont val="Consolas"/>
        <family val="3"/>
        <charset val="1"/>
      </rPr>
      <t>&gt;</t>
    </r>
  </si>
  <si>
    <t>      &lt;section class="section section-intro"&gt;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</si>
  <si>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"signup-panel"</t>
    </r>
    <r>
      <rPr>
        <sz val="11"/>
        <color rgb="FF808080"/>
        <rFont val="Consolas"/>
        <family val="3"/>
        <charset val="1"/>
      </rPr>
      <t>&gt;</t>
    </r>
  </si>
  <si>
    <t>&lt;div class="signup-panel"&gt;</t>
  </si>
  <si>
    <t>      &lt;section class="section section-archive" aria-labelledby="archiv-titel" id="weeks-cards"&gt;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</si>
  <si>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"eyebrow"</t>
    </r>
    <r>
      <rPr>
        <sz val="11"/>
        <color rgb="FF808080"/>
        <rFont val="Consolas"/>
        <family val="3"/>
        <charset val="1"/>
      </rPr>
      <t>&gt;</t>
    </r>
    <r>
      <rPr>
        <sz val="11"/>
        <color rgb="FFBBBEBF"/>
        <rFont val="Consolas"/>
        <family val="3"/>
        <charset val="1"/>
      </rPr>
      <t>Anmeldung</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</si>
  <si>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class="eyebrow"&gt;Anmeldung&lt;/p&gt;</t>
  </si>
  <si>
    <t>        &lt;div class="container"&gt;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</si>
  <si>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Jetzt für die Online-Exerzitien anmelden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</si>
  <si>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&lt;h1&gt;Jetzt für die Online-Exerzitien anmelden&lt;/h1&gt;</t>
  </si>
  <si>
    <t>          &lt;div class="section-head"&gt;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</si>
  <si>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"lead"</t>
    </r>
    <r>
      <rPr>
        <sz val="11"/>
        <color rgb="FF808080"/>
        <rFont val="Consolas"/>
        <family val="3"/>
        <charset val="1"/>
      </rPr>
      <t>&gt;</t>
    </r>
  </si>
  <si>
    <t>            &lt;p class="lead"&gt;</t>
  </si>
  <si>
    <t>            &lt;p class="section-label"&gt;Impulse&lt;/p&gt;</t>
  </si>
  <si>
    <t>              Erhalten Sie die Impulse der Exerzitien direkt per E-Mail und</t>
  </si>
  <si>
    <t>            &lt;h2&gt;Die wöchentlichen Meditationen der Exerzitien&lt;/h2&gt;</t>
  </si>
  <si>
    <t>              gehen Sie den Weg durch Advent oder Fastenzeit im Geist des</t>
  </si>
  <si>
    <t>              Karmel.</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</si>
  <si>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</si>
  <si>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</si>
  <si>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t>              Die Impulse werden hier erscheinen, wenn sie veröffentlicht sind...</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</si>
  <si>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</si>
  <si>
    <t>            &lt;div</t>
  </si>
  <si>
    <t>      &lt;!-- wird per JavaScript gefüllt --&gt;</t>
  </si>
  <si>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"form-placeholder"</t>
    </r>
  </si>
  <si>
    <t>              class="form-placeholder"</t>
  </si>
  <si>
    <t>    &lt;/div&gt;</t>
  </si>
  <si>
    <r>
      <rPr>
        <sz val="11"/>
        <color rgb="FFBBBEBF"/>
        <rFont val="Consolas"/>
        <family val="3"/>
        <charset val="1"/>
      </rPr>
      <t xml:space="preserve">              </t>
    </r>
    <r>
      <rPr>
        <sz val="11"/>
        <color rgb="FF9CDCFE"/>
        <rFont val="Consolas"/>
        <family val="3"/>
        <charset val="1"/>
      </rPr>
      <t>aria-label</t>
    </r>
    <r>
      <rPr>
        <sz val="11"/>
        <color rgb="FFBBBEBF"/>
        <rFont val="Consolas"/>
        <family val="3"/>
        <charset val="1"/>
      </rPr>
      <t>=</t>
    </r>
    <r>
      <rPr>
        <sz val="11"/>
        <color rgb="FFA5D6FF"/>
        <rFont val="Consolas"/>
        <family val="3"/>
        <charset val="1"/>
      </rPr>
      <t>"Platzhalter für Anmeldeformular"</t>
    </r>
  </si>
  <si>
    <t>              aria-label="Platzhalter für Anmeldeformular"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</si>
  <si>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"form-label"</t>
    </r>
    <r>
      <rPr>
        <sz val="11"/>
        <color rgb="FF808080"/>
        <rFont val="Consolas"/>
        <family val="3"/>
        <charset val="1"/>
      </rPr>
      <t>&gt;</t>
    </r>
    <r>
      <rPr>
        <sz val="11"/>
        <color rgb="FFBBBEBF"/>
        <rFont val="Consolas"/>
        <family val="3"/>
        <charset val="1"/>
      </rPr>
      <t>Anmeldeformular</t>
    </r>
    <r>
      <rPr>
        <sz val="11"/>
        <color rgb="FF808080"/>
        <rFont val="Consolas"/>
        <family val="3"/>
        <charset val="1"/>
      </rPr>
      <t>&lt;/</t>
    </r>
    <r>
      <rPr>
        <sz val="11"/>
        <color rgb="FF7EE787"/>
        <rFont val="Consolas"/>
        <family val="3"/>
        <charset val="1"/>
      </rPr>
      <t>p</t>
    </r>
    <r>
      <rPr>
        <sz val="11"/>
        <color rgb="FF808080"/>
        <rFont val="Consolas"/>
        <family val="3"/>
        <charset val="1"/>
      </rPr>
      <t>&gt;</t>
    </r>
  </si>
  <si>
    <t>                &lt;p class="form-label"&gt;Anmeldeformular&lt;/p&gt;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</si>
  <si>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"embed-box"</t>
    </r>
    <r>
      <rPr>
        <sz val="11"/>
        <color rgb="FF808080"/>
        <rFont val="Consolas"/>
        <family val="3"/>
        <charset val="1"/>
      </rPr>
      <t>&gt;</t>
    </r>
  </si>
  <si>
    <t>                &lt;div class="embed-box"&gt;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</si>
  <si>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intro"</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"abonniere"</t>
    </r>
    <r>
      <rPr>
        <sz val="11"/>
        <color rgb="FF808080"/>
        <rFont val="Consolas"/>
        <family val="3"/>
        <charset val="1"/>
      </rPr>
      <t>&gt;</t>
    </r>
  </si>
  <si>
    <t>                  &lt;section class="section intro" id="abonniere"&gt;</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</si>
  <si>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"mc_embed_shell"</t>
    </r>
    <r>
      <rPr>
        <sz val="11"/>
        <color rgb="FF808080"/>
        <rFont val="Consolas"/>
        <family val="3"/>
        <charset val="1"/>
      </rPr>
      <t>&gt;</t>
    </r>
    <r>
      <rPr>
        <sz val="11"/>
        <color rgb="FFBBBEBF"/>
        <rFont val="Consolas"/>
        <family val="3"/>
        <charset val="1"/>
      </rPr>
      <t xml:space="preserve">  </t>
    </r>
  </si>
  <si>
    <t>&lt;div id="mc_embed_shell"&gt;  </t>
  </si>
  <si>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t>
    </r>
    <r>
      <rPr>
        <sz val="11"/>
        <color rgb="FF808080"/>
        <rFont val="Consolas"/>
        <family val="3"/>
        <charset val="1"/>
      </rPr>
      <t>&gt;</t>
    </r>
  </si>
  <si>
    <t>&lt;div id="mc_embed_signup"&gt;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</si>
  <si>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form</t>
    </r>
    <r>
      <rPr>
        <sz val="11"/>
        <color rgb="FFBBBEBF"/>
        <rFont val="Consolas"/>
        <family val="3"/>
        <charset val="1"/>
      </rPr>
      <t xml:space="preserve"> </t>
    </r>
    <r>
      <rPr>
        <sz val="11"/>
        <color rgb="FF9CDCFE"/>
        <rFont val="Consolas"/>
        <family val="3"/>
        <charset val="1"/>
      </rPr>
      <t>action</t>
    </r>
    <r>
      <rPr>
        <sz val="11"/>
        <color rgb="FFBBBEBF"/>
        <rFont val="Consolas"/>
        <family val="3"/>
        <charset val="1"/>
      </rPr>
      <t>=</t>
    </r>
    <r>
      <rPr>
        <sz val="11"/>
        <color rgb="FFA5D6FF"/>
        <rFont val="Consolas"/>
        <family val="3"/>
        <charset val="1"/>
      </rPr>
      <t>"https://karmel.us6.list-manage.com/subscribe/post?u=7c9d2aa0ecc1fde64fd44bc67</t>
    </r>
    <r>
      <rPr>
        <sz val="11"/>
        <color rgb="FFFF7B72"/>
        <rFont val="Consolas"/>
        <family val="3"/>
        <charset val="1"/>
      </rPr>
      <t>&amp;amp;</t>
    </r>
    <r>
      <rPr>
        <sz val="11"/>
        <color rgb="FFA5D6FF"/>
        <rFont val="Consolas"/>
        <family val="3"/>
        <charset val="1"/>
      </rPr>
      <t>id=10430a5833</t>
    </r>
    <r>
      <rPr>
        <sz val="11"/>
        <color rgb="FFFF7B72"/>
        <rFont val="Consolas"/>
        <family val="3"/>
        <charset val="1"/>
      </rPr>
      <t>&amp;amp;</t>
    </r>
    <r>
      <rPr>
        <sz val="11"/>
        <color rgb="FFA5D6FF"/>
        <rFont val="Consolas"/>
        <family val="3"/>
        <charset val="1"/>
      </rPr>
      <t>f_id=009254e3f0"</t>
    </r>
    <r>
      <rPr>
        <sz val="11"/>
        <color rgb="FFBBBEBF"/>
        <rFont val="Consolas"/>
        <family val="3"/>
        <charset val="1"/>
      </rPr>
      <t xml:space="preserve"> </t>
    </r>
    <r>
      <rPr>
        <sz val="11"/>
        <color rgb="FF9CDCFE"/>
        <rFont val="Consolas"/>
        <family val="3"/>
        <charset val="1"/>
      </rPr>
      <t>method</t>
    </r>
    <r>
      <rPr>
        <sz val="11"/>
        <color rgb="FFBBBEBF"/>
        <rFont val="Consolas"/>
        <family val="3"/>
        <charset val="1"/>
      </rPr>
      <t>=</t>
    </r>
    <r>
      <rPr>
        <sz val="11"/>
        <color rgb="FFA5D6FF"/>
        <rFont val="Consolas"/>
        <family val="3"/>
        <charset val="1"/>
      </rPr>
      <t>"post"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"mc-embedded-subscribe-form"</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"validate"</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"_self"</t>
    </r>
    <r>
      <rPr>
        <sz val="11"/>
        <color rgb="FFBBBEBF"/>
        <rFont val="Consolas"/>
        <family val="3"/>
        <charset val="1"/>
      </rPr>
      <t xml:space="preserve"> </t>
    </r>
    <r>
      <rPr>
        <sz val="11"/>
        <color rgb="FF9CDCFE"/>
        <rFont val="Consolas"/>
        <family val="3"/>
        <charset val="1"/>
      </rPr>
      <t>novalidate</t>
    </r>
    <r>
      <rPr>
        <sz val="11"/>
        <color rgb="FFBBBEBF"/>
        <rFont val="Consolas"/>
        <family val="3"/>
        <charset val="1"/>
      </rPr>
      <t>=</t>
    </r>
    <r>
      <rPr>
        <sz val="11"/>
        <color rgb="FFA5D6FF"/>
        <rFont val="Consolas"/>
        <family val="3"/>
        <charset val="1"/>
      </rPr>
      <t>""</t>
    </r>
    <r>
      <rPr>
        <sz val="11"/>
        <color rgb="FF808080"/>
        <rFont val="Consolas"/>
        <family val="3"/>
        <charset val="1"/>
      </rPr>
      <t>&gt;</t>
    </r>
  </si>
  <si>
    <t>    &lt;form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</si>
  <si>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"mc_embed_signup_scroll"</t>
    </r>
    <r>
      <rPr>
        <sz val="11"/>
        <color rgb="FF808080"/>
        <rFont val="Consolas"/>
        <family val="3"/>
        <charset val="1"/>
      </rPr>
      <t>&gt;</t>
    </r>
  </si>
  <si>
    <t>        &lt;div id="mc_embed_signup_scroll"&gt;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</si>
  <si>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"mce-EMAIL"</t>
    </r>
    <r>
      <rPr>
        <sz val="11"/>
        <color rgb="FF808080"/>
        <rFont val="Consolas"/>
        <family val="3"/>
        <charset val="1"/>
      </rPr>
      <t>&gt;</t>
    </r>
    <r>
      <rPr>
        <sz val="11"/>
        <color rgb="FFBBBEBF"/>
        <rFont val="Consolas"/>
        <family val="3"/>
        <charset val="1"/>
      </rPr>
      <t>eMail Adresse</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"asterisk"</t>
    </r>
    <r>
      <rPr>
        <sz val="11"/>
        <color rgb="FF808080"/>
        <rFont val="Consolas"/>
        <family val="3"/>
        <charset val="1"/>
      </rPr>
      <t>&gt;</t>
    </r>
    <r>
      <rPr>
        <sz val="11"/>
        <color rgb="FFBBBEBF"/>
        <rFont val="Consolas"/>
        <family val="3"/>
        <charset val="1"/>
      </rPr>
      <t>* (erforderlich)</t>
    </r>
    <r>
      <rPr>
        <sz val="11"/>
        <color rgb="FF808080"/>
        <rFont val="Consolas"/>
        <family val="3"/>
        <charset val="1"/>
      </rPr>
      <t>&lt;/</t>
    </r>
    <r>
      <rPr>
        <sz val="11"/>
        <color rgb="FF7EE787"/>
        <rFont val="Consolas"/>
        <family val="3"/>
        <charset val="1"/>
      </rPr>
      <t>span</t>
    </r>
    <r>
      <rPr>
        <sz val="11"/>
        <color rgb="FF808080"/>
        <rFont val="Consolas"/>
        <family val="3"/>
        <charset val="1"/>
      </rPr>
      <t>&gt;&lt;/</t>
    </r>
    <r>
      <rPr>
        <sz val="11"/>
        <color rgb="FF7EE787"/>
        <rFont val="Consolas"/>
        <family val="3"/>
        <charset val="1"/>
      </rPr>
      <t>label</t>
    </r>
    <r>
      <rPr>
        <sz val="11"/>
        <color rgb="FF808080"/>
        <rFont val="Consolas"/>
        <family val="3"/>
        <charset val="1"/>
      </rPr>
      <t>&gt;</t>
    </r>
  </si>
  <si>
    <t>            &lt;div class="mc-field-group"&gt;&lt;label for="mce-EMAIL"&gt;eMail Adresse&lt;span class="asterisk"&gt;* (erforderlich)&lt;/span&gt;&lt;/label&gt;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</si>
  <si>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"EMAIL"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"required email"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"mce-EMAIL"</t>
    </r>
    <r>
      <rPr>
        <sz val="11"/>
        <color rgb="FFBBBEBF"/>
        <rFont val="Consolas"/>
        <family val="3"/>
        <charset val="1"/>
      </rPr>
      <t xml:space="preserve"> </t>
    </r>
    <r>
      <rPr>
        <sz val="11"/>
        <color rgb="FF9CDCFE"/>
        <rFont val="Consolas"/>
        <family val="3"/>
        <charset val="1"/>
      </rPr>
      <t>required</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</si>
  <si>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type="email" name="EMAIL" class="required email" id="mce-EMAIL" required=""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</si>
  <si>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"mce-FNAME"</t>
    </r>
    <r>
      <rPr>
        <sz val="11"/>
        <color rgb="FF808080"/>
        <rFont val="Consolas"/>
        <family val="3"/>
        <charset val="1"/>
      </rPr>
      <t>&gt;</t>
    </r>
    <r>
      <rPr>
        <sz val="11"/>
        <color rgb="FFBBBEBF"/>
        <rFont val="Consolas"/>
        <family val="3"/>
        <charset val="1"/>
      </rPr>
      <t xml:space="preserve">Vorname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</si>
  <si>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for="mce-FNAME"&gt;Vorname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</si>
  <si>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"FNAME"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"mce-FNAME"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</si>
  <si>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name="FNAME" class=" text" id="mce-FNAME"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</si>
  <si>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"mce-LNAME"</t>
    </r>
    <r>
      <rPr>
        <sz val="11"/>
        <color rgb="FF808080"/>
        <rFont val="Consolas"/>
        <family val="3"/>
        <charset val="1"/>
      </rPr>
      <t>&gt;</t>
    </r>
    <r>
      <rPr>
        <sz val="11"/>
        <color rgb="FFBBBEBF"/>
        <rFont val="Consolas"/>
        <family val="3"/>
        <charset val="1"/>
      </rPr>
      <t xml:space="preserve">Nachname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</si>
  <si>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for="mce-LNAME"&gt;Nachname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</si>
  <si>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"LNAME"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"mce-LNAME"</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</si>
  <si>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&lt;input type="text" name="LNAME" class=" text" id="mce-LNAME" value=""&gt;&lt;/div&gt;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</si>
  <si>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 input-group"</t>
    </r>
    <r>
      <rPr>
        <sz val="11"/>
        <color rgb="FF808080"/>
        <rFont val="Consolas"/>
        <family val="3"/>
        <charset val="1"/>
      </rPr>
      <t>&gt;</t>
    </r>
  </si>
  <si>
    <t>                    &lt;div class="mc-field-group input-group"&gt;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</si>
  <si>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strong</t>
    </r>
    <r>
      <rPr>
        <sz val="11"/>
        <color rgb="FF808080"/>
        <rFont val="Consolas"/>
        <family val="3"/>
        <charset val="1"/>
      </rPr>
      <t>&gt;</t>
    </r>
    <r>
      <rPr>
        <sz val="11"/>
        <color rgb="FFBBBEBF"/>
        <rFont val="Consolas"/>
        <family val="3"/>
        <charset val="1"/>
      </rPr>
      <t>Ich interessiere auch mich für:</t>
    </r>
    <r>
      <rPr>
        <sz val="11"/>
        <color rgb="FF808080"/>
        <rFont val="Consolas"/>
        <family val="3"/>
        <charset val="1"/>
      </rPr>
      <t>&lt;/</t>
    </r>
    <r>
      <rPr>
        <sz val="11"/>
        <color rgb="FF7EE787"/>
        <rFont val="Consolas"/>
        <family val="3"/>
        <charset val="1"/>
      </rPr>
      <t>strong</t>
    </r>
    <r>
      <rPr>
        <sz val="11"/>
        <color rgb="FF808080"/>
        <rFont val="Consolas"/>
        <family val="3"/>
        <charset val="1"/>
      </rPr>
      <t>&gt;</t>
    </r>
  </si>
  <si>
    <t>                        &lt;strong&gt;Ich interessiere auch mich für:&lt;/strong&gt;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</si>
  <si>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"interest-group"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"text-align: left;"</t>
    </r>
    <r>
      <rPr>
        <sz val="11"/>
        <color rgb="FF808080"/>
        <rFont val="Consolas"/>
        <family val="3"/>
        <charset val="1"/>
      </rPr>
      <t>&gt;</t>
    </r>
  </si>
  <si>
    <t>                        &lt;ul class="interest-group" style="text-align: left;"&gt;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</si>
  <si>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"group[16777][64]"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"mce-group[16777]-16777-0"</t>
    </r>
    <r>
      <rPr>
        <sz val="11"/>
        <color rgb="FF808080"/>
        <rFont val="Consolas"/>
        <family val="3"/>
        <charset val="1"/>
      </rPr>
      <t>&gt;</t>
    </r>
    <r>
      <rPr>
        <sz val="11"/>
        <color rgb="FFBBBEBF"/>
        <rFont val="Consolas"/>
        <family val="3"/>
        <charset val="1"/>
      </rPr>
      <t>alle Veranstaltungen des Karmel in Österreich</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</si>
  <si>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name="group[16777][64]" id="mce-group[16777]-16777-0" value=""&gt;&lt;label for="mce-group[16777]-16777-0"&gt;alle Veranstaltungen des Karmel in Österreich&lt;/label&gt;&lt;/li&gt;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</si>
  <si>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Orte und Formate einschränken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</si>
  <si>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</si>
  <si>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</si>
  <si>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</si>
  <si>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"group[16777][512]"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t>
    </r>
    <r>
      <rPr>
        <sz val="11"/>
        <color rgb="FF808080"/>
        <rFont val="Consolas"/>
        <family val="3"/>
        <charset val="1"/>
      </rPr>
      <t>&gt;</t>
    </r>
    <r>
      <rPr>
        <sz val="11"/>
        <color rgb="FFBBBEBF"/>
        <rFont val="Consolas"/>
        <family val="3"/>
        <charset val="1"/>
      </rPr>
      <t>in Wien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</si>
  <si>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name="group[16777][512]" id="mce-group[16777]-16777-1" value="" &gt;&lt;label for="mce-group[16777]-16777-1"&gt;in Wien&lt;/label&gt;&lt;/li&gt;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</si>
  <si>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"group[16777][1024]"</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"mce-group[16777]-16777-2"</t>
    </r>
    <r>
      <rPr>
        <sz val="11"/>
        <color rgb="FF808080"/>
        <rFont val="Consolas"/>
        <family val="3"/>
        <charset val="1"/>
      </rPr>
      <t>&gt;</t>
    </r>
    <r>
      <rPr>
        <sz val="11"/>
        <color rgb="FFBBBEBF"/>
        <rFont val="Consolas"/>
        <family val="3"/>
        <charset val="1"/>
      </rPr>
      <t>in Linz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</si>
  <si>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name="group[16777][1024]" id="mce-group[16777]-16777-2" value="" &gt;&lt;label for="mce-group[16777]-16777-2"&gt;in Linz&lt;/label&gt;&lt;/li&gt;</t>
  </si>
  <si>
    <t>&lt;form action="https://karmel.us6.list-manage.com/subscribe/post?u=7c9d2aa0ecc1fde64fd44bc67&amp;amp;id=10430a5833&amp;amp;f_id=009254e3f0" method="post" id="mc-embedded-subscribe-form" name="mc-embedded-subscribe-form" class="validate" target="_self" novalidate=""&gt;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</si>
  <si>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"group[16777][2048]"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"mce-group[16777]-16777-3"</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"mce-group[16777]-16777-3"</t>
    </r>
    <r>
      <rPr>
        <sz val="11"/>
        <color rgb="FF808080"/>
        <rFont val="Consolas"/>
        <family val="3"/>
        <charset val="1"/>
      </rPr>
      <t>&gt;</t>
    </r>
    <r>
      <rPr>
        <sz val="11"/>
        <color rgb="FFBBBEBF"/>
        <rFont val="Consolas"/>
        <family val="3"/>
        <charset val="1"/>
      </rPr>
      <t>in Graz</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</si>
  <si>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name="group[16777][2048]" id="mce-group[16777]-16777-3" value="" &gt;&lt;label for="mce-group[16777]-16777-3"&gt;in Graz&lt;/label&gt;&lt;/li&gt;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</si>
  <si>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"group[16777][524288]"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"mce-group[16777]-16777-4"</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"mce-group[16777]-16777-4"</t>
    </r>
    <r>
      <rPr>
        <sz val="11"/>
        <color rgb="FF808080"/>
        <rFont val="Consolas"/>
        <family val="3"/>
        <charset val="1"/>
      </rPr>
      <t>&gt;</t>
    </r>
    <r>
      <rPr>
        <sz val="11"/>
        <color rgb="FFBBBEBF"/>
        <rFont val="Consolas"/>
        <family val="3"/>
        <charset val="1"/>
      </rPr>
      <t>online</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</si>
  <si>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name="group[16777][524288]" id="mce-group[16777]-16777-4" value=""&gt;&lt;label for="mce-group[16777]-16777-4"&gt;online&lt;/label&gt;&lt;/li&gt;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</si>
  <si>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</si>
  <si>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</si>
  <si>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</si>
  <si>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</si>
  <si>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"group[16777][256]"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"mce-group[16777]-16777-5"</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"mce-group[16777]-16777-5"</t>
    </r>
    <r>
      <rPr>
        <sz val="11"/>
        <color rgb="FF808080"/>
        <rFont val="Consolas"/>
        <family val="3"/>
        <charset val="1"/>
      </rPr>
      <t>&gt;</t>
    </r>
    <r>
      <rPr>
        <sz val="11"/>
        <color rgb="FFBBBEBF"/>
        <rFont val="Consolas"/>
        <family val="3"/>
        <charset val="1"/>
      </rPr>
      <t>Infos/Veranstaltungen der Edith Stein Gesellschaft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</si>
  <si>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name="group[16777][256]" id="mce-group[16777]-16777-5" value=""&gt;&lt;label for="mce-group[16777]-16777-5"&gt;Infos/Veranstaltungen der Edith Stein Gesellschaft&lt;/label&gt;&lt;/li&gt;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</si>
  <si>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"option-group"</t>
    </r>
    <r>
      <rPr>
        <sz val="11"/>
        <color rgb="FF808080"/>
        <rFont val="Consolas"/>
        <family val="3"/>
        <charset val="1"/>
      </rPr>
      <t>&gt;&lt;</t>
    </r>
    <r>
      <rPr>
        <sz val="11"/>
        <color rgb="FF7EE787"/>
        <rFont val="Consolas"/>
        <family val="3"/>
        <charset val="1"/>
      </rPr>
      <t>summary</t>
    </r>
    <r>
      <rPr>
        <sz val="11"/>
        <color rgb="FF808080"/>
        <rFont val="Consolas"/>
        <family val="3"/>
        <charset val="1"/>
      </rPr>
      <t>&gt;</t>
    </r>
    <r>
      <rPr>
        <sz val="11"/>
        <color rgb="FFBBBEBF"/>
        <rFont val="Consolas"/>
        <family val="3"/>
        <charset val="1"/>
      </rPr>
      <t>Novenen und Exerzitien auswählen</t>
    </r>
    <r>
      <rPr>
        <sz val="11"/>
        <color rgb="FF808080"/>
        <rFont val="Consolas"/>
        <family val="3"/>
        <charset val="1"/>
      </rPr>
      <t>&lt;/</t>
    </r>
    <r>
      <rPr>
        <sz val="11"/>
        <color rgb="FF7EE787"/>
        <rFont val="Consolas"/>
        <family val="3"/>
        <charset val="1"/>
      </rPr>
      <t>summary</t>
    </r>
    <r>
      <rPr>
        <sz val="11"/>
        <color rgb="FF808080"/>
        <rFont val="Consolas"/>
        <family val="3"/>
        <charset val="1"/>
      </rPr>
      <t>&gt;</t>
    </r>
  </si>
  <si>
    <t>                        &lt;details class="option-group"&gt;&lt;summary&gt;Novenen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</si>
  <si>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</si>
  <si>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</si>
  <si>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"group[16777][128]"</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"mce-group[16777]-16777-6"</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"mce-group[16777]-16777-6"</t>
    </r>
    <r>
      <rPr>
        <sz val="11"/>
        <color rgb="FF808080"/>
        <rFont val="Consolas"/>
        <family val="3"/>
        <charset val="1"/>
      </rPr>
      <t>&gt;</t>
    </r>
    <r>
      <rPr>
        <sz val="11"/>
        <color rgb="FFBBBEBF"/>
        <rFont val="Consolas"/>
        <family val="3"/>
        <charset val="1"/>
      </rPr>
      <t>Friedensgebet/Novene Hl. Edith Stein</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</si>
  <si>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name="group[16777][128]" id="mce-group[16777]-16777-6" value=""&gt;&lt;label for="mce-group[16777]-16777-6"&gt;Friedensgebet/Novene Hl. Edith Stein&lt;/label&gt;&lt;/li&gt;</t>
  </si>
  <si>
    <t>                                        &lt;div class="mc-field-group"&gt;&lt;label for="mce-AUFMERKS01"&gt;Wie sind Sie auf uns aufmerksam geworden?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</si>
  <si>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"display:none"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"group[16777][32]"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"mce-group[16777]-16777-7"</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checked</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"mce-group[16777]-16777-7"</t>
    </r>
    <r>
      <rPr>
        <sz val="11"/>
        <color rgb="FF808080"/>
        <rFont val="Consolas"/>
        <family val="3"/>
        <charset val="1"/>
      </rPr>
      <t>&gt;</t>
    </r>
    <r>
      <rPr>
        <sz val="11"/>
        <color rgb="FFBBBEBF"/>
        <rFont val="Consolas"/>
        <family val="3"/>
        <charset val="1"/>
      </rPr>
      <t>Exerzitien Online in Advent/Fastenzeit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</si>
  <si>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 style="display:none"&gt;&lt;input type="checkbox" name="group[16777][32]" id="mce-group[16777]-16777-7" value="" checked&gt;&lt;label for="mce-group[16777]-16777-7"&gt;Exerzitien Online in Advent/Fastenzeit&lt;/label&gt;&lt;/li&gt;</t>
  </si>
  <si>
    <t>                        &lt;select name="AUFMERKS01" class="" id="mce-AUFMERKS01"&gt;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</si>
  <si>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"group[16777][16]"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"mce-group[16777]-16777-8"</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"mce-group[16777]-16777-8"</t>
    </r>
    <r>
      <rPr>
        <sz val="11"/>
        <color rgb="FF808080"/>
        <rFont val="Consolas"/>
        <family val="3"/>
        <charset val="1"/>
      </rPr>
      <t>&gt;</t>
    </r>
    <r>
      <rPr>
        <sz val="11"/>
        <color rgb="FFBBBEBF"/>
        <rFont val="Consolas"/>
        <family val="3"/>
        <charset val="1"/>
      </rPr>
      <t>Novene Online zum Skapulierfest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</si>
  <si>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name="group[16777][16]" id="mce-group[16777]-16777-8" value=""&gt;&lt;label for="mce-group[16777]-16777-8"&gt;Novene Online zum Skapulierfest&lt;/label&gt;&lt;/li&gt;</t>
  </si>
  <si>
    <t>                        &lt;option value="Bitte auswahlen..."&gt;Bitte auswahlen...&lt;/option&gt;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</si>
  <si>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"group[16777][8192]"</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"mce-group[16777]-16777-9"</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"mce-group[16777]-16777-9"</t>
    </r>
    <r>
      <rPr>
        <sz val="11"/>
        <color rgb="FF808080"/>
        <rFont val="Consolas"/>
        <family val="3"/>
        <charset val="1"/>
      </rPr>
      <t>&gt;</t>
    </r>
    <r>
      <rPr>
        <sz val="11"/>
        <color rgb="FFBBBEBF"/>
        <rFont val="Consolas"/>
        <family val="3"/>
        <charset val="1"/>
      </rPr>
      <t>33 Schritte mit Maria zu Jesus</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</si>
  <si>
    <t>                        &lt;li&gt;&lt;input type="checkbox" name="group[16777][8192]" id="mce-group[16777]-16777-9" value=""&gt;&lt;label for="mce-group[16777]-16777-9"&gt;33 Schritte mit Maria zu Jesus&lt;/label&gt;&lt;/li&gt;</t>
  </si>
  <si>
    <t>                        &lt;option value="Karmeliten in Wien"&gt;Karmeliten in Wien&lt;/option&gt;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</si>
  <si>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li</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"checkbox"</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"group[16777][4096]"</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"mce-group[16777]-16777-10"</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"mce-group[16777]-16777-10"</t>
    </r>
    <r>
      <rPr>
        <sz val="11"/>
        <color rgb="FF808080"/>
        <rFont val="Consolas"/>
        <family val="3"/>
        <charset val="1"/>
      </rPr>
      <t>&gt;</t>
    </r>
    <r>
      <rPr>
        <sz val="11"/>
        <color rgb="FFBBBEBF"/>
        <rFont val="Consolas"/>
        <family val="3"/>
        <charset val="1"/>
      </rPr>
      <t>Jesus-Gebet</t>
    </r>
    <r>
      <rPr>
        <sz val="11"/>
        <color rgb="FF808080"/>
        <rFont val="Consolas"/>
        <family val="3"/>
        <charset val="1"/>
      </rPr>
      <t>&lt;/</t>
    </r>
    <r>
      <rPr>
        <sz val="11"/>
        <color rgb="FF7EE787"/>
        <rFont val="Consolas"/>
        <family val="3"/>
        <charset val="1"/>
      </rPr>
      <t>label</t>
    </r>
    <r>
      <rPr>
        <sz val="11"/>
        <color rgb="FF808080"/>
        <rFont val="Consolas"/>
        <family val="3"/>
        <charset val="1"/>
      </rPr>
      <t>&gt;&lt;/</t>
    </r>
    <r>
      <rPr>
        <sz val="11"/>
        <color rgb="FF7EE787"/>
        <rFont val="Consolas"/>
        <family val="3"/>
        <charset val="1"/>
      </rPr>
      <t>li</t>
    </r>
    <r>
      <rPr>
        <sz val="11"/>
        <color rgb="FF808080"/>
        <rFont val="Consolas"/>
        <family val="3"/>
        <charset val="1"/>
      </rPr>
      <t>&gt;</t>
    </r>
    <r>
      <rPr>
        <sz val="11"/>
        <color rgb="FFBBBEBF"/>
        <rFont val="Consolas"/>
        <family val="3"/>
        <charset val="1"/>
      </rPr>
      <t xml:space="preserve">                      </t>
    </r>
  </si>
  <si>
    <t>                        &lt;li&gt;&lt;input type="checkbox" name="group[16777][4096]" id="mce-group[16777]-16777-10" value=""&gt;&lt;label for="mce-group[16777]-16777-10"&gt;Jesus-Gebet&lt;/label&gt;&lt;/li&gt;                      </t>
  </si>
  <si>
    <t>                        &lt;option value="Karmeliten in Linz"&gt;Karmeliten in Linz&lt;/option&gt;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</si>
  <si>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ul</t>
    </r>
    <r>
      <rPr>
        <sz val="11"/>
        <color rgb="FF808080"/>
        <rFont val="Consolas"/>
        <family val="3"/>
        <charset val="1"/>
      </rPr>
      <t>&gt;</t>
    </r>
  </si>
  <si>
    <t>                          &lt;/ul&gt;</t>
  </si>
  <si>
    <t>                        &lt;option value="Karmeliten in Graz"&gt;Karmeliten in Graz&lt;/option&gt;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</si>
  <si>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details</t>
    </r>
    <r>
      <rPr>
        <sz val="11"/>
        <color rgb="FF808080"/>
        <rFont val="Consolas"/>
        <family val="3"/>
        <charset val="1"/>
      </rPr>
      <t>&gt;</t>
    </r>
  </si>
  <si>
    <t>                        &lt;/details&gt;</t>
  </si>
  <si>
    <t>                        &lt;option value="Persönliche Empfehlung"&gt;Persönliche Empfehlung&lt;/option&gt;</t>
  </si>
  <si>
    <t>&lt;!--                                    &lt;div class="card-links"&gt;</t>
  </si>
  <si>
    <t>                        &lt;option value="Plakat"&gt;Plakat&lt;/option&gt;</t>
  </si>
  <si>
    <t>              &lt;a href="#angebote-cards"&gt;Mehr Informationen zur Angebote nach unten&lt;/a&gt;</t>
  </si>
  <si>
    <t>                        &lt;option value="Internetsuche"&gt;Internetsuche&lt;/option&gt;</t>
  </si>
  <si>
    <t>            &lt;/div&gt; --&gt;</t>
  </si>
  <si>
    <t>                        &lt;option value="YouTube"&gt;YouTube&lt;/option&gt;</t>
  </si>
  <si>
    <t>                        &lt;option value="Facebook"&gt;Facebook&lt;/option&gt;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</si>
  <si>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hidden</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"hidden"</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"tags"</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"8501"</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</si>
  <si>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hidden=""&gt;&lt;input type="hidden" name="tags" value="8501"&gt;&lt;/div&gt;</t>
  </si>
  <si>
    <t>                        &lt;option value="Instagram"&gt;Instagram&lt;/option&gt;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</si>
  <si>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</si>
  <si>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</si>
  <si>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&lt;option value="Sonstiges"&gt;Sonstiges&lt;/option&gt;&lt;/select&gt;&lt;/div&gt;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</si>
  <si>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"mce-AUFMERKS01"</t>
    </r>
    <r>
      <rPr>
        <sz val="11"/>
        <color rgb="FF808080"/>
        <rFont val="Consolas"/>
        <family val="3"/>
        <charset val="1"/>
      </rPr>
      <t>&gt;</t>
    </r>
    <r>
      <rPr>
        <sz val="11"/>
        <color rgb="FFBBBEBF"/>
        <rFont val="Consolas"/>
        <family val="3"/>
        <charset val="1"/>
      </rPr>
      <t xml:space="preserve">Wie sind Sie auf uns aufmerksam geworden?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</si>
  <si>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for="mce-AUFMERKS01"&gt;Wie sind Sie auf uns aufmerksam geworden? &lt;/label&gt;</t>
  </si>
  <si>
    <t>                      &lt;div class="mc-field-group" id="sonstiges-field" style="display:none"&gt;&lt;label for="mce-AUFMERKS02"&gt;Sonstiges&lt;/label&gt;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</si>
  <si>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select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"AUFMERKS01"</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"mce-AUFMERKS01"</t>
    </r>
    <r>
      <rPr>
        <sz val="11"/>
        <color rgb="FF808080"/>
        <rFont val="Consolas"/>
        <family val="3"/>
        <charset val="1"/>
      </rPr>
      <t>&gt;</t>
    </r>
  </si>
  <si>
    <t>                        &lt;input type="text" name="AUFMERKS02" class=" text" id="mce-AUFMERKS02" value="" disabled&gt;&lt;span id="mce-AUFMERKS02-HELPERTEXT" class="help-block" hidden&gt;Wenn Sie „Sonstiges“ ausgewählt haben, geben Sie bitte hier &lt;/span&gt;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</si>
  <si>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"Bitte auswahlen..."</t>
    </r>
    <r>
      <rPr>
        <sz val="11"/>
        <color rgb="FF808080"/>
        <rFont val="Consolas"/>
        <family val="3"/>
        <charset val="1"/>
      </rPr>
      <t>&gt;</t>
    </r>
    <r>
      <rPr>
        <sz val="11"/>
        <color rgb="FFBBBEBF"/>
        <rFont val="Consolas"/>
        <family val="3"/>
        <charset val="1"/>
      </rPr>
      <t>Bitte auswahlen...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</si>
  <si>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</si>
  <si>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Wien"</t>
    </r>
    <r>
      <rPr>
        <sz val="11"/>
        <color rgb="FF808080"/>
        <rFont val="Consolas"/>
        <family val="3"/>
        <charset val="1"/>
      </rPr>
      <t>&gt;</t>
    </r>
    <r>
      <rPr>
        <sz val="11"/>
        <color rgb="FFBBBEBF"/>
        <rFont val="Consolas"/>
        <family val="3"/>
        <charset val="1"/>
      </rPr>
      <t>Karmeliten in Wien</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</si>
  <si>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 class="mc-field-group"&gt;&lt;label for="mce-LNAME"&gt;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</si>
  <si>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Linz"</t>
    </r>
    <r>
      <rPr>
        <sz val="11"/>
        <color rgb="FF808080"/>
        <rFont val="Consolas"/>
        <family val="3"/>
        <charset val="1"/>
      </rPr>
      <t>&gt;</t>
    </r>
    <r>
      <rPr>
        <sz val="11"/>
        <color rgb="FFBBBEBF"/>
        <rFont val="Consolas"/>
        <family val="3"/>
        <charset val="1"/>
      </rPr>
      <t>Karmeliten in Linz</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</si>
  <si>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</si>
  <si>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"Karmeliten in Graz"</t>
    </r>
    <r>
      <rPr>
        <sz val="11"/>
        <color rgb="FF808080"/>
        <rFont val="Consolas"/>
        <family val="3"/>
        <charset val="1"/>
      </rPr>
      <t>&gt;</t>
    </r>
    <r>
      <rPr>
        <sz val="11"/>
        <color rgb="FFBBBEBF"/>
        <rFont val="Consolas"/>
        <family val="3"/>
        <charset val="1"/>
      </rPr>
      <t>Karmeliten in Graz</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</si>
  <si>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"Persönliche Empfehlung"</t>
    </r>
    <r>
      <rPr>
        <sz val="11"/>
        <color rgb="FF808080"/>
        <rFont val="Consolas"/>
        <family val="3"/>
        <charset val="1"/>
      </rPr>
      <t>&gt;</t>
    </r>
    <r>
      <rPr>
        <sz val="11"/>
        <color rgb="FFBBBEBF"/>
        <rFont val="Consolas"/>
        <family val="3"/>
        <charset val="1"/>
      </rPr>
      <t>Persönliche Empfehlung</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</si>
  <si>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</si>
  <si>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"Plakat"</t>
    </r>
    <r>
      <rPr>
        <sz val="11"/>
        <color rgb="FF808080"/>
        <rFont val="Consolas"/>
        <family val="3"/>
        <charset val="1"/>
      </rPr>
      <t>&gt;</t>
    </r>
    <r>
      <rPr>
        <sz val="11"/>
        <color rgb="FFBBBEBF"/>
        <rFont val="Consolas"/>
        <family val="3"/>
        <charset val="1"/>
      </rPr>
      <t>Plakat</t>
    </r>
    <r>
      <rPr>
        <sz val="11"/>
        <color rgb="FF808080"/>
        <rFont val="Consolas"/>
        <family val="3"/>
        <charset val="1"/>
      </rPr>
      <t>&lt;/</t>
    </r>
    <r>
      <rPr>
        <sz val="11"/>
        <color rgb="FF7EE787"/>
        <rFont val="Consolas"/>
        <family val="3"/>
        <charset val="1"/>
      </rPr>
      <t>option</t>
    </r>
    <r>
      <rPr>
        <sz val="11"/>
        <color rgb="FF808080"/>
        <rFont val="Consolas"/>
        <family val="3"/>
        <charset val="1"/>
      </rPr>
      <t>&gt;</t>
    </r>
  </si>
  <si>
    <t>                        &lt;summary&gt;Weitere Angebote der Karmeliten&lt;/summary&gt;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</si>
  <si>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"Internetsuche"</t>
    </r>
    <r>
      <rPr>
        <sz val="11"/>
        <color rgb="FF808080"/>
        <rFont val="Consolas"/>
        <family val="3"/>
        <charset val="1"/>
      </rPr>
      <t>&gt;</t>
    </r>
    <r>
      <rPr>
        <sz val="11"/>
        <color rgb="FFBBBEBF"/>
        <rFont val="Consolas"/>
        <family val="3"/>
        <charset val="1"/>
      </rPr>
      <t>Internetsuche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</si>
  <si>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"YouTube"</t>
    </r>
    <r>
      <rPr>
        <sz val="11"/>
        <color rgb="FF808080"/>
        <rFont val="Consolas"/>
        <family val="3"/>
        <charset val="1"/>
      </rPr>
      <t>&gt;</t>
    </r>
    <r>
      <rPr>
        <sz val="11"/>
        <color rgb="FFBBBEBF"/>
        <rFont val="Consolas"/>
        <family val="3"/>
        <charset val="1"/>
      </rPr>
      <t>YouTube</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</si>
  <si>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"Facebook"</t>
    </r>
    <r>
      <rPr>
        <sz val="11"/>
        <color rgb="FF808080"/>
        <rFont val="Consolas"/>
        <family val="3"/>
        <charset val="1"/>
      </rPr>
      <t>&gt;</t>
    </r>
    <r>
      <rPr>
        <sz val="11"/>
        <color rgb="FFBBBEBF"/>
        <rFont val="Consolas"/>
        <family val="3"/>
        <charset val="1"/>
      </rPr>
      <t>Facebook</t>
    </r>
    <r>
      <rPr>
        <sz val="11"/>
        <color rgb="FF808080"/>
        <rFont val="Consolas"/>
        <family val="3"/>
        <charset val="1"/>
      </rPr>
      <t>&lt;/</t>
    </r>
    <r>
      <rPr>
        <sz val="11"/>
        <color rgb="FF7EE787"/>
        <rFont val="Consolas"/>
        <family val="3"/>
        <charset val="1"/>
      </rPr>
      <t>option</t>
    </r>
    <r>
      <rPr>
        <sz val="11"/>
        <color rgb="FF808080"/>
        <rFont val="Consolas"/>
        <family val="3"/>
        <charset val="1"/>
      </rPr>
      <t>&gt;</t>
    </r>
  </si>
  <si>
    <t>                          &lt;details class="interest-details" style="padding-left: 1rem"&gt;&lt;summary&gt;Orte und Formate einschränken&lt;/summary&gt;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</si>
  <si>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"Instagram"</t>
    </r>
    <r>
      <rPr>
        <sz val="11"/>
        <color rgb="FF808080"/>
        <rFont val="Consolas"/>
        <family val="3"/>
        <charset val="1"/>
      </rPr>
      <t>&gt;</t>
    </r>
    <r>
      <rPr>
        <sz val="11"/>
        <color rgb="FFBBBEBF"/>
        <rFont val="Consolas"/>
        <family val="3"/>
        <charset val="1"/>
      </rPr>
      <t>Instagram</t>
    </r>
    <r>
      <rPr>
        <sz val="11"/>
        <color rgb="FF808080"/>
        <rFont val="Consolas"/>
        <family val="3"/>
        <charset val="1"/>
      </rPr>
      <t>&lt;/</t>
    </r>
    <r>
      <rPr>
        <sz val="11"/>
        <color rgb="FF7EE787"/>
        <rFont val="Consolas"/>
        <family val="3"/>
        <charset val="1"/>
      </rPr>
      <t>option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</si>
  <si>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option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"Sonstiges – bitte unten angeben"</t>
    </r>
    <r>
      <rPr>
        <sz val="11"/>
        <color rgb="FF808080"/>
        <rFont val="Consolas"/>
        <family val="3"/>
        <charset val="1"/>
      </rPr>
      <t>&gt;</t>
    </r>
    <r>
      <rPr>
        <sz val="11"/>
        <color rgb="FFBBBEBF"/>
        <rFont val="Consolas"/>
        <family val="3"/>
        <charset val="1"/>
      </rPr>
      <t>Sonstiges – bitte unten angeben</t>
    </r>
    <r>
      <rPr>
        <sz val="11"/>
        <color rgb="FF808080"/>
        <rFont val="Consolas"/>
        <family val="3"/>
        <charset val="1"/>
      </rPr>
      <t>&lt;/</t>
    </r>
    <r>
      <rPr>
        <sz val="11"/>
        <color rgb="FF7EE787"/>
        <rFont val="Consolas"/>
        <family val="3"/>
        <charset val="1"/>
      </rPr>
      <t>option</t>
    </r>
    <r>
      <rPr>
        <sz val="11"/>
        <color rgb="FF808080"/>
        <rFont val="Consolas"/>
        <family val="3"/>
        <charset val="1"/>
      </rPr>
      <t>&gt;&lt;/</t>
    </r>
    <r>
      <rPr>
        <sz val="11"/>
        <color rgb="FF7EE787"/>
        <rFont val="Consolas"/>
        <family val="3"/>
        <charset val="1"/>
      </rPr>
      <t>select</t>
    </r>
    <r>
      <rPr>
        <sz val="11"/>
        <color rgb="FF808080"/>
        <rFont val="Consolas"/>
        <family val="3"/>
        <charset val="1"/>
      </rPr>
      <t>&gt;&lt;/</t>
    </r>
    <r>
      <rPr>
        <sz val="11"/>
        <color rgb="FF7EE787"/>
        <rFont val="Consolas"/>
        <family val="3"/>
        <charset val="1"/>
      </rPr>
      <t>div</t>
    </r>
    <r>
      <rPr>
        <sz val="11"/>
        <color rgb="FF808080"/>
        <rFont val="Consolas"/>
        <family val="3"/>
        <charset val="1"/>
      </rPr>
      <t>&gt;</t>
    </r>
  </si>
  <si>
    <t>                        &lt;option value="Sonstiges – bitte unten angeben"&gt;Sonstiges – bitte unten angeben&lt;/option&gt;&lt;/select&gt;&lt;/div&gt;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</si>
  <si>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"mc-field-group"</t>
    </r>
    <r>
      <rPr>
        <sz val="11"/>
        <color rgb="FF808080"/>
        <rFont val="Consolas"/>
        <family val="3"/>
        <charset val="1"/>
      </rPr>
      <t>&gt;&lt;</t>
    </r>
    <r>
      <rPr>
        <sz val="11"/>
        <color rgb="FF7EE787"/>
        <rFont val="Consolas"/>
        <family val="3"/>
        <charset val="1"/>
      </rPr>
      <t>label</t>
    </r>
    <r>
      <rPr>
        <sz val="11"/>
        <color rgb="FFBBBEBF"/>
        <rFont val="Consolas"/>
        <family val="3"/>
        <charset val="1"/>
      </rPr>
      <t xml:space="preserve"> </t>
    </r>
    <r>
      <rPr>
        <sz val="11"/>
        <color rgb="FF9CDCFE"/>
        <rFont val="Consolas"/>
        <family val="3"/>
        <charset val="1"/>
      </rPr>
      <t>for</t>
    </r>
    <r>
      <rPr>
        <sz val="11"/>
        <color rgb="FFBBBEBF"/>
        <rFont val="Consolas"/>
        <family val="3"/>
        <charset val="1"/>
      </rPr>
      <t>=</t>
    </r>
    <r>
      <rPr>
        <sz val="11"/>
        <color rgb="FFA5D6FF"/>
        <rFont val="Consolas"/>
        <family val="3"/>
        <charset val="1"/>
      </rPr>
      <t>"mce-AUFMERKS02"</t>
    </r>
    <r>
      <rPr>
        <sz val="11"/>
        <color rgb="FF808080"/>
        <rFont val="Consolas"/>
        <family val="3"/>
        <charset val="1"/>
      </rPr>
      <t>&gt;</t>
    </r>
    <r>
      <rPr>
        <sz val="11"/>
        <color rgb="FFBBBEBF"/>
        <rFont val="Consolas"/>
        <family val="3"/>
        <charset val="1"/>
      </rPr>
      <t>Sonstiges – bitte hier angeben  </t>
    </r>
    <r>
      <rPr>
        <sz val="11"/>
        <color rgb="FF808080"/>
        <rFont val="Consolas"/>
        <family val="3"/>
        <charset val="1"/>
      </rPr>
      <t>&lt;/</t>
    </r>
    <r>
      <rPr>
        <sz val="11"/>
        <color rgb="FF7EE787"/>
        <rFont val="Consolas"/>
        <family val="3"/>
        <charset val="1"/>
      </rPr>
      <t>label</t>
    </r>
    <r>
      <rPr>
        <sz val="11"/>
        <color rgb="FF808080"/>
        <rFont val="Consolas"/>
        <family val="3"/>
        <charset val="1"/>
      </rPr>
      <t>&gt;</t>
    </r>
  </si>
  <si>
    <t>                      &lt;div class="mc-field-group"&gt;&lt;label for="mce-AUFMERKS02"&gt;Sonstiges – bitte hier angeben  &lt;/label&gt;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</si>
  <si>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"AUFMERKS02"</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 text"</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"mce-AUFMERKS02"</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t>
    </r>
  </si>
  <si>
    <t>                        &lt;input type="text" name="AUFMERKS02" class=" text" id="mce-AUFMERKS02" value=""&gt;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</si>
  <si>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</si>
  <si>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"mce-responses"</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t>
    </r>
  </si>
  <si>
    <t>        &lt;div id="mce-responses" class="clear"&gt;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</si>
  <si>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"mce-error-response"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</si>
  <si>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id="mce-error-response"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</si>
  <si>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"response"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"mce-success-response"</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 none;"</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</si>
  <si>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class="response" id="mce-success-response" style="display: none;"&gt;&lt;/div&gt;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</si>
  <si>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"position: absolute; left: -5000px;"</t>
    </r>
    <r>
      <rPr>
        <sz val="11"/>
        <color rgb="FFBBBEBF"/>
        <rFont val="Consolas"/>
        <family val="3"/>
        <charset val="1"/>
      </rPr>
      <t xml:space="preserve"> </t>
    </r>
    <r>
      <rPr>
        <sz val="11"/>
        <color rgb="FF9CDCFE"/>
        <rFont val="Consolas"/>
        <family val="3"/>
        <charset val="1"/>
      </rPr>
      <t>aria-hidden</t>
    </r>
    <r>
      <rPr>
        <sz val="11"/>
        <color rgb="FFBBBEBF"/>
        <rFont val="Consolas"/>
        <family val="3"/>
        <charset val="1"/>
      </rPr>
      <t>=</t>
    </r>
    <r>
      <rPr>
        <sz val="11"/>
        <color rgb="FFA5D6FF"/>
        <rFont val="Consolas"/>
        <family val="3"/>
        <charset val="1"/>
      </rPr>
      <t>"true"</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"text"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"b_7c9d2aa0ecc1fde64fd44bc67_10430a5833"</t>
    </r>
    <r>
      <rPr>
        <sz val="11"/>
        <color rgb="FFBBBEBF"/>
        <rFont val="Consolas"/>
        <family val="3"/>
        <charset val="1"/>
      </rPr>
      <t xml:space="preserve"> </t>
    </r>
    <r>
      <rPr>
        <sz val="11"/>
        <color rgb="FF9CDCFE"/>
        <rFont val="Consolas"/>
        <family val="3"/>
        <charset val="1"/>
      </rPr>
      <t>tabindex</t>
    </r>
    <r>
      <rPr>
        <sz val="11"/>
        <color rgb="FFBBBEBF"/>
        <rFont val="Consolas"/>
        <family val="3"/>
        <charset val="1"/>
      </rPr>
      <t>=</t>
    </r>
    <r>
      <rPr>
        <sz val="11"/>
        <color rgb="FFA5D6FF"/>
        <rFont val="Consolas"/>
        <family val="3"/>
        <charset val="1"/>
      </rPr>
      <t>"-1"</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</si>
  <si>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&lt;/div&gt;&lt;div style="position: absolute; left: -5000px;" aria-hidden="true"&gt;&lt;input type="text" name="b_7c9d2aa0ecc1fde64fd44bc67_10430a5833" tabindex="-1" value=""&gt;&lt;/div&gt;</t>
  </si>
  <si>
    <t>                        &lt;details class="interest-details" &gt;&lt;summary&gt;Novenen und Exerzitien auswählen&lt;/summary&gt;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</si>
  <si>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"clear"</t>
    </r>
    <r>
      <rPr>
        <sz val="11"/>
        <color rgb="FF808080"/>
        <rFont val="Consolas"/>
        <family val="3"/>
        <charset val="1"/>
      </rPr>
      <t>&gt;&lt;</t>
    </r>
    <r>
      <rPr>
        <sz val="11"/>
        <color rgb="FF7EE787"/>
        <rFont val="Consolas"/>
        <family val="3"/>
        <charset val="1"/>
      </rPr>
      <t>input</t>
    </r>
    <r>
      <rPr>
        <sz val="11"/>
        <color rgb="FFBBBEBF"/>
        <rFont val="Consolas"/>
        <family val="3"/>
        <charset val="1"/>
      </rPr>
      <t xml:space="preserve"> </t>
    </r>
    <r>
      <rPr>
        <sz val="11"/>
        <color rgb="FF9CDCFE"/>
        <rFont val="Consolas"/>
        <family val="3"/>
        <charset val="1"/>
      </rPr>
      <t>type</t>
    </r>
    <r>
      <rPr>
        <sz val="11"/>
        <color rgb="FFBBBEBF"/>
        <rFont val="Consolas"/>
        <family val="3"/>
        <charset val="1"/>
      </rPr>
      <t>=</t>
    </r>
    <r>
      <rPr>
        <sz val="11"/>
        <color rgb="FFA5D6FF"/>
        <rFont val="Consolas"/>
        <family val="3"/>
        <charset val="1"/>
      </rPr>
      <t>"submit"</t>
    </r>
    <r>
      <rPr>
        <sz val="11"/>
        <color rgb="FFBBBEBF"/>
        <rFont val="Consolas"/>
        <family val="3"/>
        <charset val="1"/>
      </rPr>
      <t xml:space="preserve"> </t>
    </r>
    <r>
      <rPr>
        <sz val="11"/>
        <color rgb="FF9CDCFE"/>
        <rFont val="Consolas"/>
        <family val="3"/>
        <charset val="1"/>
      </rPr>
      <t>name</t>
    </r>
    <r>
      <rPr>
        <sz val="11"/>
        <color rgb="FFBBBEBF"/>
        <rFont val="Consolas"/>
        <family val="3"/>
        <charset val="1"/>
      </rPr>
      <t>=</t>
    </r>
    <r>
      <rPr>
        <sz val="11"/>
        <color rgb="FFA5D6FF"/>
        <rFont val="Consolas"/>
        <family val="3"/>
        <charset val="1"/>
      </rPr>
      <t>"subscribe"</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"mc-embedded-subscribe"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"button"</t>
    </r>
    <r>
      <rPr>
        <sz val="11"/>
        <color rgb="FFBBBEBF"/>
        <rFont val="Consolas"/>
        <family val="3"/>
        <charset val="1"/>
      </rPr>
      <t xml:space="preserve"> </t>
    </r>
    <r>
      <rPr>
        <sz val="11"/>
        <color rgb="FF9CDCFE"/>
        <rFont val="Consolas"/>
        <family val="3"/>
        <charset val="1"/>
      </rPr>
      <t>value</t>
    </r>
    <r>
      <rPr>
        <sz val="11"/>
        <color rgb="FFBBBEBF"/>
        <rFont val="Consolas"/>
        <family val="3"/>
        <charset val="1"/>
      </rPr>
      <t>=</t>
    </r>
    <r>
      <rPr>
        <sz val="11"/>
        <color rgb="FFA5D6FF"/>
        <rFont val="Consolas"/>
        <family val="3"/>
        <charset val="1"/>
      </rPr>
      <t>"Anmelden"</t>
    </r>
    <r>
      <rPr>
        <sz val="11"/>
        <color rgb="FF808080"/>
        <rFont val="Consolas"/>
        <family val="3"/>
        <charset val="1"/>
      </rPr>
      <t>&gt;&lt;/</t>
    </r>
    <r>
      <rPr>
        <sz val="11"/>
        <color rgb="FF7EE787"/>
        <rFont val="Consolas"/>
        <family val="3"/>
        <charset val="1"/>
      </rPr>
      <t>div</t>
    </r>
    <r>
      <rPr>
        <sz val="11"/>
        <color rgb="FF808080"/>
        <rFont val="Consolas"/>
        <family val="3"/>
        <charset val="1"/>
      </rPr>
      <t>&gt;</t>
    </r>
  </si>
  <si>
    <t>        &lt;div class="clear"&gt;&lt;input type="submit" name="subscribe" id="mc-embedded-subscribe" class="button" value="Anmelden"&gt;&lt;/div&gt;</t>
  </si>
  <si>
    <t xml:space="preserve">        </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</si>
  <si>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</si>
  <si>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"card-links"</t>
    </r>
    <r>
      <rPr>
        <sz val="11"/>
        <color rgb="FF808080"/>
        <rFont val="Consolas"/>
        <family val="3"/>
        <charset val="1"/>
      </rPr>
      <t>&gt;</t>
    </r>
  </si>
  <si>
    <t>    &lt;div class="card-links"&gt;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</si>
  <si>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"datenschutz-toggle"</t>
    </r>
    <r>
      <rPr>
        <sz val="11"/>
        <color rgb="FFBBBEBF"/>
        <rFont val="Consolas"/>
        <family val="3"/>
        <charset val="1"/>
      </rPr>
      <t xml:space="preserve"> </t>
    </r>
    <r>
      <rPr>
        <sz val="11"/>
        <color rgb="FF9CDCFE"/>
        <rFont val="Consolas"/>
        <family val="3"/>
        <charset val="1"/>
      </rPr>
      <t>aria-expanded</t>
    </r>
    <r>
      <rPr>
        <sz val="11"/>
        <color rgb="FFBBBEBF"/>
        <rFont val="Consolas"/>
        <family val="3"/>
        <charset val="1"/>
      </rPr>
      <t>=</t>
    </r>
    <r>
      <rPr>
        <sz val="11"/>
        <color rgb="FFA5D6FF"/>
        <rFont val="Consolas"/>
        <family val="3"/>
        <charset val="1"/>
      </rPr>
      <t>"false"</t>
    </r>
    <r>
      <rPr>
        <sz val="11"/>
        <color rgb="FFBBBEBF"/>
        <rFont val="Consolas"/>
        <family val="3"/>
        <charset val="1"/>
      </rPr>
      <t xml:space="preserve"> </t>
    </r>
    <r>
      <rPr>
        <sz val="11"/>
        <color rgb="FF9CDCFE"/>
        <rFont val="Consolas"/>
        <family val="3"/>
        <charset val="1"/>
      </rPr>
      <t>aria-controls</t>
    </r>
    <r>
      <rPr>
        <sz val="11"/>
        <color rgb="FFBBBEBF"/>
        <rFont val="Consolas"/>
        <family val="3"/>
        <charset val="1"/>
      </rPr>
      <t>=</t>
    </r>
    <r>
      <rPr>
        <sz val="11"/>
        <color rgb="FFA5D6FF"/>
        <rFont val="Consolas"/>
        <family val="3"/>
        <charset val="1"/>
      </rPr>
      <t>"datenschutz-wrap"</t>
    </r>
    <r>
      <rPr>
        <sz val="11"/>
        <color rgb="FF808080"/>
        <rFont val="Consolas"/>
        <family val="3"/>
        <charset val="1"/>
      </rPr>
      <t>&gt;</t>
    </r>
    <r>
      <rPr>
        <sz val="11"/>
        <color rgb="FFBBBEBF"/>
        <rFont val="Consolas"/>
        <family val="3"/>
        <charset val="1"/>
      </rPr>
      <t>Datenschutz</t>
    </r>
    <r>
      <rPr>
        <sz val="11"/>
        <color rgb="FF808080"/>
        <rFont val="Consolas"/>
        <family val="3"/>
        <charset val="1"/>
      </rPr>
      <t>&lt;/</t>
    </r>
    <r>
      <rPr>
        <sz val="11"/>
        <color rgb="FF7EE787"/>
        <rFont val="Consolas"/>
        <family val="3"/>
        <charset val="1"/>
      </rPr>
      <t>a</t>
    </r>
    <r>
      <rPr>
        <sz val="11"/>
        <color rgb="FF808080"/>
        <rFont val="Consolas"/>
        <family val="3"/>
        <charset val="1"/>
      </rPr>
      <t>&gt;</t>
    </r>
  </si>
  <si>
    <t>          &lt;a href="#datenschutz-wrap" id="datenschutz-toggle" aria-expanded="false" aria-controls="datenschutz-wrap"&gt;Datenschutz&lt;/a&gt;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</si>
  <si>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"datenschutz-wrap"</t>
    </r>
    <r>
      <rPr>
        <sz val="11"/>
        <color rgb="FFBBBEBF"/>
        <rFont val="Consolas"/>
        <family val="3"/>
        <charset val="1"/>
      </rPr>
      <t xml:space="preserve"> </t>
    </r>
    <r>
      <rPr>
        <sz val="11"/>
        <color rgb="FF9CDCFE"/>
        <rFont val="Consolas"/>
        <family val="3"/>
        <charset val="1"/>
      </rPr>
      <t>hidden</t>
    </r>
    <r>
      <rPr>
        <sz val="11"/>
        <color rgb="FF808080"/>
        <rFont val="Consolas"/>
        <family val="3"/>
        <charset val="1"/>
      </rPr>
      <t>&gt;</t>
    </r>
  </si>
  <si>
    <t>                      &lt;div id="datenschutz-wrap" hidden&gt;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</si>
  <si>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</si>
  <si>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</si>
  <si>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r>
      <rPr>
        <sz val="11"/>
        <color rgb="FFBBBEBF"/>
        <rFont val="Consolas"/>
        <family val="3"/>
        <charset val="1"/>
      </rPr>
      <t>Die Karmeliten in Österreich werden die Informationen, die Sie in diesem Formular angeben, dazu verwenden, mit Ihnen in Kontakt zu bleiben und Ihnen Informationen über Internet-Aktivitäten wie Exerzitien Online o.ä. zu übermitteln – je nach Ihrer Auswahl im obigen Formular.</t>
    </r>
  </si>
  <si>
    <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</si>
  <si>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</si>
  <si>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</si>
  <si>
    <t>          &lt;/p&gt;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</si>
  <si>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"font-size: 14px;"</t>
    </r>
    <r>
      <rPr>
        <sz val="11"/>
        <color rgb="FF808080"/>
        <rFont val="Consolas"/>
        <family val="3"/>
        <charset val="1"/>
      </rPr>
      <t>&gt;</t>
    </r>
  </si>
  <si>
    <t>          &lt;p style="font-size: 14px;"&gt;</t>
  </si>
  <si>
    <t>  Wir nutzen Mailchimp als unsere Marketing-Plattform. Mit einem Klick auf den untenstehenden Button zum Abonnieren erklären Sie sich damit einverstanden, dass Ihre Daten zur Verarbeitung an Mailchimp übermittelt werden.</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</si>
  <si>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"plain-link"</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"https://mailchimp.com/legal/terms/"</t>
    </r>
    <r>
      <rPr>
        <sz val="11"/>
        <color rgb="FFBBBEBF"/>
        <rFont val="Consolas"/>
        <family val="3"/>
        <charset val="1"/>
      </rPr>
      <t xml:space="preserve"> </t>
    </r>
    <r>
      <rPr>
        <sz val="11"/>
        <color rgb="FF9CDCFE"/>
        <rFont val="Consolas"/>
        <family val="3"/>
        <charset val="1"/>
      </rPr>
      <t>target</t>
    </r>
    <r>
      <rPr>
        <sz val="11"/>
        <color rgb="FFBBBEBF"/>
        <rFont val="Consolas"/>
        <family val="3"/>
        <charset val="1"/>
      </rPr>
      <t>=</t>
    </r>
    <r>
      <rPr>
        <sz val="11"/>
        <color rgb="FFA5D6FF"/>
        <rFont val="Consolas"/>
        <family val="3"/>
        <charset val="1"/>
      </rPr>
      <t>"_blank"</t>
    </r>
    <r>
      <rPr>
        <sz val="11"/>
        <color rgb="FFBBBEBF"/>
        <rFont val="Consolas"/>
        <family val="3"/>
        <charset val="1"/>
      </rPr>
      <t xml:space="preserve"> </t>
    </r>
    <r>
      <rPr>
        <sz val="11"/>
        <color rgb="FF9CDCFE"/>
        <rFont val="Consolas"/>
        <family val="3"/>
        <charset val="1"/>
      </rPr>
      <t>rel</t>
    </r>
    <r>
      <rPr>
        <sz val="11"/>
        <color rgb="FFBBBEBF"/>
        <rFont val="Consolas"/>
        <family val="3"/>
        <charset val="1"/>
      </rPr>
      <t>=</t>
    </r>
    <r>
      <rPr>
        <sz val="11"/>
        <color rgb="FFA5D6FF"/>
        <rFont val="Consolas"/>
        <family val="3"/>
        <charset val="1"/>
      </rPr>
      <t>"noopener noreferrer"</t>
    </r>
    <r>
      <rPr>
        <sz val="11"/>
        <color rgb="FFBBBEBF"/>
        <rFont val="Consolas"/>
        <family val="3"/>
        <charset val="1"/>
      </rPr>
      <t xml:space="preserve"> </t>
    </r>
    <r>
      <rPr>
        <sz val="11"/>
        <color rgb="FF9CDCFE"/>
        <rFont val="Consolas"/>
        <family val="3"/>
        <charset val="1"/>
      </rPr>
      <t>style</t>
    </r>
    <r>
      <rPr>
        <sz val="11"/>
        <color rgb="FFBBBEBF"/>
        <rFont val="Consolas"/>
        <family val="3"/>
        <charset val="1"/>
      </rPr>
      <t>=</t>
    </r>
    <r>
      <rPr>
        <sz val="11"/>
        <color rgb="FFA5D6FF"/>
        <rFont val="Consolas"/>
        <family val="3"/>
        <charset val="1"/>
      </rPr>
      <t>"display:inline-block; font-weight:400; text-decoration:underline;"</t>
    </r>
    <r>
      <rPr>
        <sz val="11"/>
        <color rgb="FF808080"/>
        <rFont val="Consolas"/>
        <family val="3"/>
        <charset val="1"/>
      </rPr>
      <t>&gt;</t>
    </r>
  </si>
  <si>
    <t>    &lt;a class="plain-link" href="https://mailchimp.com/legal/terms/" target="_blank" rel="noopener noreferrer" style="display:inline-block; font-weight:400; text-decoration:underline;"&gt;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</si>
  <si>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br</t>
    </r>
    <r>
      <rPr>
        <sz val="11"/>
        <color rgb="FF808080"/>
        <rFont val="Consolas"/>
        <family val="3"/>
        <charset val="1"/>
      </rPr>
      <t>&gt;</t>
    </r>
    <r>
      <rPr>
        <sz val="11"/>
        <color rgb="FFBBBEBF"/>
        <rFont val="Consolas"/>
        <family val="3"/>
        <charset val="1"/>
      </rPr>
      <t>Mehr über die Datenschutzpraktiken von Mailchimp erfahren Sie hier.</t>
    </r>
  </si>
  <si>
    <t>    &lt;br&gt;Mehr über die Datenschutzpraktiken von Mailchimp erfahren Sie hier.</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</si>
  <si>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&gt;&lt;/</t>
    </r>
    <r>
      <rPr>
        <sz val="11"/>
        <color rgb="FF7EE787"/>
        <rFont val="Consolas"/>
        <family val="3"/>
        <charset val="1"/>
      </rPr>
      <t>div</t>
    </r>
    <r>
      <rPr>
        <sz val="11"/>
        <color rgb="FF808080"/>
        <rFont val="Consolas"/>
        <family val="3"/>
        <charset val="1"/>
      </rPr>
      <t>&gt;</t>
    </r>
  </si>
  <si>
    <t>  &lt;/a&gt;&lt;/div&gt;&lt;/div&gt;&lt;/div&gt;</t>
  </si>
  <si>
    <r>
      <rPr>
        <sz val="11"/>
        <color rgb="FF808080"/>
        <rFont val="Consolas"/>
        <family val="3"/>
        <charset val="1"/>
      </rPr>
      <t>&lt;/</t>
    </r>
    <r>
      <rPr>
        <sz val="11"/>
        <color rgb="FF7EE787"/>
        <rFont val="Consolas"/>
        <family val="3"/>
        <charset val="1"/>
      </rPr>
      <t>form</t>
    </r>
    <r>
      <rPr>
        <sz val="11"/>
        <color rgb="FF808080"/>
        <rFont val="Consolas"/>
        <family val="3"/>
        <charset val="1"/>
      </rPr>
      <t>&gt;</t>
    </r>
  </si>
  <si>
    <t>&lt;/form&gt;</t>
  </si>
  <si>
    <r>
      <rPr>
        <sz val="11"/>
        <color rgb="FF808080"/>
        <rFont val="Consolas"/>
        <family val="3"/>
        <charset val="1"/>
      </rPr>
      <t>&lt;/</t>
    </r>
    <r>
      <rPr>
        <sz val="11"/>
        <color rgb="FF7EE787"/>
        <rFont val="Consolas"/>
        <family val="3"/>
        <charset val="1"/>
      </rPr>
      <t>div</t>
    </r>
    <r>
      <rPr>
        <sz val="11"/>
        <color rgb="FF808080"/>
        <rFont val="Consolas"/>
        <family val="3"/>
        <charset val="1"/>
      </rPr>
      <t>&gt;&lt;</t>
    </r>
    <r>
      <rPr>
        <sz val="11"/>
        <color rgb="FF7EE787"/>
        <rFont val="Consolas"/>
        <family val="3"/>
        <charset val="1"/>
      </rPr>
      <t>p</t>
    </r>
    <r>
      <rPr>
        <sz val="11"/>
        <color rgb="FF808080"/>
        <rFont val="Consolas"/>
        <family val="3"/>
        <charset val="1"/>
      </rPr>
      <t>&gt;</t>
    </r>
  </si>
  <si>
    <t>&lt;/div&gt;&lt;p&gt;</t>
  </si>
  <si>
    <r>
      <rPr>
        <sz val="11"/>
        <color rgb="FFBBBEBF"/>
        <rFont val="Consolas"/>
        <family val="3"/>
        <charset val="1"/>
      </rPr>
      <t xml:space="preserve">  Laden Sie auch Freunde und Bekannte ein! Sie können diese Seite weiterempfehlen oder auf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"https://rundbrief.karmel.at"</t>
    </r>
    <r>
      <rPr>
        <sz val="11"/>
        <color rgb="FF808080"/>
        <rFont val="Consolas"/>
        <family val="3"/>
        <charset val="1"/>
      </rPr>
      <t>&gt;</t>
    </r>
    <r>
      <rPr>
        <sz val="11"/>
        <color rgb="FFBBBEBF"/>
        <rFont val="Consolas"/>
        <family val="3"/>
        <charset val="1"/>
      </rPr>
      <t>rundbrief.karmel.at</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verweisen.</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</si>
  <si>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  Laden Sie auch Freunde und Bekannte ein! Sie können diese Seite weiterempfehlen oder auf &lt;a href="https://rundbrief.karmel.at"&gt;rundbrief.karmel.at&lt;/a&gt; verweisen.&lt;/p&gt;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</si>
  <si>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Wenn Sie sich mit dem online-Anmeldeformular schwer tun oder Fehler auftreten,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"mailto:secretarius@karmel.at?subject=Anmeldung%zum%Rundbrief"</t>
    </r>
    <r>
      <rPr>
        <sz val="11"/>
        <color rgb="FF808080"/>
        <rFont val="Consolas"/>
        <family val="3"/>
        <charset val="1"/>
      </rPr>
      <t>&gt;</t>
    </r>
    <r>
      <rPr>
        <sz val="11"/>
        <color rgb="FFBBBEBF"/>
        <rFont val="Consolas"/>
        <family val="3"/>
        <charset val="1"/>
      </rPr>
      <t>schreiben Sie uns ein eMail</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t>
    </r>
    <r>
      <rPr>
        <sz val="11"/>
        <color rgb="FF808080"/>
        <rFont val="Consolas"/>
        <family val="3"/>
        <charset val="1"/>
      </rPr>
      <t>&lt;/</t>
    </r>
    <r>
      <rPr>
        <sz val="11"/>
        <color rgb="FF7EE787"/>
        <rFont val="Consolas"/>
        <family val="3"/>
        <charset val="1"/>
      </rPr>
      <t>p</t>
    </r>
    <r>
      <rPr>
        <sz val="11"/>
        <color rgb="FF808080"/>
        <rFont val="Consolas"/>
        <family val="3"/>
        <charset val="1"/>
      </rPr>
      <t>&gt;</t>
    </r>
  </si>
  <si>
    <t>  &lt;p&gt;Wenn Sie sich mit dem online-Anmeldeformular schwer tun oder Fehler auftreten, &lt;a href="mailto:secretarius@karmel.at?subject=Anmeldung%zum%Rundbrief"&gt;schreiben Sie uns ein eMail&lt;/a&gt;.&lt;/p&gt;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</si>
  <si>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Sie können die Exerzitien/Novenen und die anderen Aussendungen auch über die kostenlose App "Gott allein genügt!" für iPhone, Android und Windows Mobile verfolgen: </t>
    </r>
    <r>
      <rPr>
        <sz val="11"/>
        <color rgb="FF808080"/>
        <rFont val="Consolas"/>
        <family val="3"/>
        <charset val="1"/>
      </rPr>
      <t>&lt;</t>
    </r>
    <r>
      <rPr>
        <sz val="11"/>
        <color rgb="FF7EE787"/>
        <rFont val="Consolas"/>
        <family val="3"/>
        <charset val="1"/>
      </rPr>
      <t>a</t>
    </r>
    <r>
      <rPr>
        <sz val="11"/>
        <color rgb="FFBBBEBF"/>
        <rFont val="Consolas"/>
        <family val="3"/>
        <charset val="1"/>
      </rPr>
      <t xml:space="preserve"> </t>
    </r>
    <r>
      <rPr>
        <sz val="11"/>
        <color rgb="FF9CDCFE"/>
        <rFont val="Consolas"/>
        <family val="3"/>
        <charset val="1"/>
      </rPr>
      <t>href</t>
    </r>
    <r>
      <rPr>
        <sz val="11"/>
        <color rgb="FFBBBEBF"/>
        <rFont val="Consolas"/>
        <family val="3"/>
        <charset val="1"/>
      </rPr>
      <t>=</t>
    </r>
    <r>
      <rPr>
        <sz val="11"/>
        <color rgb="FFA5D6FF"/>
        <rFont val="Consolas"/>
        <family val="3"/>
        <charset val="1"/>
      </rPr>
      <t>"http://app.karmel.at"</t>
    </r>
    <r>
      <rPr>
        <sz val="11"/>
        <color rgb="FF808080"/>
        <rFont val="Consolas"/>
        <family val="3"/>
        <charset val="1"/>
      </rPr>
      <t>&gt;</t>
    </r>
    <r>
      <rPr>
        <sz val="11"/>
        <color rgb="FFBBBEBF"/>
        <rFont val="Consolas"/>
        <family val="3"/>
        <charset val="1"/>
      </rPr>
      <t>Homepage der App</t>
    </r>
    <r>
      <rPr>
        <sz val="11"/>
        <color rgb="FF808080"/>
        <rFont val="Consolas"/>
        <family val="3"/>
        <charset val="1"/>
      </rPr>
      <t>&lt;/</t>
    </r>
    <r>
      <rPr>
        <sz val="11"/>
        <color rgb="FF7EE787"/>
        <rFont val="Consolas"/>
        <family val="3"/>
        <charset val="1"/>
      </rPr>
      <t>a</t>
    </r>
    <r>
      <rPr>
        <sz val="11"/>
        <color rgb="FF808080"/>
        <rFont val="Consolas"/>
        <family val="3"/>
        <charset val="1"/>
      </rPr>
      <t>&gt;</t>
    </r>
    <r>
      <rPr>
        <sz val="11"/>
        <color rgb="FFBBBEBF"/>
        <rFont val="Consolas"/>
        <family val="3"/>
        <charset val="1"/>
      </rPr>
      <t xml:space="preserve"> - dort finden Sie auch weitere Impulse und Infos.</t>
    </r>
    <r>
      <rPr>
        <sz val="11"/>
        <color rgb="FF808080"/>
        <rFont val="Consolas"/>
        <family val="3"/>
        <charset val="1"/>
      </rPr>
      <t>&lt;/</t>
    </r>
    <r>
      <rPr>
        <sz val="11"/>
        <color rgb="FF7EE787"/>
        <rFont val="Consolas"/>
        <family val="3"/>
        <charset val="1"/>
      </rPr>
      <t>p</t>
    </r>
    <r>
      <rPr>
        <sz val="11"/>
        <color rgb="FF808080"/>
        <rFont val="Consolas"/>
        <family val="3"/>
        <charset val="1"/>
      </rPr>
      <t>&gt;</t>
    </r>
  </si>
  <si>
    <t>  &lt;p&gt;  Sie können die Exerzitien/Novenen und die anderen Aussendungen auch über die kostenlose App "Gott allein genügt!" für iPhone, Android und Windows Mobile verfolgen: &lt;a href="http://app.karmel.at"&gt;Homepage der App&lt;/a&gt; - dort finden Sie auch weitere Impulse und Infos.&lt;/p&gt;</t>
  </si>
  <si>
    <t>        &lt;div class="clear"&gt;&lt;input type="submit" name="subscribe" id="mc-embedded-subscribe" class="button-signup" value="Anmelden"&gt;&lt;/div&gt;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</si>
  <si>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So wünschen wir Ihnen ein gutes, frohes Lesen und Beten!</t>
    </r>
  </si>
  <si>
    <t>            &lt;p&gt;So wünschen wir Ihnen ein gutes, frohes Lesen und Beten!</t>
  </si>
  <si>
    <r>
      <rPr>
        <sz val="11"/>
        <color rgb="FF808080"/>
        <rFont val="Consolas"/>
        <family val="3"/>
        <charset val="1"/>
      </rPr>
      <t>&lt;/</t>
    </r>
    <r>
      <rPr>
        <sz val="11"/>
        <color rgb="FF7EE787"/>
        <rFont val="Consolas"/>
        <family val="3"/>
        <charset val="1"/>
      </rPr>
      <t>p</t>
    </r>
    <r>
      <rPr>
        <sz val="11"/>
        <color rgb="FF808080"/>
        <rFont val="Consolas"/>
        <family val="3"/>
        <charset val="1"/>
      </rPr>
      <t>&gt;</t>
    </r>
  </si>
  <si>
    <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</si>
  <si>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</si>
  <si>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</si>
  <si>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t xml:space="preserve">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</si>
  <si>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</si>
  <si>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t>            &lt;/div&gt;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</si>
  <si>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section-features"</t>
    </r>
    <r>
      <rPr>
        <sz val="11"/>
        <color rgb="FF808080"/>
        <rFont val="Consolas"/>
        <family val="3"/>
        <charset val="1"/>
      </rPr>
      <t>&gt;</t>
    </r>
  </si>
  <si>
    <t>      &lt;section class="section section-features"&gt;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</si>
  <si>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</si>
  <si>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h1</t>
    </r>
    <r>
      <rPr>
        <sz val="11"/>
        <color rgb="FF808080"/>
        <rFont val="Consolas"/>
        <family val="3"/>
        <charset val="1"/>
      </rPr>
      <t>&gt;</t>
    </r>
    <r>
      <rPr>
        <sz val="11"/>
        <color rgb="FFBBBEBF"/>
        <rFont val="Consolas"/>
        <family val="3"/>
        <charset val="1"/>
      </rPr>
      <t>Ablauf der Exerzitien</t>
    </r>
    <r>
      <rPr>
        <sz val="11"/>
        <color rgb="FF808080"/>
        <rFont val="Consolas"/>
        <family val="3"/>
        <charset val="1"/>
      </rPr>
      <t>&lt;/</t>
    </r>
    <r>
      <rPr>
        <sz val="11"/>
        <color rgb="FF7EE787"/>
        <rFont val="Consolas"/>
        <family val="3"/>
        <charset val="1"/>
      </rPr>
      <t>h1</t>
    </r>
    <r>
      <rPr>
        <sz val="11"/>
        <color rgb="FF808080"/>
        <rFont val="Consolas"/>
        <family val="3"/>
        <charset val="1"/>
      </rPr>
      <t>&gt;</t>
    </r>
  </si>
  <si>
    <t>                                    &lt;h1&gt;Ablauf der Exerzitien&lt;/h1&gt;</t>
  </si>
  <si>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Heilige Johannes vom Kreuz führt uns in sechs Etappen zur Osterfreude:</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xml:space="preserve"> </t>
    </r>
  </si>
  <si>
    <t xml:space="preserve">&lt;p&gt;Heilige Johannes vom Kreuz führt uns in sechs Etappen zur Osterfreude:&lt;/p&gt; </t>
  </si>
  <si>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"cards-grid"</t>
    </r>
    <r>
      <rPr>
        <sz val="11"/>
        <color rgb="FF808080"/>
        <rFont val="Consolas"/>
        <family val="3"/>
        <charset val="1"/>
      </rPr>
      <t>&gt;</t>
    </r>
  </si>
  <si>
    <t>          &lt;div class="cards-grid"&gt;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</si>
  <si>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</si>
  <si>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</si>
  <si>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1</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</si>
  <si>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class="step-index"&gt;1&lt;/span&gt;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</si>
  <si>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Christus siege</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</si>
  <si>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Christus siege&lt;/h3&gt;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</si>
  <si>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808080"/>
        <rFont val="Consolas"/>
        <family val="3"/>
        <charset val="1"/>
      </rPr>
      <t>&gt;</t>
    </r>
  </si>
  <si>
    <t>            &lt;/article&gt;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</si>
  <si>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2</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</si>
  <si>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class="step-index"&gt;2&lt;/span&gt;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</si>
  <si>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Unser Herz – entflammt durch das Herz Christi</t>
    </r>
    <r>
      <rPr>
        <sz val="11"/>
        <color rgb="FF808080"/>
        <rFont val="Consolas"/>
        <family val="3"/>
        <charset val="1"/>
      </rPr>
      <t>&lt;/</t>
    </r>
    <r>
      <rPr>
        <sz val="11"/>
        <color rgb="FF7EE787"/>
        <rFont val="Consolas"/>
        <family val="3"/>
        <charset val="1"/>
      </rPr>
      <t>h3</t>
    </r>
    <r>
      <rPr>
        <sz val="11"/>
        <color rgb="FF808080"/>
        <rFont val="Consolas"/>
        <family val="3"/>
        <charset val="1"/>
      </rPr>
      <t>&gt;</t>
    </r>
  </si>
  <si>
    <t>              &lt;h3&gt;Unser Herz – entflammt durch das Herz Christi&lt;/h3&gt;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</si>
  <si>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3</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</si>
  <si>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class="step-index"&gt;3&lt;/span&gt;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</si>
  <si>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Wenn Eva wieder Maria wird</t>
    </r>
    <r>
      <rPr>
        <sz val="11"/>
        <color rgb="FF808080"/>
        <rFont val="Consolas"/>
        <family val="3"/>
        <charset val="1"/>
      </rPr>
      <t>&lt;/</t>
    </r>
    <r>
      <rPr>
        <sz val="11"/>
        <color rgb="FF7EE787"/>
        <rFont val="Consolas"/>
        <family val="3"/>
        <charset val="1"/>
      </rPr>
      <t>h3</t>
    </r>
    <r>
      <rPr>
        <sz val="11"/>
        <color rgb="FF808080"/>
        <rFont val="Consolas"/>
        <family val="3"/>
        <charset val="1"/>
      </rPr>
      <t>&gt;</t>
    </r>
  </si>
  <si>
    <t>              &lt;h3&gt;Wenn Eva wieder Maria wird&lt;/h3&gt;</t>
  </si>
  <si>
    <t>    &lt;/main&gt;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</si>
  <si>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4</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</si>
  <si>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class="step-index"&gt;4&lt;/span&gt;</t>
  </si>
  <si>
    <t>    &lt;footer class="site-footer"&gt;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</si>
  <si>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Mit den Augen Mariens sehen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</si>
  <si>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&lt;h3&gt;Mit den Augen Mariens sehen&lt;/h3&gt;</t>
  </si>
  <si>
    <t>      &lt;div class="container footer-inner"&gt;</t>
  </si>
  <si>
    <t>        &lt;p&gt;© Teresianischer Karmel – Online-Exerzitien&lt;/p&gt;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</si>
  <si>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article</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"info-card"</t>
    </r>
    <r>
      <rPr>
        <sz val="11"/>
        <color rgb="FF808080"/>
        <rFont val="Consolas"/>
        <family val="3"/>
        <charset val="1"/>
      </rPr>
      <t>&gt;</t>
    </r>
  </si>
  <si>
    <t>                        &lt;article class="info-card"&gt;</t>
  </si>
  <si>
    <t>        &lt;p&gt;Geistliche Begleitung für Advent und Fastenzeit&lt;/p&gt;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</si>
  <si>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5</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</si>
  <si>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class="step-index"&gt;5&lt;/span&gt;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</si>
  <si>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Freiheit der Kinder Gottes wiedererlangen</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</si>
  <si>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Freiheit der Kinder Gottes wiedererlangen&lt;/h3&gt;</t>
  </si>
  <si>
    <t>    &lt;/footer&gt;</t>
  </si>
  <si>
    <t>  &lt;/body&gt;</t>
  </si>
  <si>
    <t>  &lt;script type="module" src="../script.js"&gt;&lt;/script&gt;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</si>
  <si>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span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"step-index"</t>
    </r>
    <r>
      <rPr>
        <sz val="11"/>
        <color rgb="FF808080"/>
        <rFont val="Consolas"/>
        <family val="3"/>
        <charset val="1"/>
      </rPr>
      <t>&gt;</t>
    </r>
    <r>
      <rPr>
        <sz val="11"/>
        <color rgb="FFBBBEBF"/>
        <rFont val="Consolas"/>
        <family val="3"/>
        <charset val="1"/>
      </rPr>
      <t>6</t>
    </r>
    <r>
      <rPr>
        <sz val="11"/>
        <color rgb="FF808080"/>
        <rFont val="Consolas"/>
        <family val="3"/>
        <charset val="1"/>
      </rPr>
      <t>&lt;/</t>
    </r>
    <r>
      <rPr>
        <sz val="11"/>
        <color rgb="FF7EE787"/>
        <rFont val="Consolas"/>
        <family val="3"/>
        <charset val="1"/>
      </rPr>
      <t>span</t>
    </r>
    <r>
      <rPr>
        <sz val="11"/>
        <color rgb="FF808080"/>
        <rFont val="Consolas"/>
        <family val="3"/>
        <charset val="1"/>
      </rPr>
      <t>&gt;</t>
    </r>
  </si>
  <si>
    <t>              &lt;span class="step-index"&gt;6&lt;/span&gt;</t>
  </si>
  <si>
    <t>  &lt;script type="module" src="./weeks_script.js"&gt;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</si>
  <si>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h3</t>
    </r>
    <r>
      <rPr>
        <sz val="11"/>
        <color rgb="FF808080"/>
        <rFont val="Consolas"/>
        <family val="3"/>
        <charset val="1"/>
      </rPr>
      <t>&gt;</t>
    </r>
    <r>
      <rPr>
        <sz val="11"/>
        <color rgb="FFBBBEBF"/>
        <rFont val="Consolas"/>
        <family val="3"/>
        <charset val="1"/>
      </rPr>
      <t>Die Liebeswunde am Kreuz</t>
    </r>
    <r>
      <rPr>
        <sz val="11"/>
        <color rgb="FF808080"/>
        <rFont val="Consolas"/>
        <family val="3"/>
        <charset val="1"/>
      </rPr>
      <t>&lt;/</t>
    </r>
    <r>
      <rPr>
        <sz val="11"/>
        <color rgb="FF7EE787"/>
        <rFont val="Consolas"/>
        <family val="3"/>
        <charset val="1"/>
      </rPr>
      <t>h3</t>
    </r>
    <r>
      <rPr>
        <sz val="11"/>
        <color rgb="FF808080"/>
        <rFont val="Consolas"/>
        <family val="3"/>
        <charset val="1"/>
      </rPr>
      <t>&gt;</t>
    </r>
  </si>
  <si>
    <t>              &lt;h3&gt;Die Liebeswunde am Kreuz&lt;/h3&gt;</t>
  </si>
  <si>
    <t>  &lt;/script&gt;</t>
  </si>
  <si>
    <t>&lt;/html&gt;</t>
  </si>
  <si>
    <r>
      <rPr>
        <sz val="11"/>
        <color rgb="FFBBBEBF"/>
        <rFont val="Consolas"/>
        <family val="3"/>
        <charset val="1"/>
      </rPr>
      <t xml:space="preserve">      </t>
    </r>
    <r>
      <rPr>
        <sz val="11"/>
        <color rgb="FF808080"/>
        <rFont val="Consolas"/>
        <family val="3"/>
        <charset val="1"/>
      </rPr>
      <t>&lt;</t>
    </r>
    <r>
      <rPr>
        <sz val="11"/>
        <color rgb="FF7EE787"/>
        <rFont val="Consolas"/>
        <family val="3"/>
        <charset val="1"/>
      </rPr>
      <t>section</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 section-archive"</t>
    </r>
    <r>
      <rPr>
        <sz val="11"/>
        <color rgb="FFBBBEBF"/>
        <rFont val="Consolas"/>
        <family val="3"/>
        <charset val="1"/>
      </rPr>
      <t xml:space="preserve"> </t>
    </r>
    <r>
      <rPr>
        <sz val="11"/>
        <color rgb="FF9CDCFE"/>
        <rFont val="Consolas"/>
        <family val="3"/>
        <charset val="1"/>
      </rPr>
      <t>aria-labelledby</t>
    </r>
    <r>
      <rPr>
        <sz val="11"/>
        <color rgb="FFBBBEBF"/>
        <rFont val="Consolas"/>
        <family val="3"/>
        <charset val="1"/>
      </rPr>
      <t>=</t>
    </r>
    <r>
      <rPr>
        <sz val="11"/>
        <color rgb="FFA5D6FF"/>
        <rFont val="Consolas"/>
        <family val="3"/>
        <charset val="1"/>
      </rPr>
      <t>"archiv-titel"</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"weeks-cards"</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</si>
  <si>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"section-head"</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</si>
  <si>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"section-label"</t>
    </r>
    <r>
      <rPr>
        <sz val="11"/>
        <color rgb="FF808080"/>
        <rFont val="Consolas"/>
        <family val="3"/>
        <charset val="1"/>
      </rPr>
      <t>&gt;</t>
    </r>
    <r>
      <rPr>
        <sz val="11"/>
        <color rgb="FFBBBEBF"/>
        <rFont val="Consolas"/>
        <family val="3"/>
        <charset val="1"/>
      </rPr>
      <t>Impulse</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</si>
  <si>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h2</t>
    </r>
    <r>
      <rPr>
        <sz val="11"/>
        <color rgb="FF808080"/>
        <rFont val="Consolas"/>
        <family val="3"/>
        <charset val="1"/>
      </rPr>
      <t>&gt;</t>
    </r>
    <r>
      <rPr>
        <sz val="11"/>
        <color rgb="FFBBBEBF"/>
        <rFont val="Consolas"/>
        <family val="3"/>
        <charset val="1"/>
      </rPr>
      <t>Die wöchentlichen Meditationen der Exerzitien</t>
    </r>
    <r>
      <rPr>
        <sz val="11"/>
        <color rgb="FF808080"/>
        <rFont val="Consolas"/>
        <family val="3"/>
        <charset val="1"/>
      </rPr>
      <t>&lt;/</t>
    </r>
    <r>
      <rPr>
        <sz val="11"/>
        <color rgb="FF7EE787"/>
        <rFont val="Consolas"/>
        <family val="3"/>
        <charset val="1"/>
      </rPr>
      <t>h2</t>
    </r>
    <r>
      <rPr>
        <sz val="11"/>
        <color rgb="FF808080"/>
        <rFont val="Consolas"/>
        <family val="3"/>
        <charset val="1"/>
      </rPr>
      <t>&gt;</t>
    </r>
  </si>
  <si>
    <r>
      <rPr>
        <sz val="11"/>
        <color rgb="FFBBBEBF"/>
        <rFont val="Consolas"/>
        <family val="3"/>
        <charset val="1"/>
      </rPr>
      <t>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"archive-grid"</t>
    </r>
    <r>
      <rPr>
        <sz val="11"/>
        <color rgb="FFBBBEBF"/>
        <rFont val="Consolas"/>
        <family val="3"/>
        <charset val="1"/>
      </rPr>
      <t xml:space="preserve"> </t>
    </r>
    <r>
      <rPr>
        <sz val="11"/>
        <color rgb="FF9CDCFE"/>
        <rFont val="Consolas"/>
        <family val="3"/>
        <charset val="1"/>
      </rPr>
      <t>id</t>
    </r>
    <r>
      <rPr>
        <sz val="11"/>
        <color rgb="FFBBBEBF"/>
        <rFont val="Consolas"/>
        <family val="3"/>
        <charset val="1"/>
      </rPr>
      <t>=</t>
    </r>
    <r>
      <rPr>
        <sz val="11"/>
        <color rgb="FFA5D6FF"/>
        <rFont val="Consolas"/>
        <family val="3"/>
        <charset val="1"/>
      </rPr>
      <t>"weeks-grid"</t>
    </r>
    <r>
      <rPr>
        <sz val="11"/>
        <color rgb="FF808080"/>
        <rFont val="Consolas"/>
        <family val="3"/>
        <charset val="1"/>
      </rPr>
      <t>&gt;</t>
    </r>
  </si>
  <si>
    <t>             &lt;div class="archive-grid" id="weeks-grid"&gt;</t>
  </si>
  <si>
    <r>
      <rPr>
        <sz val="11"/>
        <color rgb="FFBBBEBF"/>
        <rFont val="Consolas"/>
        <family val="3"/>
        <charset val="1"/>
      </rPr>
      <t xml:space="preserve">      </t>
    </r>
    <r>
      <rPr>
        <sz val="11"/>
        <color rgb="FF8B949E"/>
        <rFont val="Consolas"/>
        <family val="3"/>
        <charset val="1"/>
      </rPr>
      <t>&lt;!-- wird per JavaScript gefüllt --&gt;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</si>
  <si>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</si>
  <si>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main</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</si>
  <si>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"site-footer"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</si>
  <si>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div</t>
    </r>
    <r>
      <rPr>
        <sz val="11"/>
        <color rgb="FFBBBEBF"/>
        <rFont val="Consolas"/>
        <family val="3"/>
        <charset val="1"/>
      </rPr>
      <t xml:space="preserve"> </t>
    </r>
    <r>
      <rPr>
        <sz val="11"/>
        <color rgb="FF9CDCFE"/>
        <rFont val="Consolas"/>
        <family val="3"/>
        <charset val="1"/>
      </rPr>
      <t>class</t>
    </r>
    <r>
      <rPr>
        <sz val="11"/>
        <color rgb="FFBBBEBF"/>
        <rFont val="Consolas"/>
        <family val="3"/>
        <charset val="1"/>
      </rPr>
      <t>=</t>
    </r>
    <r>
      <rPr>
        <sz val="11"/>
        <color rgb="FFA5D6FF"/>
        <rFont val="Consolas"/>
        <family val="3"/>
        <charset val="1"/>
      </rPr>
      <t>"container footer-inner"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</si>
  <si>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 Teresianischer Karmel – Online-Exerzitien</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</si>
  <si>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p</t>
    </r>
    <r>
      <rPr>
        <sz val="11"/>
        <color rgb="FF808080"/>
        <rFont val="Consolas"/>
        <family val="3"/>
        <charset val="1"/>
      </rPr>
      <t>&gt;</t>
    </r>
    <r>
      <rPr>
        <sz val="11"/>
        <color rgb="FFBBBEBF"/>
        <rFont val="Consolas"/>
        <family val="3"/>
        <charset val="1"/>
      </rPr>
      <t>Geistliche Begleitung für Advent und Fastenzeit</t>
    </r>
    <r>
      <rPr>
        <sz val="11"/>
        <color rgb="FF808080"/>
        <rFont val="Consolas"/>
        <family val="3"/>
        <charset val="1"/>
      </rPr>
      <t>&lt;/</t>
    </r>
    <r>
      <rPr>
        <sz val="11"/>
        <color rgb="FF7EE787"/>
        <rFont val="Consolas"/>
        <family val="3"/>
        <charset val="1"/>
      </rPr>
      <t>p</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</si>
  <si>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footer</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</si>
  <si>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body</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</si>
  <si>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"../script.js"</t>
    </r>
    <r>
      <rPr>
        <sz val="11"/>
        <color rgb="FF808080"/>
        <rFont val="Consolas"/>
        <family val="3"/>
        <charset val="1"/>
      </rPr>
      <t>&gt;&lt;/</t>
    </r>
    <r>
      <rPr>
        <sz val="11"/>
        <color rgb="FF7EE787"/>
        <rFont val="Consolas"/>
        <family val="3"/>
        <charset val="1"/>
      </rPr>
      <t>script</t>
    </r>
    <r>
      <rPr>
        <sz val="11"/>
        <color rgb="FF808080"/>
        <rFont val="Consolas"/>
        <family val="3"/>
        <charset val="1"/>
      </rPr>
      <t>&gt;</t>
    </r>
  </si>
  <si>
    <r>
      <rPr>
        <sz val="11"/>
        <color rgb="FFBBBEBF"/>
        <rFont val="Consolas"/>
        <family val="3"/>
        <charset val="1"/>
      </rPr>
      <t xml:space="preserve">  </t>
    </r>
    <r>
      <rPr>
        <sz val="11"/>
        <color rgb="FF808080"/>
        <rFont val="Consolas"/>
        <family val="3"/>
        <charset val="1"/>
      </rPr>
      <t>&lt;</t>
    </r>
    <r>
      <rPr>
        <sz val="11"/>
        <color rgb="FF7EE787"/>
        <rFont val="Consolas"/>
        <family val="3"/>
        <charset val="1"/>
      </rPr>
      <t>script</t>
    </r>
    <r>
      <rPr>
        <sz val="11"/>
        <color rgb="FFD4D4D4"/>
        <rFont val="Consolas"/>
        <family val="3"/>
        <charset val="1"/>
      </rPr>
      <t xml:space="preserve"> </t>
    </r>
    <r>
      <rPr>
        <sz val="11"/>
        <color rgb="FF9CDCFE"/>
        <rFont val="Consolas"/>
        <family val="3"/>
        <charset val="1"/>
      </rPr>
      <t>type</t>
    </r>
    <r>
      <rPr>
        <sz val="11"/>
        <color rgb="FFD4D4D4"/>
        <rFont val="Consolas"/>
        <family val="3"/>
        <charset val="1"/>
      </rPr>
      <t>=</t>
    </r>
    <r>
      <rPr>
        <sz val="11"/>
        <color rgb="FFA5D6FF"/>
        <rFont val="Consolas"/>
        <family val="3"/>
        <charset val="1"/>
      </rPr>
      <t>"module"</t>
    </r>
    <r>
      <rPr>
        <sz val="11"/>
        <color rgb="FFD4D4D4"/>
        <rFont val="Consolas"/>
        <family val="3"/>
        <charset val="1"/>
      </rPr>
      <t xml:space="preserve"> </t>
    </r>
    <r>
      <rPr>
        <sz val="11"/>
        <color rgb="FF9CDCFE"/>
        <rFont val="Consolas"/>
        <family val="3"/>
        <charset val="1"/>
      </rPr>
      <t>src</t>
    </r>
    <r>
      <rPr>
        <sz val="11"/>
        <color rgb="FFD4D4D4"/>
        <rFont val="Consolas"/>
        <family val="3"/>
        <charset val="1"/>
      </rPr>
      <t>=</t>
    </r>
    <r>
      <rPr>
        <sz val="11"/>
        <color rgb="FFA5D6FF"/>
        <rFont val="Consolas"/>
        <family val="3"/>
        <charset val="1"/>
      </rPr>
      <t>"./de-fs-26-script.js"</t>
    </r>
    <r>
      <rPr>
        <sz val="11"/>
        <color rgb="FF808080"/>
        <rFont val="Consolas"/>
        <family val="3"/>
        <charset val="1"/>
      </rPr>
      <t>&gt;</t>
    </r>
  </si>
  <si>
    <r>
      <rPr>
        <sz val="11"/>
        <color rgb="FFD4D4D4"/>
        <rFont val="Consolas"/>
        <family val="3"/>
        <charset val="1"/>
      </rPr>
      <t xml:space="preserve">  </t>
    </r>
    <r>
      <rPr>
        <sz val="11"/>
        <color rgb="FF808080"/>
        <rFont val="Consolas"/>
        <family val="3"/>
        <charset val="1"/>
      </rPr>
      <t>&lt;/</t>
    </r>
    <r>
      <rPr>
        <sz val="11"/>
        <color rgb="FF7EE787"/>
        <rFont val="Consolas"/>
        <family val="3"/>
        <charset val="1"/>
      </rPr>
      <t>script</t>
    </r>
    <r>
      <rPr>
        <sz val="11"/>
        <color rgb="FF808080"/>
        <rFont val="Consolas"/>
        <family val="3"/>
        <charset val="1"/>
      </rPr>
      <t>&gt;</t>
    </r>
  </si>
  <si>
    <r>
      <rPr>
        <sz val="11"/>
        <color rgb="FF808080"/>
        <rFont val="Consolas"/>
        <family val="3"/>
        <charset val="1"/>
      </rPr>
      <t>&lt;/</t>
    </r>
    <r>
      <rPr>
        <sz val="11"/>
        <color rgb="FF7EE787"/>
        <rFont val="Consolas"/>
        <family val="3"/>
        <charset val="1"/>
      </rPr>
      <t>html</t>
    </r>
    <r>
      <rPr>
        <sz val="11"/>
        <color rgb="FF808080"/>
        <rFont val="Consolas"/>
        <family val="3"/>
        <charset val="1"/>
      </rPr>
      <t>&gt;</t>
    </r>
  </si>
  <si>
    <t>&lt;section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t>
  </si>
  <si>
    <t>Column1.id</t>
  </si>
  <si>
    <t>Column1.art</t>
  </si>
  <si>
    <t>Column1.year</t>
  </si>
  <si>
    <t>Column1.slug</t>
  </si>
  <si>
    <t>Column1.heiliger</t>
  </si>
  <si>
    <t>Column1.start_datum</t>
  </si>
  <si>
    <t>Column1.end_datum</t>
  </si>
  <si>
    <t>Column1.folder_path</t>
  </si>
  <si>
    <t>Column1.thema.de</t>
  </si>
  <si>
    <t>Column1.titel.de</t>
  </si>
  <si>
    <t>Column1.zusammenfassung.de</t>
  </si>
  <si>
    <t>Column1.header_img.de</t>
  </si>
  <si>
    <t>lent-2026-johannes-vom-kreuz</t>
  </si>
  <si>
    <t>lent</t>
  </si>
  <si>
    <t>fastenzeit-2026</t>
  </si>
  <si>
    <t>Heiliger Johannes vom Kreuz</t>
  </si>
  <si>
    <t>2026-02-18</t>
  </si>
  <si>
    <t>2026-04-05</t>
  </si>
  <si>
    <t>X:\ALLGEMEIN\0900 Veröffentlichungen\Veröffentlichungen-aktuell\2026 Fastenzeit</t>
  </si>
  <si>
    <t>Fastenzeit 2026 mit dem heiligen Johannes vom Kreuz</t>
  </si>
  <si>
    <t>Christus in der Tiefe des Herzens begegnen</t>
  </si>
  <si>
    <t>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t>
  </si>
  <si>
    <t>img/FS26_header_DE.png</t>
  </si>
  <si>
    <t>advent-2025-mirjam-von-jesus-dem-gekreuzigten</t>
  </si>
  <si>
    <t>advent</t>
  </si>
  <si>
    <t>advent-2025</t>
  </si>
  <si>
    <t>Heilige Mirjam von Jesus, dem Gekreuzigten</t>
  </si>
  <si>
    <t>2025-11-26</t>
  </si>
  <si>
    <t>2025-12-25</t>
  </si>
  <si>
    <t>X:\ALLGEMEIN\0900 Veröffentlichungen\Veröffentlichungen-aktuell\2025 Advent</t>
  </si>
  <si>
    <t>Advent 2025 mit der heiligen Mirjam von Jesus, dem Gekreuzigten</t>
  </si>
  <si>
    <t>Mariam oder der Weg der Armen des Herrn</t>
  </si>
  <si>
    <t>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t>
  </si>
  <si>
    <t>img/AD25_header_DE.png</t>
  </si>
  <si>
    <t>lent-2025-therese-von-lisieux</t>
  </si>
  <si>
    <t>fastenzeit-2025</t>
  </si>
  <si>
    <t>Heilige Thérèse von Lisieux</t>
  </si>
  <si>
    <t>2025-03-05</t>
  </si>
  <si>
    <t>2025-04-27</t>
  </si>
  <si>
    <t>X:\ALLGEMEIN\0900 Veröffentlichungen\Veröffentlichungen-aktuell\2025 Fasten</t>
  </si>
  <si>
    <t>Fastenzeit 2025 mit Thérèse von Lisieux und das Östergeheimnis</t>
  </si>
  <si>
    <t>„Aus Liebe sterben, das ist meine Hoffnung“</t>
  </si>
  <si>
    <t>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t>
  </si>
  <si>
    <t>img/FS25_header_DE.png</t>
  </si>
  <si>
    <t>advent-2024-therese-von-lisieux</t>
  </si>
  <si>
    <t>2024_ad_therese_von_lisieux</t>
  </si>
  <si>
    <t>2024-11-27</t>
  </si>
  <si>
    <t>2025-01-05</t>
  </si>
  <si>
    <t>X:\ALLGEMEIN\0900 Veröffentlichungen\Veröffentlichungen-aktuell\2024 Advent</t>
  </si>
  <si>
    <t>Advent 2024 mit der Hl. Thérèse vom Kind Jesu</t>
  </si>
  <si>
    <t>„Kind sein vor Gott“</t>
  </si>
  <si>
    <t>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t>
  </si>
  <si>
    <t>img/AD24_header_DE.png</t>
  </si>
  <si>
    <t>lent-2024-pater-jacques-de-jesus</t>
  </si>
  <si>
    <t>2024_fs_pater_jacques_de_jesus</t>
  </si>
  <si>
    <t>Pater Jacques von Jesus</t>
  </si>
  <si>
    <t>2024-02-14</t>
  </si>
  <si>
    <t>2024-04-07</t>
  </si>
  <si>
    <t>X:\ALLGEMEIN\0900 Veröffentlichungen\Veröffentlichungen-aktuell\2024 Fasten</t>
  </si>
  <si>
    <t>Fastenzeit 2024 mit Pater Jacuqes von Jesus (1900-1945)</t>
  </si>
  <si>
    <t>Durch das Kreuz zum Licht</t>
  </si>
  <si>
    <t>„Durch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t>
  </si>
  <si>
    <t>img/FS24_header_DE.png</t>
  </si>
  <si>
    <t>advent-2023-therese-des-andes</t>
  </si>
  <si>
    <t>2023_ad_therese_des_andes</t>
  </si>
  <si>
    <t>Heilige Teresa de Los Andes</t>
  </si>
  <si>
    <t>2023-11-29</t>
  </si>
  <si>
    <t>2023-12-25</t>
  </si>
  <si>
    <t>X:\ALLGEMEIN\0900 Veröffentlichungen\Veröffentlichungen-aktuell\2023 Advent</t>
  </si>
  <si>
    <t>Advent 2023 mit der heiligen Teresa de Los Andes (1900-1920)</t>
  </si>
  <si>
    <t>Leben in der Göttlichen Freude</t>
  </si>
  <si>
    <t>„Gott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t>
  </si>
  <si>
    <t>img/AD23_header_DE.png</t>
  </si>
  <si>
    <t>lent-2023-oraison-weg-der-kindlichen-berufung</t>
  </si>
  <si>
    <t>2023_fs_oraison_weg_der_kindlichen_berufung</t>
  </si>
  <si>
    <t>Die Heiligen des Karmel</t>
  </si>
  <si>
    <t>2023-02-22</t>
  </si>
  <si>
    <t>2023-04-16</t>
  </si>
  <si>
    <t>X:\ALLGEMEIN\0900 Veröffentlichungen\Veröffentlichungen-aktuell\2023 Fastenzeit</t>
  </si>
  <si>
    <t>Fastenzeit 2023: Das Gebet</t>
  </si>
  <si>
    <t>Das Gebet - ein Weg, unsere Berufung als Kind Gottes zu leben</t>
  </si>
  <si>
    <t>„Kinder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t>
  </si>
  <si>
    <t>img/FS23_header_DE.png</t>
  </si>
  <si>
    <t>advent-2022-gott-in-unserem-leben</t>
  </si>
  <si>
    <t>2022_ad_gott_in_unserem_leben</t>
  </si>
  <si>
    <t>X:\ALLGEMEIN\0900 Veröffentlichungen\Veröffentlichungen-aktuell\2022 Advent</t>
  </si>
  <si>
    <t>Advent 2022 in der Schule der Heiligen des Karmel</t>
  </si>
  <si>
    <t>Die Gegenwart Gottes in unserem Leben erfahren</t>
  </si>
  <si>
    <t>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t>
  </si>
  <si>
    <t>img/AD22_header_DE.png</t>
  </si>
  <si>
    <t>lent-2022-barmherzigkeit-gottes-mit-den-heiligen-des-karmels</t>
  </si>
  <si>
    <t>2022_fs_barmherzigkeit_gottes_mit_den_heiligen_des_karmels</t>
  </si>
  <si>
    <t>X:\ALLGEMEIN\0900 Veröffentlichungen\Veröffentlichungen-aktuell\2022 Fasten</t>
  </si>
  <si>
    <t>Fastenzeit 2022: Gottes Barmherzigkeit leben mit den Heiligen des Karmel</t>
  </si>
  <si>
    <t>Die Barmherzigkeit Gottes leben</t>
  </si>
  <si>
    <t>img/FS22_header_DE.png</t>
  </si>
  <si>
    <t>advent-2021-kindheit-der-seele</t>
  </si>
  <si>
    <t>2021_ad_kindheit_der_seele</t>
  </si>
  <si>
    <t>Heilige Thérèse vom Kinde Jesu</t>
  </si>
  <si>
    <t>2021-11-26</t>
  </si>
  <si>
    <t>2022-01-02</t>
  </si>
  <si>
    <t>X:\ALLGEMEIN\0900 Veröffentlichungen\Veröffentlichungen-aktuell\2021 Advent</t>
  </si>
  <si>
    <t>Advent 2021 mit der hl. Thérèse von Lisieux und Maria Montessori</t>
  </si>
  <si>
    <t>"Die Kindschaft der Seele" Unser Morgenrot Wecken</t>
  </si>
  <si>
    <t>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t>
  </si>
  <si>
    <t>img/AD21_header_DE.png</t>
  </si>
  <si>
    <t>lent-2021-therese-von-avila</t>
  </si>
  <si>
    <t>2021_fs_therese_von_avila</t>
  </si>
  <si>
    <t>Heilige Teresa von Ávila</t>
  </si>
  <si>
    <t>X:\ALLGEMEIN\0900 Veröffentlichungen\Veröffentlichungen-aktuell\2021 Fasten</t>
  </si>
  <si>
    <t>Fastenzeit 2021 mit der Heilige Teresa von Ávila</t>
  </si>
  <si>
    <t>Tretet ein in die Burg Eurer Seele...</t>
  </si>
  <si>
    <t>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t>
  </si>
  <si>
    <t>img/FS21_header_DE.png</t>
  </si>
  <si>
    <t>advent-2020-madame-acarie</t>
  </si>
  <si>
    <t>2020_ad_madame_acarie</t>
  </si>
  <si>
    <t>Maria von der Menschwerdung</t>
  </si>
  <si>
    <t>X:\ALLGEMEIN\0900 Veröffentlichungen\Veröffentlichungen-aktuell\2020 Advent</t>
  </si>
  <si>
    <t>Advent 2020 mit der "Schönen Acarie" (1566-1618)</t>
  </si>
  <si>
    <t>Glauben an das Unmögliche</t>
  </si>
  <si>
    <t>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t>
  </si>
  <si>
    <t>img/AD20_header_DE.png</t>
  </si>
  <si>
    <t>lent-2020-heureuse-aventure</t>
  </si>
  <si>
    <t>2020_fs_heureuse_aventure</t>
  </si>
  <si>
    <t>X:\ALLGEMEIN\0900 Veröffentlichungen\Veröffentlichungen-aktuell\2020 Fasten</t>
  </si>
  <si>
    <t>Fastenzeit 2020 mit dem Hl. Johannes vom Kreuz</t>
  </si>
  <si>
    <t>die Liebe wagen...</t>
  </si>
  <si>
    <t>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t>
  </si>
  <si>
    <t>img/FS20_header_DE.png</t>
  </si>
  <si>
    <t>advent-2019-communier-a-la-vie-de-grace-de-marie</t>
  </si>
  <si>
    <t>2019_ad_communier_a_la_vie_de_grace_de_marie</t>
  </si>
  <si>
    <t>Unsere Liebe Frau vom Berge Karmel</t>
  </si>
  <si>
    <t>X:\ALLGEMEIN\0900 Veröffentlichungen\Veröffentlichungen-aktuell\2019 Advent</t>
  </si>
  <si>
    <t>Advent 2019 mit Unserer Lieben Frau vom Berge Karmel</t>
  </si>
  <si>
    <t>Am Gnadenleben Mariens teilhaben</t>
  </si>
  <si>
    <t>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t>
  </si>
  <si>
    <t>img/AD19_header_DE.png</t>
  </si>
  <si>
    <t>lent-2019-edith-stein</t>
  </si>
  <si>
    <t>2019_fs_edith_stein</t>
  </si>
  <si>
    <t>Heilige Teresa-Benedicta vom Kreuz (Edith Stein)</t>
  </si>
  <si>
    <t>X:\ALLGEMEIN\0900 Veröffentlichungen\Veröffentlichungen-aktuell\2019 Fasten</t>
  </si>
  <si>
    <t>Fastenzeit 2019 mit Edith Stein Hl. Teresa-Benedicta vom Kreuz</t>
  </si>
  <si>
    <t>Der Auferstehung entgegen mit Edith Stein Hl. Teresa-Benedicta vom Kreuz</t>
  </si>
  <si>
    <t>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t>
  </si>
  <si>
    <t>img/FS19_header_DE.png</t>
  </si>
  <si>
    <t>advent-2018-mont-carmel</t>
  </si>
  <si>
    <t>2018_ad_notre_dame_du_mont_carmel</t>
  </si>
  <si>
    <t>X:\ALLGEMEIN\0900 Veröffentlichungen\Veröffentlichungen-aktuell\2018 Advent</t>
  </si>
  <si>
    <t>Advent 2018 mit Unserer Lieben Frau vom Berge Karmel</t>
  </si>
  <si>
    <t>Den Weg des Herrn vorbereiten</t>
  </si>
  <si>
    <t>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t>
  </si>
  <si>
    <t>img/AD18_header_DE.png</t>
  </si>
  <si>
    <t>lent-2018-laurent-de-la-resurrection</t>
  </si>
  <si>
    <t>2018_fs_laurent_de_la_resurrection</t>
  </si>
  <si>
    <t>Br. Lorenz von der Auferstehung</t>
  </si>
  <si>
    <t>X:\ALLGEMEIN\0900 Veröffentlichungen\Veröffentlichungen-aktuell\2018 Fasten</t>
  </si>
  <si>
    <t>Fastenzeit 2018 mit Br. Lorenz von der Auferstehung</t>
  </si>
  <si>
    <t>Sich von Gott formen lassen</t>
  </si>
  <si>
    <t>«Ich wende mein kleines Omelett in der Pfanne aus Liebe zu Gott» Bruder Lorenz von der Auferstehung der „mystische Koch”</t>
  </si>
  <si>
    <t>img/FS18_header_DE.png</t>
  </si>
  <si>
    <t>advent-2017-josef-das-wort</t>
  </si>
  <si>
    <t>2017_ad_josef_lassen_wort_raum</t>
  </si>
  <si>
    <t>Heiliger Joseph</t>
  </si>
  <si>
    <t>X:\ALLGEMEIN\0900 Veröffentlichungen\Veröffentlichungen-aktuell\2017 Advent</t>
  </si>
  <si>
    <t>Advent 2017 mit dem hl. Josef</t>
  </si>
  <si>
    <t>Ite ad Joseph</t>
  </si>
  <si>
    <t>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t>
  </si>
  <si>
    <t>img/AD17_header_DE.png</t>
  </si>
  <si>
    <t>lent-2017-elisabeth-der-dreifaltigkeit</t>
  </si>
  <si>
    <t>2017_fs_elisabeth_von_der_dreifaltigkeit</t>
  </si>
  <si>
    <t>Heilige Elisabeth von der Dreifaltigkeit</t>
  </si>
  <si>
    <t>X:\ALLGEMEIN\0900 Veröffentlichungen\Veröffentlichungen-aktuell\2017 Fasten</t>
  </si>
  <si>
    <t>KarmelExerzitien Online in der Fastenzeit 2017</t>
  </si>
  <si>
    <t>Sich auf Ostern vorbereiten mit Elisabeth von der Dreifaltigkeit</t>
  </si>
  <si>
    <t>img/FS17_header_DE.png</t>
  </si>
  <si>
    <t>advent-2016-josef-das-wort</t>
  </si>
  <si>
    <t>2016_ad_josef_lassen_wort_raum</t>
  </si>
  <si>
    <t>Sel. Maria-Eugen vom Kinde Jesus OCD</t>
  </si>
  <si>
    <t>X:\ALLGEMEIN\0900 Veröffentlichungen\Veröffentlichungen-aktuell\2016 Advent</t>
  </si>
  <si>
    <t>Advent 2016 mit dem Sel. Maria-Eugen vom Kinde Jesus OCD</t>
  </si>
  <si>
    <t>img/AD16_header_DE.png</t>
  </si>
  <si>
    <t>lent-2016-elija-lebensgott</t>
  </si>
  <si>
    <t>2016_fs_elija_rencontrer_le_dieu_de_vie</t>
  </si>
  <si>
    <t>Heiliger Elija</t>
  </si>
  <si>
    <t>X:\ALLGEMEIN\0900 Veröffentlichungen\Veröffentlichungen-aktuell\2016 Fasten</t>
  </si>
  <si>
    <t>Fastenzeit 2016 mit dem heiligen Elija</t>
  </si>
  <si>
    <t>Vor dem Angesicht Gottes stehen</t>
  </si>
  <si>
    <t>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t>
  </si>
  <si>
    <t>img/FS16_header_DE.png</t>
  </si>
  <si>
    <t>advent-2015-louis-und-zelie-martin</t>
  </si>
  <si>
    <t>2015_ad_louis_und_zelie_martin</t>
  </si>
  <si>
    <t>Louis Martin und Zélie Martin (Eltern der hl. Thérèse von Lisieux</t>
  </si>
  <si>
    <t>X:\ALLGEMEIN\0900 Veröffentlichungen\Veröffentlichungen-aktuell\2015 Advent</t>
  </si>
  <si>
    <t>Advent 2015</t>
  </si>
  <si>
    <t>Mit Louis und Zélie Martin – Eltern der hl. Thérèse von Lisieux</t>
  </si>
  <si>
    <t>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t>
  </si>
  <si>
    <t>img/AD15_header_DE.png</t>
  </si>
  <si>
    <t>lent-2015-therese-von-avila</t>
  </si>
  <si>
    <t>2015_fs_therese_von_avila</t>
  </si>
  <si>
    <t>X:\ALLGEMEIN\0900 Veröffentlichungen\Veröffentlichungen-aktuell\2015 Fasten</t>
  </si>
  <si>
    <t>Fastenzeit 2015 mit Teresa von Avila</t>
  </si>
  <si>
    <t>Auf dem Weg der Umkehr mit der hl. Teresa von Avila</t>
  </si>
  <si>
    <t>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t>
  </si>
  <si>
    <t>img/FS15_header_DE.png</t>
  </si>
  <si>
    <t>advent-2014-jacques-de-jesus</t>
  </si>
  <si>
    <t>2014_ad_jacques_de_jesus</t>
  </si>
  <si>
    <t>X:\ALLGEMEIN\0900 Veröffentlichungen\Veröffentlichungen-aktuell\2014 Advent</t>
  </si>
  <si>
    <t>Licht in der Finsternis werden mit dem Karmeliten P. Jacques von Jesus OCD (1900-1945)</t>
  </si>
  <si>
    <t>Ich will Gott ausstrahlen...</t>
  </si>
  <si>
    <t>Der französische Karmelit P. Jacques wurde in Mauthausen-Gusen interniert, weil er 1943 jüdische Kinder in einer Schule der Karmeliten versteckt hatte. Er starb am 2. Juni 1945 im Spital der Elisabethinen in Linz.</t>
  </si>
  <si>
    <t>img/AD14_header_DE.png</t>
  </si>
  <si>
    <t>lent-2014-therese-von-lisieux</t>
  </si>
  <si>
    <t>2014_fs_therese_von_lisieux</t>
  </si>
  <si>
    <t>X:\ALLGEMEIN\0900 Veröffentlichungen\Veröffentlichungen-aktuell\2014 Fasten</t>
  </si>
  <si>
    <t>Fastenzeit 2014</t>
  </si>
  <si>
    <t>"Ich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t>
  </si>
  <si>
    <t>img/FS14_header_DE.png</t>
  </si>
  <si>
    <t>advent-2013-elisabeth-von-der-dreifaltigkeit</t>
  </si>
  <si>
    <t>2013_ad_elisabeth_von_der_dreifaltigkeit</t>
  </si>
  <si>
    <t>2013-11-29</t>
  </si>
  <si>
    <t>2013-12-25</t>
  </si>
  <si>
    <t>X:\ALLGEMEIN\0900 Veröffentlichungen\Veröffentlichungen-aktuell\2013 Advent</t>
  </si>
  <si>
    <t>Advent 2013: Vorbereitung auf Weihnachten mit Edith Stein</t>
  </si>
  <si>
    <t>Gott ward ein Menschenkind, damit die Menschen Gotteskinder werden. (Hl. Edith Stein)</t>
  </si>
  <si>
    <t>Die Karmeliten in Wien geben für jede Woche im Advent einen Impuls zur Besinnung und täglich kurze Anregungen zum Gebet. Unsere Begleiterin ist die hl. Sr. Teresia Benedicta vom Kreuz (Edith Stein) mit ihren Texten über das Weihnachtsgeheimnis.</t>
  </si>
  <si>
    <t>img/AD13_header_DE.png</t>
  </si>
  <si>
    <t>lent-2013-therese-von-avila-und-paulus</t>
  </si>
  <si>
    <t>2013_fs_therese_von_avila_und_paulus</t>
  </si>
  <si>
    <t>X:\ALLGEMEIN\0900 Veröffentlichungen\Veröffentlichungen-aktuell\2013 Fasten</t>
  </si>
  <si>
    <t>Fastenzeit 2013 mit der Hl. Edith Stein</t>
  </si>
  <si>
    <t>img/FS13_header_DE.png</t>
  </si>
  <si>
    <t>advent-2012-johannes-vom-kreuz</t>
  </si>
  <si>
    <t>2012_ad_johannes_vom_kreuz</t>
  </si>
  <si>
    <t>X:\ALLGEMEIN\0900 Veröffentlichungen\Veröffentlichungen-aktuell\2012 Advent</t>
  </si>
  <si>
    <t>img/AD12_header_DE.png</t>
  </si>
  <si>
    <t>lent-2012-therese-benedikta-vom-kreuz</t>
  </si>
  <si>
    <t>2012_fs_therese_benedikta_vom_kreuz</t>
  </si>
  <si>
    <t>X:\ALLGEMEIN\0900 Veröffentlichungen\Veröffentlichungen-aktuell\2012 Fasten</t>
  </si>
  <si>
    <t>Fastenzeit 2012 mit der Hl. Edith Stein</t>
  </si>
  <si>
    <t>Mit der heiligen Teresa-Benedicta vom Kreuz (Edith Stein)</t>
  </si>
  <si>
    <t>Jeden Tag in der Fastenzeit finden Sie auf der Homepage www.edithstein.karmel.at einen Impuls zur Besinnung mit Texten der hl. Edith Stein. Im Rahmen des Edith-Stein-Gedenkjahres 2011/2012 von den Marienschwestern vom Karmel erstellt.</t>
  </si>
  <si>
    <r>
      <t>&lt;header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t>
    </r>
    <r>
      <rPr>
        <sz val="11"/>
        <color rgb="FF000000"/>
        <rFont val="Lucida Sans"/>
        <family val="2"/>
      </rPr>
      <t>العربية</t>
    </r>
    <r>
      <rPr>
        <sz val="11"/>
        <color rgb="FF000000"/>
        <rFont val="Aptos Narrow"/>
        <family val="2"/>
        <charset val="1"/>
      </rPr>
      <t>&lt;/span&gt;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t>
    </r>
    <r>
      <rPr>
        <sz val="11"/>
        <color rgb="FF000000"/>
        <rFont val="Microsoft YaHei"/>
        <family val="2"/>
      </rPr>
      <t>中文</t>
    </r>
    <r>
      <rPr>
        <sz val="11"/>
        <color rgb="FF000000"/>
        <rFont val="Aptos Narrow"/>
        <family val="2"/>
        <charset val="1"/>
      </rPr>
      <t>&lt;/span&gt;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t>
    </r>
  </si>
  <si>
    <t>2024_advent</t>
  </si>
  <si>
    <t>2023_advent</t>
  </si>
  <si>
    <t>2023_lent</t>
  </si>
  <si>
    <t>2023-01-01</t>
  </si>
  <si>
    <t>2022-11-23</t>
  </si>
  <si>
    <t>2022-03-02</t>
  </si>
  <si>
    <t>2022-04-24</t>
  </si>
  <si>
    <t>&lt;section class="section"&gt;</t>
  </si>
  <si>
    <t>&lt;head&gt;</t>
  </si>
  <si>
    <t>&lt;meta charset="UTF-8" /&gt;</t>
  </si>
  <si>
    <t>&lt;meta name="viewport" content="width=device-width, initial-scale=1.0" /&gt;</t>
  </si>
  <si>
    <t>&lt;title&gt;Fastenzeit 2026 mit Johannes vom Kreuz&lt;/title&gt;</t>
  </si>
  <si>
    <t>&lt;link rel="preconnect" href="https://fonts.googleapis.com" /&gt;</t>
  </si>
  <si>
    <t>&lt;link rel="preconnect" href="https://fonts.gstatic.com" crossorigin /&gt;</t>
  </si>
  <si>
    <t>&lt;link</t>
  </si>
  <si>
    <t>href="https://fonts.googleapis.com/css2?family=Cormorant+Garamond:wght@500;600;700&amp;family=Inter:wght@400;500;600;700&amp;display=swap"</t>
  </si>
  <si>
    <t>rel="stylesheet"</t>
  </si>
  <si>
    <t>/&gt;</t>
  </si>
  <si>
    <t>&lt;link rel="stylesheet" href="../style.css" /&gt;</t>
  </si>
  <si>
    <t>&lt;/head&gt;</t>
  </si>
  <si>
    <t>&lt;body&gt;</t>
  </si>
  <si>
    <t>&lt;a class="skip-link" href="#main"&gt;Zum Inhalt springen&lt;/a&gt;</t>
  </si>
  <si>
    <t>&lt;header class="site-header"&gt;</t>
  </si>
  <si>
    <t>&lt;div class="cover-img"&gt;</t>
  </si>
  <si>
    <t>&lt;/header&gt;</t>
  </si>
  <si>
    <t>&lt;div class="container header-inner"&gt;</t>
  </si>
  <si>
    <t>&lt;a href=".." class="brand" aria-label="Startseite"&gt;</t>
  </si>
  <si>
    <t>&lt;span class="brand-mark" aria-hidden="true"&gt;&lt;img src="../img/apple-touch-icon.png" style="border-radius: var(--radius-lg)"&gt;&lt;/span&gt;</t>
  </si>
  <si>
    <t>&lt;span class="brand-text"&gt;</t>
  </si>
  <si>
    <t>&lt;span class="brand-kicker"&gt;Karmel&lt;/span&gt;</t>
  </si>
  <si>
    <t>&lt;span class="brand-name"&gt;Online-Exerzitien&lt;/span&gt;</t>
  </si>
  <si>
    <t>&lt;/span&gt;</t>
  </si>
  <si>
    <t>&lt;/a&gt;</t>
  </si>
  <si>
    <t>&lt;div class="header-actions"&gt;</t>
  </si>
  <si>
    <t>&lt;nav class="language-switcher" aria-label="Sprachauswahl"&gt;</t>
  </si>
  <si>
    <t>&lt;a</t>
  </si>
  <si>
    <t>href="#"</t>
  </si>
  <si>
    <t>class="lang-link is-active"</t>
  </si>
  <si>
    <t>lang="de"</t>
  </si>
  <si>
    <t>aria-current="page"</t>
  </si>
  <si>
    <t>&gt;DE&lt;/a</t>
  </si>
  <si>
    <t>&gt;</t>
  </si>
  <si>
    <t>&lt;a href="https://retraites.carmes-paris.org/careme-2026/careme-2026-st-jean-de-la-croix/" class="lang-link" lang="fr"&gt;FR&lt;/a&gt;</t>
  </si>
  <si>
    <t>&lt;a href="#" class="lang-link" lang="en"&gt;EN&lt;/a&gt;</t>
  </si>
  <si>
    <t>&lt;/nav&gt;</t>
  </si>
  <si>
    <t>&lt;main id="main"&gt;</t>
  </si>
  <si>
    <t>&lt;div class="container hero-grid-1col"&gt;</t>
  </si>
  <si>
    <t>&lt;h1&gt;„Christus in der Tiefe des Herzens begegnen”&lt;/h1&gt;</t>
  </si>
  <si>
    <t>&lt;h2&gt;Fastenzeit 2026 mit dem heiligen Johannes vom Kreuz&lt;/h2&gt;</t>
  </si>
  <si>
    <t>&lt;li&gt;300. Jahrestag seiner Heiligsprechung (1726)&lt;/li&gt;</t>
  </si>
  <si>
    <t>&lt;li&gt;100. Jahrestag seiner Ernennung zum Kirchenlehrer (1926)&lt;/li&gt;</t>
  </si>
  <si>
    <t xml:space="preserve">dem heiligen Johannes vom Kreuz&lt;/p&gt; </t>
  </si>
  <si>
    <t xml:space="preserve">&lt;/p&gt; </t>
  </si>
  <si>
    <t>&lt;div class="image-zoom"&gt;</t>
  </si>
  <si>
    <t>&lt;/section&gt;</t>
  </si>
  <si>
    <t>&lt;section class="section section-intro"&gt;</t>
  </si>
  <si>
    <t>&lt;section class="section section-archive" aria-labelledby="archiv-titel" id="weeks-cards"&gt;</t>
  </si>
  <si>
    <t>&lt;p class="eyebrow"&gt;Anmeldung&lt;/p&gt;</t>
  </si>
  <si>
    <t>&lt;div class="container"&gt;</t>
  </si>
  <si>
    <t>&lt;h1&gt;Jetzt für die Online-Exerzitien anmelden&lt;/h1&gt;</t>
  </si>
  <si>
    <t>&lt;div class="section-head"&gt;</t>
  </si>
  <si>
    <t>&lt;p class="lead"&gt;</t>
  </si>
  <si>
    <t>&lt;p class="section-label"&gt;Impulse&lt;/p&gt;</t>
  </si>
  <si>
    <t>Erhalten Sie die Impulse der Exerzitien direkt per E-Mail und</t>
  </si>
  <si>
    <t>&lt;h2&gt;Die wöchentlichen Meditationen der Exerzitien&lt;/h2&gt;</t>
  </si>
  <si>
    <t>gehen Sie den Weg durch Advent oder Fastenzeit im Geist des</t>
  </si>
  <si>
    <t>Karmel.</t>
  </si>
  <si>
    <t>Die Impulse werden hier erscheinen, wenn sie veröffentlicht sind...</t>
  </si>
  <si>
    <t>&lt;div</t>
  </si>
  <si>
    <t>&lt;!-- wird per JavaScript gefüllt --&gt;</t>
  </si>
  <si>
    <t>class="form-placeholder"</t>
  </si>
  <si>
    <t>aria-label="Platzhalter für Anmeldeformular"</t>
  </si>
  <si>
    <t>&lt;p class="form-label"&gt;Anmeldeformular&lt;/p&gt;</t>
  </si>
  <si>
    <t>&lt;div class="embed-box"&gt;</t>
  </si>
  <si>
    <t>&lt;section class="section intro" id="abonniere"&gt;</t>
  </si>
  <si>
    <t>&lt;div id="mc_embed_signup_scroll"&gt;</t>
  </si>
  <si>
    <t>&lt;div class="mc-field-group"&gt;&lt;label for="mce-EMAIL"&gt;eMail Adresse&lt;span class="asterisk"&gt;* (erforderlich)&lt;/span&gt;&lt;/label&gt;</t>
  </si>
  <si>
    <t>&lt;input type="email" name="EMAIL" class="required email" id="mce-EMAIL" required="" value=""&gt;&lt;/div&gt;</t>
  </si>
  <si>
    <t>&lt;div class="mc-field-group"&gt;&lt;label for="mce-FNAME"&gt;Vorname &lt;/label&gt;</t>
  </si>
  <si>
    <t>&lt;input type="text" name="FNAME" class=" text" id="mce-FNAME" value=""&gt;&lt;/div&gt;</t>
  </si>
  <si>
    <t>&lt;div class="mc-field-group"&gt;&lt;label for="mce-LNAME"&gt;Nachname &lt;/label&gt;</t>
  </si>
  <si>
    <t>&lt;input type="text" name="LNAME" class=" text" id="mce-LNAME" value=""&gt;&lt;/div&gt;</t>
  </si>
  <si>
    <t>&lt;div class="mc-field-group input-group"&gt;</t>
  </si>
  <si>
    <t>&lt;strong&gt;Ich interessiere auch mich für:&lt;/strong&gt;</t>
  </si>
  <si>
    <t>&lt;ul class="interest-group" style="text-align: left;"&gt;</t>
  </si>
  <si>
    <t>&lt;li&gt;&lt;input type="checkbox" name="group[16777][64]" id="mce-group[16777]-16777-0" value=""&gt;&lt;label for="mce-group[16777]-16777-0"&gt;alle Veranstaltungen des Karmel in Österreich&lt;/label&gt;&lt;/li&gt;</t>
  </si>
  <si>
    <t>&lt;details class="option-group"&gt;&lt;summary&gt;Orte und Formate einschränken&lt;/summary&gt;</t>
  </si>
  <si>
    <t>&lt;ul&gt;</t>
  </si>
  <si>
    <t>&lt;li&gt;&lt;input type="checkbox" name="group[16777][512]" id="mce-group[16777]-16777-1" value="" &gt;&lt;label for="mce-group[16777]-16777-1"&gt;in Wien&lt;/label&gt;&lt;/li&gt;</t>
  </si>
  <si>
    <t>&lt;li&gt;&lt;input type="checkbox" name="group[16777][1024]" id="mce-group[16777]-16777-2" value="" &gt;&lt;label for="mce-group[16777]-16777-2"&gt;in Linz&lt;/label&gt;&lt;/li&gt;</t>
  </si>
  <si>
    <t>&lt;li&gt;&lt;input type="checkbox" name="group[16777][2048]" id="mce-group[16777]-16777-3" value="" &gt;&lt;label for="mce-group[16777]-16777-3"&gt;in Graz&lt;/label&gt;&lt;/li&gt;</t>
  </si>
  <si>
    <t>&lt;li&gt;&lt;input type="checkbox" name="group[16777][524288]" id="mce-group[16777]-16777-4" value=""&gt;&lt;label for="mce-group[16777]-16777-4"&gt;online&lt;/label&gt;&lt;/li&gt;</t>
  </si>
  <si>
    <t>&lt;/ul&gt;</t>
  </si>
  <si>
    <t>&lt;/details&gt;</t>
  </si>
  <si>
    <t>&lt;li&gt;&lt;input type="checkbox" name="group[16777][256]" id="mce-group[16777]-16777-5" value=""&gt;&lt;label for="mce-group[16777]-16777-5"&gt;Infos/Veranstaltungen der Edith Stein Gesellschaft&lt;/label&gt;&lt;/li&gt;</t>
  </si>
  <si>
    <t>&lt;details class="option-group"&gt;&lt;summary&gt;Novenen und Exerzitien auswählen&lt;/summary&gt;</t>
  </si>
  <si>
    <t>&lt;li&gt;&lt;input type="checkbox" name="group[16777][128]" id="mce-group[16777]-16777-6" value=""&gt;&lt;label for="mce-group[16777]-16777-6"&gt;Friedensgebet/Novene Hl. Edith Stein&lt;/label&gt;&lt;/li&gt;</t>
  </si>
  <si>
    <t>&lt;li style="display:none"&gt;&lt;input type="checkbox" name="group[16777][32]" id="mce-group[16777]-16777-7" value="" checked&gt;&lt;label for="mce-group[16777]-16777-7"&gt;Exerzitien Online in Advent/Fastenzeit&lt;/label&gt;&lt;/li&gt;</t>
  </si>
  <si>
    <t>&lt;li&gt;&lt;input type="checkbox" name="group[16777][16]" id="mce-group[16777]-16777-8" value=""&gt;&lt;label for="mce-group[16777]-16777-8"&gt;Novene Online zum Skapulierfest&lt;/label&gt;&lt;/li&gt;</t>
  </si>
  <si>
    <t>&lt;li&gt;&lt;input type="checkbox" name="group[16777][8192]" id="mce-group[16777]-16777-9" value=""&gt;&lt;label for="mce-group[16777]-16777-9"&gt;33 Schritte mit Maria zu Jesus&lt;/label&gt;&lt;/li&gt;</t>
  </si>
  <si>
    <t>&lt;li&gt;&lt;input type="checkbox" name="group[16777][4096]" id="mce-group[16777]-16777-10" value=""&gt;&lt;label for="mce-group[16777]-16777-10"&gt;Jesus-Gebet&lt;/label&gt;&lt;/li&gt;  </t>
  </si>
  <si>
    <t>&lt;!--  &lt;div class="card-links"&gt;</t>
  </si>
  <si>
    <t>&lt;a href="#angebote-cards"&gt;Mehr Informationen zur Angebote nach unten&lt;/a&gt;</t>
  </si>
  <si>
    <t>&lt;/div&gt; --&gt;</t>
  </si>
  <si>
    <t>&lt;div hidden=""&gt;&lt;input type="hidden" name="tags" value="8501"&gt;&lt;/div&gt;</t>
  </si>
  <si>
    <t>&lt;div class="mc-field-group"&gt;&lt;label for="mce-AUFMERKS01"&gt;Wie sind Sie auf uns aufmerksam geworden? &lt;/label&gt;</t>
  </si>
  <si>
    <t>&lt;select name="AUFMERKS01" class="" id="mce-AUFMERKS01"&gt;</t>
  </si>
  <si>
    <t>&lt;option value="Bitte auswahlen..."&gt;Bitte auswahlen...&lt;/option&gt;</t>
  </si>
  <si>
    <t>&lt;option value="Karmeliten in Wien"&gt;Karmeliten in Wien&lt;/option&gt;</t>
  </si>
  <si>
    <t>&lt;option value="Karmeliten in Linz"&gt;Karmeliten in Linz&lt;/option&gt;</t>
  </si>
  <si>
    <t>&lt;option value="Karmeliten in Graz"&gt;Karmeliten in Graz&lt;/option&gt;</t>
  </si>
  <si>
    <t>&lt;option value="Persönliche Empfehlung"&gt;Persönliche Empfehlung&lt;/option&gt;</t>
  </si>
  <si>
    <t>&lt;option value="Plakat"&gt;Plakat&lt;/option&gt;</t>
  </si>
  <si>
    <t>&lt;option value="Internetsuche"&gt;Internetsuche&lt;/option&gt;</t>
  </si>
  <si>
    <t>&lt;option value="YouTube"&gt;YouTube&lt;/option&gt;</t>
  </si>
  <si>
    <t>&lt;option value="Facebook"&gt;Facebook&lt;/option&gt;</t>
  </si>
  <si>
    <t>&lt;option value="Instagram"&gt;Instagram&lt;/option&gt;</t>
  </si>
  <si>
    <t>&lt;option value="Sonstiges – bitte unten angeben"&gt;Sonstiges – bitte unten angeben&lt;/option&gt;&lt;/select&gt;&lt;/div&gt;</t>
  </si>
  <si>
    <t>&lt;div class="mc-field-group"&gt;&lt;label for="mce-AUFMERKS02"&gt;Sonstiges – bitte hier angeben  &lt;/label&gt;</t>
  </si>
  <si>
    <t>&lt;input type="text" name="AUFMERKS02" class=" text" id="mce-AUFMERKS02" value=""&gt;</t>
  </si>
  <si>
    <t>&lt;div id="mce-responses" class="clear"&gt;</t>
  </si>
  <si>
    <t>&lt;div class="response" id="mce-error-response" style="display: none;"&gt;&lt;/div&gt;</t>
  </si>
  <si>
    <t>&lt;div class="response" id="mce-success-response" style="display: none;"&gt;&lt;/div&gt;</t>
  </si>
  <si>
    <t>&lt;/div&gt;&lt;div style="position: absolute; left: -5000px;" aria-hidden="true"&gt;&lt;input type="text" name="b_7c9d2aa0ecc1fde64fd44bc67_10430a5833" tabindex="-1" value=""&gt;&lt;/div&gt;</t>
  </si>
  <si>
    <t>&lt;div class="clear"&gt;&lt;input type="submit" name="subscribe" id="mc-embedded-subscribe" class="button" value="Anmelden"&gt;&lt;/div&gt;</t>
  </si>
  <si>
    <t>&lt;div class="card-links"&gt;</t>
  </si>
  <si>
    <t>&lt;a href="#datenschutz-wrap" id="datenschutz-toggle" aria-expanded="false" aria-controls="datenschutz-wrap"&gt;Datenschutz&lt;/a&gt;</t>
  </si>
  <si>
    <t>&lt;div id="datenschutz-wrap" hidden&gt;</t>
  </si>
  <si>
    <t>&lt;div&gt;</t>
  </si>
  <si>
    <t>&lt;p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t>
  </si>
  <si>
    <t>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 Indem Sie unten klicken, erklären Sie sich damit einverstanden, dass wir Ihre Informationen in Übereinstimmung mit diesen Bedingungen verarbeiten dürfen.</t>
  </si>
  <si>
    <t>&lt;p style="font-size: 14px;"&gt;</t>
  </si>
  <si>
    <t>Wir nutzen Mailchimp als unsere Marketing-Plattform. Mit einem Klick auf den untenstehenden Button zum Abonnieren erklären Sie sich damit einverstanden, dass Ihre Daten zur Verarbeitung an Mailchimp übermittelt werden.</t>
  </si>
  <si>
    <t>&lt;a class="plain-link" href="https://mailchimp.com/legal/terms/" target="_blank" rel="noopener noreferrer" style="display:inline-block; font-weight:400; text-decoration:underline;"&gt;</t>
  </si>
  <si>
    <t>&lt;br&gt;Mehr über die Datenschutzpraktiken von Mailchimp erfahren Sie hier.</t>
  </si>
  <si>
    <t>&lt;/a&gt;&lt;/div&gt;&lt;/div&gt;&lt;/div&gt;</t>
  </si>
  <si>
    <t xml:space="preserve">Laden Sie auch Freunde und Bekannte ein! Sie können diese Seite weiterempfehlen oder auf &lt;a href="https://rundbrief.karmel.at"&gt;rundbrief.karmel.at&lt;/a&gt; verweisen.&lt;/p&gt; </t>
  </si>
  <si>
    <t>&lt;p&gt;Wenn Sie sich mit dem online-Anmeldeformular schwer tun oder Fehler auftreten, &lt;a href="mailto:secretarius@karmel.at?subject=Anmeldung%zum%Rundbrief"&gt;schreiben Sie uns ein eMail&lt;/a&gt;.&lt;/p&gt;</t>
  </si>
  <si>
    <t>&lt;p&gt;  Sie können die Exerzitien/Novenen und die anderen Aussendungen auch über die kostenlose App "Gott allein genügt!" für iPhone, Android und Windows Mobile verfolgen: &lt;a href="http://app.karmel.at"&gt;Homepage der App&lt;/a&gt; - dort finden Sie auch weitere Impulse und Infos.&lt;/p&gt;</t>
  </si>
  <si>
    <t>&lt;p&gt;So wünschen wir Ihnen ein gutes, frohes Lesen und Beten!</t>
  </si>
  <si>
    <t>&lt;section class="section section-features"&gt;</t>
  </si>
  <si>
    <t>&lt;h1&gt;Ablauf der Exerzitien&lt;/h1&gt;</t>
  </si>
  <si>
    <t>&lt;div class="cards-grid"&gt;</t>
  </si>
  <si>
    <t>&lt;article class="info-card"&gt;</t>
  </si>
  <si>
    <t>&lt;span class="step-index"&gt;1&lt;/span&gt;</t>
  </si>
  <si>
    <t>&lt;h3&gt;Mit Christus siege&lt;/h3&gt;</t>
  </si>
  <si>
    <t>&lt;/article&gt;</t>
  </si>
  <si>
    <t>&lt;span class="step-index"&gt;2&lt;/span&gt;</t>
  </si>
  <si>
    <t>&lt;h3&gt;Unser Herz – entflammt durch das Herz Christi&lt;/h3&gt;</t>
  </si>
  <si>
    <t>&lt;span class="step-index"&gt;3&lt;/span&gt;</t>
  </si>
  <si>
    <t>&lt;h3&gt;Wenn Eva wieder Maria wird&lt;/h3&gt;</t>
  </si>
  <si>
    <t>&lt;/main&gt;</t>
  </si>
  <si>
    <t>&lt;span class="step-index"&gt;4&lt;/span&gt;</t>
  </si>
  <si>
    <t>&lt;footer class="site-footer"&gt;</t>
  </si>
  <si>
    <t>&lt;h3&gt;Mit den Augen Mariens sehen&lt;/h3&gt;</t>
  </si>
  <si>
    <t>&lt;div class="container footer-inner"&gt;</t>
  </si>
  <si>
    <t>&lt;p&gt;© Teresianischer Karmel – Online-Exerzitien&lt;/p&gt;</t>
  </si>
  <si>
    <t>&lt;p&gt;Geistliche Begleitung für Advent und Fastenzeit&lt;/p&gt;</t>
  </si>
  <si>
    <t>&lt;span class="step-index"&gt;5&lt;/span&gt;</t>
  </si>
  <si>
    <t>&lt;h3&gt;Die Freiheit der Kinder Gottes wiedererlangen&lt;/h3&gt;</t>
  </si>
  <si>
    <t>&lt;/footer&gt;</t>
  </si>
  <si>
    <t>&lt;/body&gt;</t>
  </si>
  <si>
    <t>&lt;script type="module" src="../script.js"&gt;&lt;/script&gt;</t>
  </si>
  <si>
    <t>&lt;span class="step-index"&gt;6&lt;/span&gt;</t>
  </si>
  <si>
    <t>&lt;script type="module" src="./weeks_script.js"&gt;</t>
  </si>
  <si>
    <t>&lt;h3&gt;Die Liebeswunde am Kreuz&lt;/h3&gt;</t>
  </si>
  <si>
    <t>&lt;/script&gt;</t>
  </si>
  <si>
    <t> &lt;div class="archive-grid" id="weeks-grid"&gt;</t>
  </si>
  <si>
    <t>&lt;script type="module" src="./de-fs-26-script.js"&gt;</t>
  </si>
  <si>
    <t>&lt;img src="../img/website_banner.jpg" alt="Cover"&gt;</t>
  </si>
  <si>
    <t>&lt;img src="../img/FS26_header_DE.png" alt="Cover"&gt;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</si>
</sst>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Aptos Narrow"/>
      <family val="2"/>
      <charset val="1"/>
    </font>
    <font>
      <sz val="11"/>
      <color rgb="FF808080"/>
      <name val="Consolas"/>
      <family val="3"/>
      <charset val="1"/>
    </font>
    <font>
      <sz val="11"/>
      <color rgb="FF7EE787"/>
      <name val="Consolas"/>
      <family val="3"/>
      <charset val="1"/>
    </font>
    <font>
      <sz val="11"/>
      <color rgb="FFBBBEBF"/>
      <name val="Consolas"/>
      <family val="3"/>
      <charset val="1"/>
    </font>
    <font>
      <sz val="11"/>
      <color rgb="FF9CDCFE"/>
      <name val="Consolas"/>
      <family val="3"/>
      <charset val="1"/>
    </font>
    <font>
      <sz val="11"/>
      <color rgb="FFA5D6FF"/>
      <name val="Consolas"/>
      <family val="3"/>
      <charset val="1"/>
    </font>
    <font>
      <sz val="11"/>
      <color rgb="FFFF7B72"/>
      <name val="Consolas"/>
      <family val="3"/>
      <charset val="1"/>
    </font>
    <font>
      <sz val="11"/>
      <color rgb="FF8B949E"/>
      <name val="Consolas"/>
      <family val="3"/>
      <charset val="1"/>
    </font>
    <font>
      <sz val="11"/>
      <color rgb="FFD4D4D4"/>
      <name val="Consolas"/>
      <family val="3"/>
      <charset val="1"/>
    </font>
    <font>
      <sz val="11"/>
      <color rgb="FF000000"/>
      <name val="Lucida Sans"/>
      <family val="2"/>
    </font>
    <font>
      <sz val="11"/>
      <color rgb="FF000000"/>
      <name val="Microsoft YaHei"/>
      <family val="2"/>
    </font>
  </fonts>
  <fills count="5">
    <fill>
      <patternFill patternType="none"/>
    </fill>
    <fill>
      <patternFill patternType="gray125"/>
    </fill>
    <fill>
      <patternFill patternType="solid">
        <fgColor theme="9" tint="0.79989013336588644"/>
        <bgColor rgb="FFCCFFFF"/>
      </patternFill>
    </fill>
    <fill>
      <patternFill patternType="solid">
        <fgColor rgb="FFFFC000"/>
        <bgColor rgb="FFFF9900"/>
      </patternFill>
    </fill>
    <fill>
      <patternFill patternType="solid">
        <fgColor rgb="FF121314"/>
        <bgColor rgb="FF000000"/>
      </patternFill>
    </fill>
  </fills>
  <borders count="1">
    <border>
      <left/>
      <right/>
      <top/>
      <bottom/>
      <diagonal/>
    </border>
  </borders>
  <cellStyleXfs count="1">
    <xf numFmtId="0" fontId="0" fillId="0" borderId="0"/>
  </cellStyleXfs>
  <cellXfs count="11">
    <xf numFmtId="0" fontId="0" fillId="0" borderId="0" xfId="0"/>
    <xf numFmtId="0" fontId="0" fillId="2" borderId="0" xfId="0" applyFill="1"/>
    <xf numFmtId="0" fontId="0" fillId="3" borderId="0" xfId="0" applyFill="1"/>
    <xf numFmtId="0" fontId="1" fillId="0" borderId="0" xfId="0" applyFont="1" applyAlignment="1">
      <alignment vertical="center"/>
    </xf>
    <xf numFmtId="0" fontId="3" fillId="0" borderId="0" xfId="0" applyFont="1" applyAlignment="1">
      <alignment vertical="center"/>
    </xf>
    <xf numFmtId="0" fontId="0" fillId="4" borderId="0" xfId="0" applyFill="1" applyAlignment="1">
      <alignment vertical="center"/>
    </xf>
    <xf numFmtId="0" fontId="0" fillId="2" borderId="0" xfId="0" applyFill="1" applyAlignment="1">
      <alignment wrapText="1"/>
    </xf>
    <xf numFmtId="0" fontId="0" fillId="0" borderId="0" xfId="0" applyAlignment="1">
      <alignment wrapText="1"/>
    </xf>
    <xf numFmtId="0" fontId="7" fillId="0" borderId="0" xfId="0" applyFont="1" applyAlignment="1">
      <alignment vertical="center"/>
    </xf>
    <xf numFmtId="0" fontId="8" fillId="0" borderId="0" xfId="0" applyFont="1" applyAlignment="1">
      <alignment vertical="center"/>
    </xf>
    <xf numFmtId="0" fontId="0" fillId="0" borderId="0" xfId="0" quotePrefix="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EBF"/>
      <rgbColor rgb="FF808080"/>
      <rgbColor rgb="FF9999FF"/>
      <rgbColor rgb="FF993366"/>
      <rgbColor rgb="FFFFFFCC"/>
      <rgbColor rgb="FF9CDCFE"/>
      <rgbColor rgb="FF660066"/>
      <rgbColor rgb="FFFF7B72"/>
      <rgbColor rgb="FF0066CC"/>
      <rgbColor rgb="FFD4D4D4"/>
      <rgbColor rgb="FF000080"/>
      <rgbColor rgb="FFFF00FF"/>
      <rgbColor rgb="FFFFFF00"/>
      <rgbColor rgb="FF00FFFF"/>
      <rgbColor rgb="FF800080"/>
      <rgbColor rgb="FF800000"/>
      <rgbColor rgb="FF008080"/>
      <rgbColor rgb="FF0000FF"/>
      <rgbColor rgb="FF00CCFF"/>
      <rgbColor rgb="FFCCFFFF"/>
      <rgbColor rgb="FFD9F2D0"/>
      <rgbColor rgb="FFFFFF99"/>
      <rgbColor rgb="FFA5D6FF"/>
      <rgbColor rgb="FFFF99CC"/>
      <rgbColor rgb="FFCC99FF"/>
      <rgbColor rgb="FFFFCC99"/>
      <rgbColor rgb="FF3366FF"/>
      <rgbColor rgb="FF7EE787"/>
      <rgbColor rgb="FF99CC00"/>
      <rgbColor rgb="FFFFC000"/>
      <rgbColor rgb="FFFF9900"/>
      <rgbColor rgb="FFFF6600"/>
      <rgbColor rgb="FF666699"/>
      <rgbColor rgb="FF8B949E"/>
      <rgbColor rgb="FF003366"/>
      <rgbColor rgb="FF339966"/>
      <rgbColor rgb="FF121314"/>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rzitien_katalog" displayName="exerzitien_katalog" ref="A1:L30" totalsRowShown="0">
  <autoFilter ref="A1:L30" xr:uid="{00000000-0009-0000-0100-000001000000}"/>
  <tableColumns count="12">
    <tableColumn id="1" xr3:uid="{00000000-0010-0000-0000-000001000000}" name="Column1.id"/>
    <tableColumn id="2" xr3:uid="{00000000-0010-0000-0000-000002000000}" name="Column1.art"/>
    <tableColumn id="3" xr3:uid="{00000000-0010-0000-0000-000003000000}" name="Column1.year"/>
    <tableColumn id="4" xr3:uid="{00000000-0010-0000-0000-000004000000}" name="Column1.slug"/>
    <tableColumn id="5" xr3:uid="{00000000-0010-0000-0000-000005000000}" name="Column1.heiliger"/>
    <tableColumn id="6" xr3:uid="{00000000-0010-0000-0000-000006000000}" name="Column1.start_datum"/>
    <tableColumn id="7" xr3:uid="{00000000-0010-0000-0000-000007000000}" name="Column1.end_datum"/>
    <tableColumn id="8" xr3:uid="{00000000-0010-0000-0000-000008000000}" name="Column1.folder_path"/>
    <tableColumn id="9" xr3:uid="{00000000-0010-0000-0000-000009000000}" name="Column1.thema.de"/>
    <tableColumn id="10" xr3:uid="{00000000-0010-0000-0000-00000A000000}" name="Column1.titel.de"/>
    <tableColumn id="11" xr3:uid="{00000000-0010-0000-0000-00000B000000}" name="Column1.zusammenfassung.de"/>
    <tableColumn id="12" xr3:uid="{00000000-0010-0000-0000-00000C000000}" name="Column1.header_img.de"/>
  </tableColumns>
  <tableStyleInfo showFirstColumn="0" showLastColumn="0" showRowStripes="1" showColumnStripes="0"/>
</table>
</file>

<file path=xl/theme/theme1.xml><?xml version="1.0" encoding="utf-8"?>
<a:theme xmlns:a="http://schemas.openxmlformats.org/drawingml/2006/main" name="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AE248"/>
  <sheetViews>
    <sheetView tabSelected="1" topLeftCell="I1" zoomScaleNormal="100" workbookViewId="0">
      <selection activeCell="I15" sqref="I15"/>
    </sheetView>
  </sheetViews>
  <sheetFormatPr baseColWidth="10" defaultColWidth="10.7109375" defaultRowHeight="15" x14ac:dyDescent="0.25"/>
  <cols>
    <col min="1" max="3" width="20.140625" customWidth="1"/>
    <col min="4" max="4" width="28.42578125" customWidth="1"/>
    <col min="5" max="5" width="109.42578125" style="1" customWidth="1"/>
    <col min="6" max="6" width="31.140625" style="2" customWidth="1"/>
    <col min="7" max="7" width="39.140625" customWidth="1"/>
    <col min="8" max="8" width="30.42578125" customWidth="1"/>
    <col min="9" max="9" width="255.7109375" bestFit="1" customWidth="1"/>
  </cols>
  <sheetData>
    <row r="2" spans="2:31" x14ac:dyDescent="0.25">
      <c r="E2" s="1" t="s">
        <v>635</v>
      </c>
      <c r="F2" s="2" t="s">
        <v>636</v>
      </c>
      <c r="G2" t="s">
        <v>637</v>
      </c>
      <c r="H2" t="s">
        <v>3</v>
      </c>
    </row>
    <row r="3" spans="2:31" x14ac:dyDescent="0.25">
      <c r="B3" t="str">
        <f>'exerzitien-katalog'!I2</f>
        <v>Fastenzeit 2026 mit dem heiligen Johannes vom Kreuz</v>
      </c>
      <c r="C3" t="str">
        <f t="array" ref="C3">INDEX('exerzitien-katalog'!$I:$I,COLUMN(C3)+1)</f>
        <v>Fastenzeit 2025 mit Thérèse von Lisieux und das Östergeheimnis</v>
      </c>
      <c r="D3" t="str">
        <f t="array" ref="D3">INDEX('exerzitien-katalog'!$I:$I,COLUMN(D3)+1)</f>
        <v>Advent 2024 mit der Hl. Thérèse vom Kind Jesu</v>
      </c>
      <c r="E3" s="1" t="str">
        <f t="array" ref="E3">INDEX('exerzitien-katalog'!$I:$I,COLUMN(E3)+1)</f>
        <v>Fastenzeit 2024 mit Pater Jacuqes von Jesus (1900-1945)</v>
      </c>
      <c r="F3" s="2" t="str">
        <f t="array" ref="F3">INDEX('exerzitien-katalog'!$I:$I,COLUMN(F3)+1)</f>
        <v>Advent 2023 mit der heiligen Teresa de Los Andes (1900-1920)</v>
      </c>
      <c r="G3" t="str">
        <f t="array" ref="G3">INDEX('exerzitien-katalog'!$I:$I,COLUMN(G3)+1)</f>
        <v>Fastenzeit 2023: Das Gebet</v>
      </c>
      <c r="H3" t="str">
        <f t="array" ref="H3">INDEX('exerzitien-katalog'!$I:$I,COLUMN(H3)+1)</f>
        <v>Advent 2022 in der Schule der Heiligen des Karmel</v>
      </c>
      <c r="I3" t="str">
        <f t="array" ref="I3">INDEX('exerzitien-katalog'!$I:$I,COLUMN(I3)+1)</f>
        <v>Fastenzeit 2022: Gottes Barmherzigkeit leben mit den Heiligen des Karmel</v>
      </c>
      <c r="J3" t="str">
        <f t="array" ref="J3">INDEX('exerzitien-katalog'!$I:$I,COLUMN(J3)+1)</f>
        <v>Advent 2021 mit der hl. Thérèse von Lisieux und Maria Montessori</v>
      </c>
      <c r="K3" t="str">
        <f t="array" ref="K3">INDEX('exerzitien-katalog'!$I:$I,COLUMN(K3)+1)</f>
        <v>Fastenzeit 2021 mit der Heilige Teresa von Ávila</v>
      </c>
      <c r="L3" t="str">
        <f t="array" ref="L3">INDEX('exerzitien-katalog'!$I:$I,COLUMN(L3)+1)</f>
        <v>Advent 2020 mit der "Schönen Acarie" (1566-1618)</v>
      </c>
      <c r="M3" t="str">
        <f t="array" ref="M3">INDEX('exerzitien-katalog'!$I:$I,COLUMN(M3)+1)</f>
        <v>Fastenzeit 2020 mit dem Hl. Johannes vom Kreuz</v>
      </c>
      <c r="N3" t="str">
        <f t="array" ref="N3">INDEX('exerzitien-katalog'!$I:$I,COLUMN(N3)+1)</f>
        <v>Advent 2019 mit Unserer Lieben Frau vom Berge Karmel</v>
      </c>
      <c r="O3" t="str">
        <f t="array" ref="O3">INDEX('exerzitien-katalog'!$I:$I,COLUMN(O3)+1)</f>
        <v>Fastenzeit 2019 mit Edith Stein Hl. Teresa-Benedicta vom Kreuz</v>
      </c>
      <c r="P3" t="str">
        <f t="array" ref="P3">INDEX('exerzitien-katalog'!$I:$I,COLUMN(P3)+1)</f>
        <v>Advent 2018 mit Unserer Lieben Frau vom Berge Karmel</v>
      </c>
      <c r="Q3" t="str">
        <f t="array" ref="Q3">INDEX('exerzitien-katalog'!$I:$I,COLUMN(Q3)+1)</f>
        <v>Fastenzeit 2018 mit Br. Lorenz von der Auferstehung</v>
      </c>
      <c r="R3" t="str">
        <f t="array" ref="R3">INDEX('exerzitien-katalog'!$I:$I,COLUMN(R3)+1)</f>
        <v>Advent 2017 mit dem hl. Josef</v>
      </c>
      <c r="S3" t="str">
        <f t="array" ref="S3">INDEX('exerzitien-katalog'!$I:$I,COLUMN(S3)+1)</f>
        <v>KarmelExerzitien Online in der Fastenzeit 2017</v>
      </c>
      <c r="T3" t="str">
        <f t="array" ref="T3">INDEX('exerzitien-katalog'!$I:$I,COLUMN(T3)+1)</f>
        <v>Advent 2016 mit dem Sel. Maria-Eugen vom Kinde Jesus OCD</v>
      </c>
      <c r="U3" t="str">
        <f t="array" ref="U3">INDEX('exerzitien-katalog'!$I:$I,COLUMN(U3)+1)</f>
        <v>Fastenzeit 2016 mit dem heiligen Elija</v>
      </c>
      <c r="V3" s="1" t="str">
        <f t="array" ref="V3">INDEX('exerzitien-katalog'!$I:$I,COLUMN(V3)+1)</f>
        <v>Advent 2015</v>
      </c>
      <c r="W3" s="2" t="str">
        <f t="array" ref="W3">INDEX('exerzitien-katalog'!$I:$I,COLUMN(W3)+1)</f>
        <v>Fastenzeit 2015 mit Teresa von Avila</v>
      </c>
      <c r="X3" t="str">
        <f t="array" ref="X3">INDEX('exerzitien-katalog'!$I:$I,COLUMN(X3)+1)</f>
        <v>Licht in der Finsternis werden mit dem Karmeliten P. Jacques von Jesus OCD (1900-1945)</v>
      </c>
      <c r="Y3" t="str">
        <f t="array" ref="Y3">INDEX('exerzitien-katalog'!$I:$I,COLUMN(Y3)+1)</f>
        <v>Fastenzeit 2014</v>
      </c>
      <c r="Z3" t="str">
        <f t="array" ref="Z3">INDEX('exerzitien-katalog'!$I:$I,COLUMN(Z3)+1)</f>
        <v>Advent 2013: Vorbereitung auf Weihnachten mit Edith Stein</v>
      </c>
      <c r="AA3" t="str">
        <f t="array" ref="AA3">INDEX('exerzitien-katalog'!$I:$I,COLUMN(AA3)+1)</f>
        <v>Fastenzeit 2013 mit der Hl. Edith Stein</v>
      </c>
      <c r="AB3">
        <f t="array" ref="AB3">INDEX('exerzitien-katalog'!$I:$I,COLUMN(AB3)+1)</f>
        <v>0</v>
      </c>
      <c r="AC3" t="str">
        <f t="array" ref="AC3">INDEX('exerzitien-katalog'!$I:$I,COLUMN(AC3)+1)</f>
        <v>Fastenzeit 2012 mit der Hl. Edith Stein</v>
      </c>
      <c r="AD3">
        <f t="array" ref="AD3">INDEX('exerzitien-katalog'!$I:$I,COLUMN(AD3)+1)</f>
        <v>0</v>
      </c>
      <c r="AE3">
        <f t="array" ref="AE3">INDEX('exerzitien-katalog'!$I:$I,COLUMN(AE3)+1)</f>
        <v>0</v>
      </c>
    </row>
    <row r="4" spans="2:31" x14ac:dyDescent="0.25">
      <c r="B4" t="str">
        <f>'exerzitien-katalog'!J2</f>
        <v>Christus in der Tiefe des Herzens begegnen</v>
      </c>
      <c r="C4" t="str">
        <f t="array" ref="C4">INDEX('exerzitien-katalog'!$J:$J,COLUMN(C4)+1)</f>
        <v>„Aus Liebe sterben, das ist meine Hoffnung“</v>
      </c>
      <c r="D4" t="str">
        <f t="array" ref="D4">INDEX('exerzitien-katalog'!$J:$J,COLUMN(D4)+1)</f>
        <v>„Kind sein vor Gott“</v>
      </c>
      <c r="E4" s="1" t="str">
        <f t="array" ref="E4">INDEX('exerzitien-katalog'!$J:$J,COLUMN(E4)+1)</f>
        <v>Durch das Kreuz zum Licht</v>
      </c>
      <c r="F4" s="2" t="str">
        <f t="array" ref="F4">INDEX('exerzitien-katalog'!$J:$J,COLUMN(F4)+1)</f>
        <v>Leben in der Göttlichen Freude</v>
      </c>
      <c r="G4" t="str">
        <f t="array" ref="G4">INDEX('exerzitien-katalog'!$J:$J,COLUMN(G4)+1)</f>
        <v>Das Gebet - ein Weg, unsere Berufung als Kind Gottes zu leben</v>
      </c>
      <c r="H4" t="str">
        <f t="array" ref="H4">INDEX('exerzitien-katalog'!$J:$J,COLUMN(H4)+1)</f>
        <v>Die Gegenwart Gottes in unserem Leben erfahren</v>
      </c>
      <c r="I4" t="str">
        <f t="array" ref="I4">INDEX('exerzitien-katalog'!$J:$J,COLUMN(I4)+1)</f>
        <v>Die Barmherzigkeit Gottes leben</v>
      </c>
      <c r="J4" t="str">
        <f t="array" ref="J4">INDEX('exerzitien-katalog'!$J:$J,COLUMN(J4)+1)</f>
        <v>"Die Kindschaft der Seele" Unser Morgenrot Wecken</v>
      </c>
      <c r="K4" t="str">
        <f t="array" ref="K4">INDEX('exerzitien-katalog'!$J:$J,COLUMN(K4)+1)</f>
        <v>Tretet ein in die Burg Eurer Seele...</v>
      </c>
      <c r="L4" t="str">
        <f t="array" ref="L4">INDEX('exerzitien-katalog'!$J:$J,COLUMN(L4)+1)</f>
        <v>Glauben an das Unmögliche</v>
      </c>
      <c r="M4" t="str">
        <f t="array" ref="M4">INDEX('exerzitien-katalog'!$J:$J,COLUMN(M4)+1)</f>
        <v>die Liebe wagen...</v>
      </c>
      <c r="N4" t="str">
        <f t="array" ref="N4">INDEX('exerzitien-katalog'!$J:$J,COLUMN(N4)+1)</f>
        <v>Am Gnadenleben Mariens teilhaben</v>
      </c>
      <c r="O4" t="str">
        <f t="array" ref="O4">INDEX('exerzitien-katalog'!$J:$J,COLUMN(O4)+1)</f>
        <v>Der Auferstehung entgegen mit Edith Stein Hl. Teresa-Benedicta vom Kreuz</v>
      </c>
      <c r="P4" t="str">
        <f t="array" ref="P4">INDEX('exerzitien-katalog'!$J:$J,COLUMN(P4)+1)</f>
        <v>Den Weg des Herrn vorbereiten</v>
      </c>
      <c r="Q4" t="str">
        <f t="array" ref="Q4">INDEX('exerzitien-katalog'!$J:$J,COLUMN(Q4)+1)</f>
        <v>Sich von Gott formen lassen</v>
      </c>
      <c r="R4" t="str">
        <f t="array" ref="R4">INDEX('exerzitien-katalog'!$J:$J,COLUMN(R4)+1)</f>
        <v>Ite ad Joseph</v>
      </c>
      <c r="S4" t="str">
        <f t="array" ref="S4">INDEX('exerzitien-katalog'!$J:$J,COLUMN(S4)+1)</f>
        <v>Sich auf Ostern vorbereiten mit Elisabeth von der Dreifaltigkeit</v>
      </c>
      <c r="T4">
        <f t="array" ref="T4">INDEX('exerzitien-katalog'!$J:$J,COLUMN(T4)+1)</f>
        <v>0</v>
      </c>
      <c r="U4" t="str">
        <f t="array" ref="U4">INDEX('exerzitien-katalog'!$J:$J,COLUMN(U4)+1)</f>
        <v>Vor dem Angesicht Gottes stehen</v>
      </c>
      <c r="V4" s="1" t="str">
        <f t="array" ref="V4">INDEX('exerzitien-katalog'!$J:$J,COLUMN(V4)+1)</f>
        <v>Mit Louis und Zélie Martin – Eltern der hl. Thérèse von Lisieux</v>
      </c>
      <c r="W4" s="2" t="str">
        <f t="array" ref="W4">INDEX('exerzitien-katalog'!$J:$J,COLUMN(W4)+1)</f>
        <v>Auf dem Weg der Umkehr mit der hl. Teresa von Avila</v>
      </c>
      <c r="X4" t="str">
        <f t="array" ref="X4">INDEX('exerzitien-katalog'!$J:$J,COLUMN(X4)+1)</f>
        <v>Ich will Gott ausstrahlen...</v>
      </c>
      <c r="Y4" t="str">
        <f t="array" ref="Y4">INDEX('exerzitien-katalog'!$J:$J,COLUMN(Y4)+1)</f>
        <v>Der Auferstehung entgegen mit Edith Stein Hl. Teresa-Benedicta vom Kreuz</v>
      </c>
      <c r="Z4" t="str">
        <f t="array" ref="Z4">INDEX('exerzitien-katalog'!$J:$J,COLUMN(Z4)+1)</f>
        <v>Gott ward ein Menschenkind, damit die Menschen Gotteskinder werden. (Hl. Edith Stein)</v>
      </c>
      <c r="AA4" t="str">
        <f t="array" ref="AA4">INDEX('exerzitien-katalog'!$J:$J,COLUMN(AA4)+1)</f>
        <v>Der Auferstehung entgegen mit Edith Stein Hl. Teresa-Benedicta vom Kreuz</v>
      </c>
      <c r="AB4">
        <f t="array" ref="AB4">INDEX('exerzitien-katalog'!$J:$J,COLUMN(AB4)+1)</f>
        <v>0</v>
      </c>
      <c r="AC4" t="str">
        <f t="array" ref="AC4">INDEX('exerzitien-katalog'!$J:$J,COLUMN(AC4)+1)</f>
        <v>Mit der heiligen Teresa-Benedicta vom Kreuz (Edith Stein)</v>
      </c>
      <c r="AD4">
        <f t="array" ref="AD4">INDEX('exerzitien-katalog'!$J:$J,COLUMN(AD4)+1)</f>
        <v>0</v>
      </c>
      <c r="AE4">
        <f t="array" ref="AE4">INDEX('exerzitien-katalog'!$J:$J,COLUMN(AE4)+1)</f>
        <v>0</v>
      </c>
    </row>
    <row r="5" spans="2:31" x14ac:dyDescent="0.25">
      <c r="B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C5" t="str">
        <f t="array" ref="C5">INDEX('exerzitien-katalog'!$K:$K,COLUMN(C5)+1)</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t="str">
        <f t="array" ref="D5">INDEX('exerzitien-katalog'!$K:$K,COLUMN(D5)+1)</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s="1" t="str">
        <f t="array" ref="E5">INDEX('exerzitien-katalog'!$K:$K,COLUMN(E5)+1)</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s="2" t="str">
        <f t="array" ref="F5">INDEX('exerzitien-katalog'!$K:$K,COLUMN(F5)+1)</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 t="array" ref="G5">INDEX('exerzitien-katalog'!$K:$K,COLUMN(G5)+1)</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 t="array" ref="H5">INDEX('exerzitien-katalog'!$K:$K,COLUMN(H5)+1)</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f t="array" ref="I5">INDEX('exerzitien-katalog'!$K:$K,COLUMN(I5)+1)</f>
        <v>0</v>
      </c>
      <c r="J5" t="str">
        <f t="array" ref="J5">INDEX('exerzitien-katalog'!$K:$K,COLUMN(J5)+1)</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5" t="str">
        <f t="array" ref="K5">INDEX('exerzitien-katalog'!$K:$K,COLUMN(K5)+1)</f>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5" t="str">
        <f t="array" ref="L5">INDEX('exerzitien-katalog'!$K:$K,COLUMN(L5)+1)</f>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5" t="str">
        <f t="array" ref="M5">INDEX('exerzitien-katalog'!$K:$K,COLUMN(M5)+1)</f>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5" t="str">
        <f t="array" ref="N5">INDEX('exerzitien-katalog'!$K:$K,COLUMN(N5)+1)</f>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5" t="str">
        <f t="array" ref="O5">INDEX('exerzitien-katalog'!$K:$K,COLUMN(O5)+1)</f>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5" t="str">
        <f t="array" ref="P5">INDEX('exerzitien-katalog'!$K:$K,COLUMN(P5)+1)</f>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5" t="str">
        <f t="array" ref="Q5">INDEX('exerzitien-katalog'!$K:$K,COLUMN(Q5)+1)</f>
        <v>«Ich wende mein kleines Omelett in der Pfanne aus Liebe zu Gott» Bruder Lorenz von der Auferstehung der „mystische Koch”</v>
      </c>
      <c r="R5" t="str">
        <f t="array" ref="R5">INDEX('exerzitien-katalog'!$K:$K,COLUMN(R5)+1)</f>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5">
        <f t="array" ref="S5">INDEX('exerzitien-katalog'!$K:$K,COLUMN(S5)+1)</f>
        <v>0</v>
      </c>
      <c r="T5">
        <f t="array" ref="T5">INDEX('exerzitien-katalog'!$K:$K,COLUMN(T5)+1)</f>
        <v>0</v>
      </c>
      <c r="U5" t="str">
        <f t="array" ref="U5">INDEX('exerzitien-katalog'!$K:$K,COLUMN(U5)+1)</f>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5" s="1" t="str">
        <f t="array" ref="V5">INDEX('exerzitien-katalog'!$K:$K,COLUMN(V5)+1)</f>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5" s="2" t="str">
        <f t="array" ref="W5">INDEX('exerzitien-katalog'!$K:$K,COLUMN(W5)+1)</f>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5" t="str">
        <f t="array" ref="X5">INDEX('exerzitien-katalog'!$K:$K,COLUMN(X5)+1)</f>
        <v>Der französische Karmelit P. Jacques wurde in Mauthausen-Gusen interniert, weil er 1943 jüdische Kinder in einer Schule der Karmeliten versteckt hatte. Er starb am 2. Juni 1945 im Spital der Elisabethinen in Linz.</v>
      </c>
      <c r="Y5" t="str">
        <f t="array" ref="Y5">INDEX('exerzitien-katalog'!$K:$K,COLUMN(Y5)+1)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5" t="str">
        <f t="array" ref="Z5">INDEX('exerzitien-katalog'!$K:$K,COLUMN(Z5)+1)</f>
        <v>Die Karmeliten in Wien geben für jede Woche im Advent einen Impuls zur Besinnung und täglich kurze Anregungen zum Gebet. Unsere Begleiterin ist die hl. Sr. Teresia Benedicta vom Kreuz (Edith Stein) mit ihren Texten über das Weihnachtsgeheimnis.</v>
      </c>
      <c r="AA5" t="str">
        <f t="array" ref="AA5">INDEX('exerzitien-katalog'!$K:$K,COLUMN(AA5)+1)</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5">
        <f t="array" ref="AB5">INDEX('exerzitien-katalog'!$K:$K,COLUMN(AB5)+1)</f>
        <v>0</v>
      </c>
      <c r="AC5" t="str">
        <f t="array" ref="AC5">INDEX('exerzitien-katalog'!$K:$K,COLUMN(AC5)+1)</f>
        <v>Jeden Tag in der Fastenzeit finden Sie auf der Homepage www.edithstein.karmel.at einen Impuls zur Besinnung mit Texten der hl. Edith Stein. Im Rahmen des Edith-Stein-Gedenkjahres 2011/2012 von den Marienschwestern vom Karmel erstellt.</v>
      </c>
      <c r="AD5">
        <f t="array" ref="AD5">INDEX('exerzitien-katalog'!$K:$K,COLUMN(AD5)+1)</f>
        <v>0</v>
      </c>
      <c r="AE5">
        <f t="array" ref="AE5">INDEX('exerzitien-katalog'!$K:$K,COLUMN(AE5)+1)</f>
        <v>0</v>
      </c>
    </row>
    <row r="6" spans="2:31" x14ac:dyDescent="0.25">
      <c r="B6" t="str">
        <f>'exerzitien-katalog'!L2</f>
        <v>img/FS26_header_DE.png</v>
      </c>
      <c r="C6" t="str">
        <f t="array" ref="C6">INDEX('exerzitien-katalog'!$L:$L,COLUMN(C6)+1)</f>
        <v>img/FS25_header_DE.png</v>
      </c>
      <c r="D6" t="str">
        <f t="array" ref="D6">INDEX('exerzitien-katalog'!$L:$L,COLUMN(D6)+1)</f>
        <v>img/AD24_header_DE.png</v>
      </c>
      <c r="E6" s="1" t="str">
        <f t="array" ref="E6">INDEX('exerzitien-katalog'!$L:$L,COLUMN(E6)+1)</f>
        <v>img/FS24_header_DE.png</v>
      </c>
      <c r="F6" s="2" t="str">
        <f t="array" ref="F6">INDEX('exerzitien-katalog'!$L:$L,COLUMN(F6)+1)</f>
        <v>img/AD23_header_DE.png</v>
      </c>
      <c r="G6" t="str">
        <f t="array" ref="G6">INDEX('exerzitien-katalog'!$L:$L,COLUMN(G6)+1)</f>
        <v>img/FS23_header_DE.png</v>
      </c>
      <c r="H6" t="str">
        <f t="array" ref="H6">INDEX('exerzitien-katalog'!$L:$L,COLUMN(H6)+1)</f>
        <v>img/AD22_header_DE.png</v>
      </c>
      <c r="I6" t="str">
        <f t="array" ref="I6">INDEX('exerzitien-katalog'!$L:$L,COLUMN(I6)+1)</f>
        <v>img/FS22_header_DE.png</v>
      </c>
      <c r="J6" t="str">
        <f t="array" ref="J6">INDEX('exerzitien-katalog'!$L:$L,COLUMN(J6)+1)</f>
        <v>img/AD21_header_DE.png</v>
      </c>
      <c r="K6" t="str">
        <f t="array" ref="K6">INDEX('exerzitien-katalog'!$L:$L,COLUMN(K6)+1)</f>
        <v>img/FS21_header_DE.png</v>
      </c>
      <c r="L6" t="str">
        <f t="array" ref="L6">INDEX('exerzitien-katalog'!$L:$L,COLUMN(L6)+1)</f>
        <v>img/AD20_header_DE.png</v>
      </c>
      <c r="M6" t="str">
        <f t="array" ref="M6">INDEX('exerzitien-katalog'!$L:$L,COLUMN(M6)+1)</f>
        <v>img/FS20_header_DE.png</v>
      </c>
      <c r="N6" t="str">
        <f t="array" ref="N6">INDEX('exerzitien-katalog'!$L:$L,COLUMN(N6)+1)</f>
        <v>img/AD19_header_DE.png</v>
      </c>
      <c r="O6" t="str">
        <f t="array" ref="O6">INDEX('exerzitien-katalog'!$L:$L,COLUMN(O6)+1)</f>
        <v>img/FS19_header_DE.png</v>
      </c>
      <c r="P6" t="str">
        <f t="array" ref="P6">INDEX('exerzitien-katalog'!$L:$L,COLUMN(P6)+1)</f>
        <v>img/AD18_header_DE.png</v>
      </c>
      <c r="Q6" t="str">
        <f t="array" ref="Q6">INDEX('exerzitien-katalog'!$L:$L,COLUMN(Q6)+1)</f>
        <v>img/FS18_header_DE.png</v>
      </c>
      <c r="R6" t="str">
        <f t="array" ref="R6">INDEX('exerzitien-katalog'!$L:$L,COLUMN(R6)+1)</f>
        <v>img/AD17_header_DE.png</v>
      </c>
      <c r="S6" t="str">
        <f t="array" ref="S6">INDEX('exerzitien-katalog'!$L:$L,COLUMN(S6)+1)</f>
        <v>img/FS17_header_DE.png</v>
      </c>
      <c r="T6" t="str">
        <f t="array" ref="T6">INDEX('exerzitien-katalog'!$L:$L,COLUMN(T6)+1)</f>
        <v>img/AD16_header_DE.png</v>
      </c>
      <c r="U6" t="str">
        <f t="array" ref="U6">INDEX('exerzitien-katalog'!$L:$L,COLUMN(U6)+1)</f>
        <v>img/FS16_header_DE.png</v>
      </c>
      <c r="V6" s="1" t="str">
        <f t="array" ref="V6">INDEX('exerzitien-katalog'!$L:$L,COLUMN(V6)+1)</f>
        <v>img/AD15_header_DE.png</v>
      </c>
      <c r="W6" s="2" t="str">
        <f t="array" ref="W6">INDEX('exerzitien-katalog'!$L:$L,COLUMN(W6)+1)</f>
        <v>img/FS15_header_DE.png</v>
      </c>
      <c r="X6" t="str">
        <f t="array" ref="X6">INDEX('exerzitien-katalog'!$L:$L,COLUMN(X6)+1)</f>
        <v>img/AD14_header_DE.png</v>
      </c>
      <c r="Y6" t="str">
        <f t="array" ref="Y6">INDEX('exerzitien-katalog'!$L:$L,COLUMN(Y6)+1)</f>
        <v>img/FS14_header_DE.png</v>
      </c>
      <c r="Z6" t="str">
        <f t="array" ref="Z6">INDEX('exerzitien-katalog'!$L:$L,COLUMN(Z6)+1)</f>
        <v>img/AD13_header_DE.png</v>
      </c>
      <c r="AA6" t="str">
        <f t="array" ref="AA6">INDEX('exerzitien-katalog'!$L:$L,COLUMN(AA6)+1)</f>
        <v>img/FS13_header_DE.png</v>
      </c>
      <c r="AB6" t="str">
        <f t="array" ref="AB6">INDEX('exerzitien-katalog'!$L:$L,COLUMN(AB6)+1)</f>
        <v>img/AD12_header_DE.png</v>
      </c>
      <c r="AC6">
        <f t="array" ref="AC6">INDEX('exerzitien-katalog'!$L:$L,COLUMN(AC6)+1)</f>
        <v>0</v>
      </c>
      <c r="AD6">
        <f t="array" ref="AD6">INDEX('exerzitien-katalog'!$L:$L,COLUMN(AD6)+1)</f>
        <v>0</v>
      </c>
      <c r="AE6">
        <f t="array" ref="AE6">INDEX('exerzitien-katalog'!$L:$L,COLUMN(AE6)+1)</f>
        <v>0</v>
      </c>
    </row>
    <row r="7" spans="2:31" x14ac:dyDescent="0.25">
      <c r="C7" t="str">
        <f t="array" ref="C7">INDEX('exerzitien-katalog'!$A:$A,COLUMN(C7)+1)</f>
        <v>lent-2025-therese-von-lisieux</v>
      </c>
      <c r="D7" t="str">
        <f t="array" ref="D7">INDEX('exerzitien-katalog'!$A:$A,COLUMN(D7)+1)</f>
        <v>advent-2024-therese-von-lisieux</v>
      </c>
      <c r="E7" s="1" t="str">
        <f t="array" ref="E7">INDEX('exerzitien-katalog'!$A:$A,COLUMN(E7)+1)</f>
        <v>lent-2024-pater-jacques-de-jesus</v>
      </c>
      <c r="F7" s="2" t="str">
        <f t="array" ref="F7">INDEX('exerzitien-katalog'!$A:$A,COLUMN(F7)+1)</f>
        <v>advent-2023-therese-des-andes</v>
      </c>
      <c r="G7" t="str">
        <f t="array" ref="G7">INDEX('exerzitien-katalog'!$A:$A,COLUMN(G7)+1)</f>
        <v>lent-2023-oraison-weg-der-kindlichen-berufung</v>
      </c>
      <c r="H7" t="str">
        <f t="array" ref="H7">INDEX('exerzitien-katalog'!$A:$A,COLUMN(H7)+1)</f>
        <v>advent-2022-gott-in-unserem-leben</v>
      </c>
      <c r="I7" t="str">
        <f t="array" ref="I7">INDEX('exerzitien-katalog'!$A:$A,COLUMN(I7)+1)</f>
        <v>lent-2022-barmherzigkeit-gottes-mit-den-heiligen-des-karmels</v>
      </c>
      <c r="J7" t="str">
        <f t="array" ref="J7">INDEX('exerzitien-katalog'!$A:$A,COLUMN(J7)+1)</f>
        <v>advent-2021-kindheit-der-seele</v>
      </c>
      <c r="K7" t="str">
        <f t="array" ref="K7">INDEX('exerzitien-katalog'!$A:$A,COLUMN(K7)+1)</f>
        <v>lent-2021-therese-von-avila</v>
      </c>
      <c r="L7" t="str">
        <f t="array" ref="L7">INDEX('exerzitien-katalog'!$A:$A,COLUMN(L7)+1)</f>
        <v>advent-2020-madame-acarie</v>
      </c>
      <c r="M7" t="str">
        <f t="array" ref="M7">INDEX('exerzitien-katalog'!$A:$A,COLUMN(M7)+1)</f>
        <v>lent-2020-heureuse-aventure</v>
      </c>
      <c r="N7" t="str">
        <f t="array" ref="N7">INDEX('exerzitien-katalog'!$A:$A,COLUMN(N7)+1)</f>
        <v>advent-2019-communier-a-la-vie-de-grace-de-marie</v>
      </c>
      <c r="O7" t="str">
        <f t="array" ref="O7">INDEX('exerzitien-katalog'!$A:$A,COLUMN(O7)+1)</f>
        <v>lent-2019-edith-stein</v>
      </c>
      <c r="P7" t="str">
        <f t="array" ref="P7">INDEX('exerzitien-katalog'!$A:$A,COLUMN(P7)+1)</f>
        <v>advent-2018-mont-carmel</v>
      </c>
      <c r="Q7" t="str">
        <f t="array" ref="Q7">INDEX('exerzitien-katalog'!$A:$A,COLUMN(Q7)+1)</f>
        <v>lent-2018-laurent-de-la-resurrection</v>
      </c>
      <c r="R7" t="str">
        <f t="array" ref="R7">INDEX('exerzitien-katalog'!$A:$A,COLUMN(R7)+1)</f>
        <v>advent-2017-josef-das-wort</v>
      </c>
      <c r="S7" t="str">
        <f t="array" ref="S7">INDEX('exerzitien-katalog'!$A:$A,COLUMN(S7)+1)</f>
        <v>lent-2017-elisabeth-der-dreifaltigkeit</v>
      </c>
      <c r="T7" t="str">
        <f t="array" ref="T7">INDEX('exerzitien-katalog'!$A:$A,COLUMN(T7)+1)</f>
        <v>advent-2016-josef-das-wort</v>
      </c>
      <c r="U7" t="str">
        <f t="array" ref="U7">INDEX('exerzitien-katalog'!$A:$A,COLUMN(U7)+1)</f>
        <v>lent-2016-elija-lebensgott</v>
      </c>
      <c r="V7" s="1" t="str">
        <f t="array" ref="V7">INDEX('exerzitien-katalog'!$A:$A,COLUMN(V7)+1)</f>
        <v>advent-2015-louis-und-zelie-martin</v>
      </c>
      <c r="W7" s="2" t="str">
        <f t="array" ref="W7">INDEX('exerzitien-katalog'!$A:$A,COLUMN(W7)+1)</f>
        <v>lent-2015-therese-von-avila</v>
      </c>
      <c r="X7" t="str">
        <f t="array" ref="X7">INDEX('exerzitien-katalog'!$A:$A,COLUMN(X7)+1)</f>
        <v>advent-2014-jacques-de-jesus</v>
      </c>
      <c r="Y7" t="str">
        <f t="array" ref="Y7">INDEX('exerzitien-katalog'!$A:$A,COLUMN(Y7)+1)</f>
        <v>lent-2014-therese-von-lisieux</v>
      </c>
      <c r="Z7" t="str">
        <f t="array" ref="Z7">INDEX('exerzitien-katalog'!$A:$A,COLUMN(Z7)+1)</f>
        <v>advent-2013-elisabeth-von-der-dreifaltigkeit</v>
      </c>
      <c r="AA7" t="str">
        <f t="array" ref="AA7">INDEX('exerzitien-katalog'!$A:$A,COLUMN(AA7)+1)</f>
        <v>lent-2013-therese-von-avila-und-paulus</v>
      </c>
      <c r="AB7" t="str">
        <f t="array" ref="AB7">INDEX('exerzitien-katalog'!$A:$A,COLUMN(AB7)+1)</f>
        <v>advent-2012-johannes-vom-kreuz</v>
      </c>
      <c r="AC7" t="str">
        <f t="array" ref="AC7">INDEX('exerzitien-katalog'!$A:$A,COLUMN(AC7)+1)</f>
        <v>lent-2012-therese-benedikta-vom-kreuz</v>
      </c>
      <c r="AD7">
        <f t="array" ref="AD7">INDEX('exerzitien-katalog'!$A:$A,COLUMN(AD7)+1)</f>
        <v>0</v>
      </c>
      <c r="AE7">
        <f t="array" ref="AE7">INDEX('exerzitien-katalog'!$A:$A,COLUMN(AE7)+1)</f>
        <v>0</v>
      </c>
    </row>
    <row r="8" spans="2:31" x14ac:dyDescent="0.25">
      <c r="C8" t="str">
        <f t="array" ref="C8">INDEX('exerzitien-katalog'!$F:$F,COLUMN(C8)+1)</f>
        <v>2025-03-05</v>
      </c>
      <c r="D8" t="str">
        <f t="array" ref="D8">INDEX('exerzitien-katalog'!$F:$F,COLUMN(D8)+1)</f>
        <v>2024-11-27</v>
      </c>
      <c r="E8" s="1" t="str">
        <f t="array" ref="E8">INDEX('exerzitien-katalog'!$F:$F,COLUMN(E8)+1)</f>
        <v>2024-02-14</v>
      </c>
      <c r="F8" s="2" t="str">
        <f t="array" ref="F8">INDEX('exerzitien-katalog'!$F:$F,COLUMN(F8)+1)</f>
        <v>2023-11-29</v>
      </c>
      <c r="G8" t="str">
        <f t="array" ref="G8">INDEX('exerzitien-katalog'!$F:$F,COLUMN(G8)+1)</f>
        <v>2023-02-22</v>
      </c>
      <c r="H8" t="str">
        <f t="array" ref="H8">INDEX('exerzitien-katalog'!$F:$F,COLUMN(H8)+1)</f>
        <v>2022-11-23</v>
      </c>
      <c r="I8" t="str">
        <f t="array" ref="I8">INDEX('exerzitien-katalog'!$F:$F,COLUMN(I8)+1)</f>
        <v>2022-03-02</v>
      </c>
      <c r="J8" t="str">
        <f t="array" ref="J8">INDEX('exerzitien-katalog'!$F:$F,COLUMN(J8)+1)</f>
        <v>2021-11-26</v>
      </c>
      <c r="K8">
        <f t="array" ref="K8">INDEX('exerzitien-katalog'!$F:$F,COLUMN(K8)+1)</f>
        <v>0</v>
      </c>
      <c r="L8">
        <f t="array" ref="L8">INDEX('exerzitien-katalog'!$F:$F,COLUMN(L8)+1)</f>
        <v>0</v>
      </c>
      <c r="M8">
        <f t="array" ref="M8">INDEX('exerzitien-katalog'!$F:$F,COLUMN(M8)+1)</f>
        <v>0</v>
      </c>
      <c r="N8">
        <f t="array" ref="N8">INDEX('exerzitien-katalog'!$F:$F,COLUMN(N8)+1)</f>
        <v>0</v>
      </c>
      <c r="O8">
        <f t="array" ref="O8">INDEX('exerzitien-katalog'!$F:$F,COLUMN(O8)+1)</f>
        <v>0</v>
      </c>
      <c r="P8">
        <f t="array" ref="P8">INDEX('exerzitien-katalog'!$F:$F,COLUMN(P8)+1)</f>
        <v>0</v>
      </c>
      <c r="Q8">
        <f t="array" ref="Q8">INDEX('exerzitien-katalog'!$F:$F,COLUMN(Q8)+1)</f>
        <v>0</v>
      </c>
      <c r="R8">
        <f t="array" ref="R8">INDEX('exerzitien-katalog'!$F:$F,COLUMN(R8)+1)</f>
        <v>0</v>
      </c>
      <c r="S8">
        <f t="array" ref="S8">INDEX('exerzitien-katalog'!$F:$F,COLUMN(S8)+1)</f>
        <v>0</v>
      </c>
      <c r="T8">
        <f t="array" ref="T8">INDEX('exerzitien-katalog'!$F:$F,COLUMN(T8)+1)</f>
        <v>0</v>
      </c>
      <c r="U8">
        <f t="array" ref="U8">INDEX('exerzitien-katalog'!$F:$F,COLUMN(U8)+1)</f>
        <v>0</v>
      </c>
      <c r="V8" s="1">
        <f t="array" ref="V8">INDEX('exerzitien-katalog'!$F:$F,COLUMN(V8)+1)</f>
        <v>0</v>
      </c>
      <c r="W8" s="2">
        <f t="array" ref="W8">INDEX('exerzitien-katalog'!$F:$F,COLUMN(W8)+1)</f>
        <v>0</v>
      </c>
      <c r="X8">
        <f t="array" ref="X8">INDEX('exerzitien-katalog'!$F:$F,COLUMN(X8)+1)</f>
        <v>0</v>
      </c>
      <c r="Y8">
        <f t="array" ref="Y8">INDEX('exerzitien-katalog'!$F:$F,COLUMN(Y8)+1)</f>
        <v>0</v>
      </c>
      <c r="Z8" t="str">
        <f t="array" ref="Z8">INDEX('exerzitien-katalog'!$F:$F,COLUMN(Z8)+1)</f>
        <v>2013-11-29</v>
      </c>
      <c r="AA8">
        <f t="array" ref="AA8">INDEX('exerzitien-katalog'!$F:$F,COLUMN(AA8)+1)</f>
        <v>0</v>
      </c>
      <c r="AB8">
        <f t="array" ref="AB8">INDEX('exerzitien-katalog'!$F:$F,COLUMN(AB8)+1)</f>
        <v>0</v>
      </c>
      <c r="AC8">
        <f t="array" ref="AC8">INDEX('exerzitien-katalog'!$F:$F,COLUMN(AC8)+1)</f>
        <v>0</v>
      </c>
      <c r="AD8">
        <f t="array" ref="AD8">INDEX('exerzitien-katalog'!$F:$F,COLUMN(AD8)+1)</f>
        <v>0</v>
      </c>
      <c r="AE8">
        <f t="array" ref="AE8">INDEX('exerzitien-katalog'!$F:$F,COLUMN(AE8)+1)</f>
        <v>0</v>
      </c>
    </row>
    <row r="9" spans="2:31" x14ac:dyDescent="0.25">
      <c r="C9" t="str">
        <f t="array" ref="C9">INDEX('exerzitien-katalog'!$G:$G,COLUMN(C9)+1)</f>
        <v>2025-04-27</v>
      </c>
      <c r="D9" t="str">
        <f t="array" ref="D9">INDEX('exerzitien-katalog'!$G:$G,COLUMN(D9)+1)</f>
        <v>2025-01-05</v>
      </c>
      <c r="E9" s="1" t="str">
        <f t="array" ref="E9">INDEX('exerzitien-katalog'!$G:$G,COLUMN(E9)+1)</f>
        <v>2024-04-07</v>
      </c>
      <c r="F9" s="2" t="str">
        <f t="array" ref="F9">INDEX('exerzitien-katalog'!$G:$G,COLUMN(F9)+1)</f>
        <v>2023-12-25</v>
      </c>
      <c r="G9" t="str">
        <f t="array" ref="G9">INDEX('exerzitien-katalog'!$G:$G,COLUMN(G9)+1)</f>
        <v>2023-04-16</v>
      </c>
      <c r="H9" t="str">
        <f t="array" ref="H9">INDEX('exerzitien-katalog'!$G:$G,COLUMN(H9)+1)</f>
        <v>2023-01-01</v>
      </c>
      <c r="I9" t="str">
        <f t="array" ref="I9">INDEX('exerzitien-katalog'!$G:$G,COLUMN(I9)+1)</f>
        <v>2022-04-24</v>
      </c>
      <c r="J9" t="str">
        <f t="array" ref="J9">INDEX('exerzitien-katalog'!$G:$G,COLUMN(J9)+1)</f>
        <v>2022-01-02</v>
      </c>
      <c r="K9">
        <f t="array" ref="K9">INDEX('exerzitien-katalog'!$G:$G,COLUMN(K9)+1)</f>
        <v>0</v>
      </c>
      <c r="L9">
        <f t="array" ref="L9">INDEX('exerzitien-katalog'!$G:$G,COLUMN(L9)+1)</f>
        <v>0</v>
      </c>
      <c r="M9">
        <f t="array" ref="M9">INDEX('exerzitien-katalog'!$G:$G,COLUMN(M9)+1)</f>
        <v>0</v>
      </c>
      <c r="N9">
        <f t="array" ref="N9">INDEX('exerzitien-katalog'!$G:$G,COLUMN(N9)+1)</f>
        <v>0</v>
      </c>
      <c r="O9">
        <f t="array" ref="O9">INDEX('exerzitien-katalog'!$G:$G,COLUMN(O9)+1)</f>
        <v>0</v>
      </c>
      <c r="P9">
        <f t="array" ref="P9">INDEX('exerzitien-katalog'!$G:$G,COLUMN(P9)+1)</f>
        <v>0</v>
      </c>
      <c r="Q9">
        <f t="array" ref="Q9">INDEX('exerzitien-katalog'!$G:$G,COLUMN(Q9)+1)</f>
        <v>0</v>
      </c>
      <c r="R9">
        <f t="array" ref="R9">INDEX('exerzitien-katalog'!$G:$G,COLUMN(R9)+1)</f>
        <v>0</v>
      </c>
      <c r="S9">
        <f t="array" ref="S9">INDEX('exerzitien-katalog'!$G:$G,COLUMN(S9)+1)</f>
        <v>0</v>
      </c>
      <c r="T9">
        <f t="array" ref="T9">INDEX('exerzitien-katalog'!$G:$G,COLUMN(T9)+1)</f>
        <v>0</v>
      </c>
      <c r="U9">
        <f t="array" ref="U9">INDEX('exerzitien-katalog'!$G:$G,COLUMN(U9)+1)</f>
        <v>0</v>
      </c>
      <c r="V9" s="1">
        <f t="array" ref="V9">INDEX('exerzitien-katalog'!$G:$G,COLUMN(V9)+1)</f>
        <v>0</v>
      </c>
      <c r="W9" s="2">
        <f t="array" ref="W9">INDEX('exerzitien-katalog'!$G:$G,COLUMN(W9)+1)</f>
        <v>0</v>
      </c>
      <c r="X9">
        <f t="array" ref="X9">INDEX('exerzitien-katalog'!$G:$G,COLUMN(X9)+1)</f>
        <v>0</v>
      </c>
      <c r="Y9">
        <f t="array" ref="Y9">INDEX('exerzitien-katalog'!$G:$G,COLUMN(Y9)+1)</f>
        <v>0</v>
      </c>
      <c r="Z9" t="str">
        <f t="array" ref="Z9">INDEX('exerzitien-katalog'!$G:$G,COLUMN(Z9)+1)</f>
        <v>2013-12-25</v>
      </c>
      <c r="AA9">
        <f t="array" ref="AA9">INDEX('exerzitien-katalog'!$G:$G,COLUMN(AA9)+1)</f>
        <v>0</v>
      </c>
      <c r="AB9">
        <f t="array" ref="AB9">INDEX('exerzitien-katalog'!$G:$G,COLUMN(AB9)+1)</f>
        <v>0</v>
      </c>
      <c r="AC9">
        <f t="array" ref="AC9">INDEX('exerzitien-katalog'!$G:$G,COLUMN(AC9)+1)</f>
        <v>0</v>
      </c>
      <c r="AD9">
        <f t="array" ref="AD9">INDEX('exerzitien-katalog'!$G:$G,COLUMN(AD9)+1)</f>
        <v>0</v>
      </c>
      <c r="AE9">
        <f t="array" ref="AE9">INDEX('exerzitien-katalog'!$G:$G,COLUMN(AE9)+1)</f>
        <v>0</v>
      </c>
    </row>
    <row r="10" spans="2:31" x14ac:dyDescent="0.25">
      <c r="B10" s="3" t="s">
        <v>4</v>
      </c>
      <c r="C10" t="s">
        <v>5</v>
      </c>
      <c r="D10" t="s">
        <v>5</v>
      </c>
      <c r="E10" s="1" t="s">
        <v>5</v>
      </c>
      <c r="F10" s="2" t="s">
        <v>5</v>
      </c>
      <c r="G10" s="1" t="s">
        <v>5</v>
      </c>
      <c r="H10" s="1" t="s">
        <v>5</v>
      </c>
      <c r="I10" s="1" t="s">
        <v>5</v>
      </c>
      <c r="J10" s="1" t="s">
        <v>5</v>
      </c>
      <c r="K10" s="1" t="s">
        <v>5</v>
      </c>
      <c r="L10" s="1" t="s">
        <v>5</v>
      </c>
      <c r="M10" s="1" t="s">
        <v>5</v>
      </c>
      <c r="N10" s="1" t="s">
        <v>5</v>
      </c>
      <c r="O10" s="1" t="s">
        <v>5</v>
      </c>
      <c r="P10" s="1" t="s">
        <v>5</v>
      </c>
      <c r="Q10" s="1" t="s">
        <v>5</v>
      </c>
      <c r="R10" s="1" t="s">
        <v>5</v>
      </c>
      <c r="S10" t="s">
        <v>5</v>
      </c>
      <c r="T10" t="s">
        <v>5</v>
      </c>
      <c r="U10" t="s">
        <v>5</v>
      </c>
      <c r="V10" s="1" t="s">
        <v>5</v>
      </c>
      <c r="W10" s="2" t="s">
        <v>5</v>
      </c>
      <c r="X10" s="1" t="s">
        <v>5</v>
      </c>
      <c r="Y10" s="1" t="s">
        <v>5</v>
      </c>
      <c r="Z10" s="1" t="s">
        <v>5</v>
      </c>
      <c r="AA10" s="1" t="s">
        <v>5</v>
      </c>
      <c r="AB10" s="1" t="s">
        <v>5</v>
      </c>
      <c r="AC10" s="1" t="s">
        <v>5</v>
      </c>
      <c r="AD10" t="s">
        <v>5</v>
      </c>
      <c r="AE10" t="s">
        <v>5</v>
      </c>
    </row>
    <row r="11" spans="2:31" x14ac:dyDescent="0.25">
      <c r="B11" s="3" t="s">
        <v>6</v>
      </c>
      <c r="C11" t="s">
        <v>7</v>
      </c>
      <c r="D11" t="s">
        <v>7</v>
      </c>
      <c r="E11" s="1" t="s">
        <v>7</v>
      </c>
      <c r="F11" s="2" t="s">
        <v>7</v>
      </c>
      <c r="G11" s="1" t="s">
        <v>7</v>
      </c>
      <c r="H11" s="1" t="s">
        <v>7</v>
      </c>
      <c r="I11" s="1" t="s">
        <v>7</v>
      </c>
      <c r="J11" s="1" t="s">
        <v>7</v>
      </c>
      <c r="K11" s="1" t="s">
        <v>7</v>
      </c>
      <c r="L11" s="1" t="s">
        <v>7</v>
      </c>
      <c r="M11" s="1" t="s">
        <v>7</v>
      </c>
      <c r="N11" s="1" t="s">
        <v>7</v>
      </c>
      <c r="O11" s="1" t="s">
        <v>7</v>
      </c>
      <c r="P11" s="1" t="s">
        <v>7</v>
      </c>
      <c r="Q11" s="1" t="s">
        <v>7</v>
      </c>
      <c r="R11" s="1" t="s">
        <v>7</v>
      </c>
      <c r="S11" t="s">
        <v>7</v>
      </c>
      <c r="T11" t="s">
        <v>7</v>
      </c>
      <c r="U11" t="s">
        <v>7</v>
      </c>
      <c r="V11" s="1" t="s">
        <v>7</v>
      </c>
      <c r="W11" s="2" t="s">
        <v>7</v>
      </c>
      <c r="X11" s="1" t="s">
        <v>7</v>
      </c>
      <c r="Y11" s="1" t="s">
        <v>7</v>
      </c>
      <c r="Z11" s="1" t="s">
        <v>7</v>
      </c>
      <c r="AA11" s="1" t="s">
        <v>7</v>
      </c>
      <c r="AB11" s="1" t="s">
        <v>7</v>
      </c>
      <c r="AC11" s="1" t="s">
        <v>7</v>
      </c>
      <c r="AD11" t="s">
        <v>7</v>
      </c>
      <c r="AE11" t="s">
        <v>7</v>
      </c>
    </row>
    <row r="12" spans="2:31" x14ac:dyDescent="0.25">
      <c r="B12" s="4" t="s">
        <v>643</v>
      </c>
      <c r="C12" t="s">
        <v>643</v>
      </c>
      <c r="D12" t="s">
        <v>643</v>
      </c>
      <c r="E12" s="1" t="s">
        <v>643</v>
      </c>
      <c r="F12" s="2" t="s">
        <v>643</v>
      </c>
      <c r="G12" s="1" t="s">
        <v>643</v>
      </c>
      <c r="H12" s="1" t="s">
        <v>643</v>
      </c>
      <c r="I12" s="1" t="s">
        <v>643</v>
      </c>
      <c r="J12" s="1" t="s">
        <v>643</v>
      </c>
      <c r="K12" s="1" t="s">
        <v>643</v>
      </c>
      <c r="L12" s="1" t="s">
        <v>643</v>
      </c>
      <c r="M12" s="1" t="s">
        <v>643</v>
      </c>
      <c r="N12" s="1" t="s">
        <v>643</v>
      </c>
      <c r="O12" s="1" t="s">
        <v>643</v>
      </c>
      <c r="P12" s="1" t="s">
        <v>643</v>
      </c>
      <c r="Q12" s="1" t="s">
        <v>643</v>
      </c>
      <c r="R12" s="1" t="s">
        <v>643</v>
      </c>
      <c r="S12" t="s">
        <v>643</v>
      </c>
      <c r="T12" t="s">
        <v>643</v>
      </c>
      <c r="U12" t="s">
        <v>643</v>
      </c>
      <c r="V12" s="1" t="s">
        <v>643</v>
      </c>
      <c r="W12" s="2" t="s">
        <v>643</v>
      </c>
      <c r="X12" s="1" t="s">
        <v>643</v>
      </c>
      <c r="Y12" s="1" t="s">
        <v>643</v>
      </c>
      <c r="Z12" s="1" t="s">
        <v>643</v>
      </c>
      <c r="AA12" s="1" t="s">
        <v>643</v>
      </c>
      <c r="AB12" s="1" t="s">
        <v>643</v>
      </c>
      <c r="AC12" s="1" t="s">
        <v>643</v>
      </c>
      <c r="AD12" t="s">
        <v>643</v>
      </c>
      <c r="AE12" t="s">
        <v>643</v>
      </c>
    </row>
    <row r="13" spans="2:31" x14ac:dyDescent="0.25">
      <c r="B13" s="4" t="s">
        <v>644</v>
      </c>
      <c r="C13" t="s">
        <v>644</v>
      </c>
      <c r="D13" t="s">
        <v>644</v>
      </c>
      <c r="E13" s="1" t="s">
        <v>644</v>
      </c>
      <c r="F13" s="2" t="s">
        <v>644</v>
      </c>
      <c r="G13" s="1" t="s">
        <v>644</v>
      </c>
      <c r="H13" s="1" t="s">
        <v>644</v>
      </c>
      <c r="I13" s="1" t="s">
        <v>644</v>
      </c>
      <c r="J13" s="1" t="s">
        <v>644</v>
      </c>
      <c r="K13" s="1" t="s">
        <v>644</v>
      </c>
      <c r="L13" s="1" t="s">
        <v>644</v>
      </c>
      <c r="M13" s="1" t="s">
        <v>644</v>
      </c>
      <c r="N13" s="1" t="s">
        <v>644</v>
      </c>
      <c r="O13" s="1" t="s">
        <v>644</v>
      </c>
      <c r="P13" s="1" t="s">
        <v>644</v>
      </c>
      <c r="Q13" s="1" t="s">
        <v>644</v>
      </c>
      <c r="R13" s="1" t="s">
        <v>644</v>
      </c>
      <c r="S13" t="s">
        <v>644</v>
      </c>
      <c r="T13" t="s">
        <v>644</v>
      </c>
      <c r="U13" t="s">
        <v>644</v>
      </c>
      <c r="V13" s="1" t="s">
        <v>644</v>
      </c>
      <c r="W13" s="2" t="s">
        <v>644</v>
      </c>
      <c r="X13" s="1" t="s">
        <v>644</v>
      </c>
      <c r="Y13" s="1" t="s">
        <v>644</v>
      </c>
      <c r="Z13" s="1" t="s">
        <v>644</v>
      </c>
      <c r="AA13" s="1" t="s">
        <v>644</v>
      </c>
      <c r="AB13" s="1" t="s">
        <v>644</v>
      </c>
      <c r="AC13" s="1" t="s">
        <v>644</v>
      </c>
      <c r="AD13" t="s">
        <v>644</v>
      </c>
      <c r="AE13" t="s">
        <v>644</v>
      </c>
    </row>
    <row r="14" spans="2:31" x14ac:dyDescent="0.25">
      <c r="B14" s="4" t="s">
        <v>645</v>
      </c>
      <c r="C14" t="s">
        <v>645</v>
      </c>
      <c r="D14" t="s">
        <v>645</v>
      </c>
      <c r="E14" s="1" t="s">
        <v>645</v>
      </c>
      <c r="F14" s="2" t="s">
        <v>645</v>
      </c>
      <c r="G14" s="1" t="s">
        <v>645</v>
      </c>
      <c r="H14" s="1" t="s">
        <v>645</v>
      </c>
      <c r="I14" s="1" t="s">
        <v>645</v>
      </c>
      <c r="J14" s="1" t="s">
        <v>645</v>
      </c>
      <c r="K14" s="1" t="s">
        <v>645</v>
      </c>
      <c r="L14" s="1" t="s">
        <v>645</v>
      </c>
      <c r="M14" s="1" t="s">
        <v>645</v>
      </c>
      <c r="N14" s="1" t="s">
        <v>645</v>
      </c>
      <c r="O14" s="1" t="s">
        <v>645</v>
      </c>
      <c r="P14" s="1" t="s">
        <v>645</v>
      </c>
      <c r="Q14" s="1" t="s">
        <v>645</v>
      </c>
      <c r="R14" s="1" t="s">
        <v>645</v>
      </c>
      <c r="S14" t="s">
        <v>645</v>
      </c>
      <c r="T14" t="s">
        <v>645</v>
      </c>
      <c r="U14" t="s">
        <v>645</v>
      </c>
      <c r="V14" s="1" t="s">
        <v>645</v>
      </c>
      <c r="W14" s="2" t="s">
        <v>645</v>
      </c>
      <c r="X14" s="1" t="s">
        <v>645</v>
      </c>
      <c r="Y14" s="1" t="s">
        <v>645</v>
      </c>
      <c r="Z14" s="1" t="s">
        <v>645</v>
      </c>
      <c r="AA14" s="1" t="s">
        <v>645</v>
      </c>
      <c r="AB14" s="1" t="s">
        <v>645</v>
      </c>
      <c r="AC14" s="1" t="s">
        <v>645</v>
      </c>
      <c r="AD14" t="s">
        <v>645</v>
      </c>
      <c r="AE14" t="s">
        <v>645</v>
      </c>
    </row>
    <row r="15" spans="2:31" x14ac:dyDescent="0.25">
      <c r="B15" s="4" t="s">
        <v>646</v>
      </c>
      <c r="C15" t="str">
        <f>"&lt;title&gt;"&amp;C3&amp;"&lt;/title&gt;"</f>
        <v>&lt;title&gt;Fastenzeit 2025 mit Thérèse von Lisieux und das Östergeheimnis&lt;/title&gt;</v>
      </c>
      <c r="D15" t="str">
        <f>"&lt;title&gt;"&amp;D3&amp;"&lt;/title&gt;"</f>
        <v>&lt;title&gt;Advent 2024 mit der Hl. Thérèse vom Kind Jesu&lt;/title&gt;</v>
      </c>
      <c r="E15" s="1" t="str">
        <f>"&lt;title&gt;"&amp;E3&amp;"&lt;/title&gt;"</f>
        <v>&lt;title&gt;Fastenzeit 2024 mit Pater Jacuqes von Jesus (1900-1945)&lt;/title&gt;</v>
      </c>
      <c r="F15" s="2" t="str">
        <f>"&lt;title&gt;"&amp;F3&amp;"&lt;/title&gt;"</f>
        <v>&lt;title&gt;Advent 2023 mit der heiligen Teresa de Los Andes (1900-1920)&lt;/title&gt;</v>
      </c>
      <c r="G15" s="1" t="str">
        <f>"&lt;title&gt;"&amp;G3&amp;"&lt;/title&gt;"</f>
        <v>&lt;title&gt;Fastenzeit 2023: Das Gebet&lt;/title&gt;</v>
      </c>
      <c r="H15" s="1" t="str">
        <f>"&lt;title&gt;"&amp;H3&amp;"&lt;/title&gt;"</f>
        <v>&lt;title&gt;Advent 2022 in der Schule der Heiligen des Karmel&lt;/title&gt;</v>
      </c>
      <c r="I15" s="1" t="str">
        <f>"&lt;title&gt;"&amp;I3&amp;"&lt;/title&gt;"</f>
        <v>&lt;title&gt;Fastenzeit 2022: Gottes Barmherzigkeit leben mit den Heiligen des Karmel&lt;/title&gt;</v>
      </c>
      <c r="J15" s="1" t="str">
        <f>"&lt;title&gt;"&amp;J3&amp;"&lt;/title&gt;"</f>
        <v>&lt;title&gt;Advent 2021 mit der hl. Thérèse von Lisieux und Maria Montessori&lt;/title&gt;</v>
      </c>
      <c r="K15" s="1" t="str">
        <f>"&lt;title&gt;"&amp;K3&amp;"&lt;/title&gt;"</f>
        <v>&lt;title&gt;Fastenzeit 2021 mit der Heilige Teresa von Ávila&lt;/title&gt;</v>
      </c>
      <c r="L15" s="1" t="str">
        <f>"&lt;title&gt;"&amp;L3&amp;"&lt;/title&gt;"</f>
        <v>&lt;title&gt;Advent 2020 mit der "Schönen Acarie" (1566-1618)&lt;/title&gt;</v>
      </c>
      <c r="M15" s="1" t="str">
        <f>"&lt;title&gt;"&amp;M3&amp;"&lt;/title&gt;"</f>
        <v>&lt;title&gt;Fastenzeit 2020 mit dem Hl. Johannes vom Kreuz&lt;/title&gt;</v>
      </c>
      <c r="N15" s="1" t="str">
        <f>"&lt;title&gt;"&amp;N3&amp;"&lt;/title&gt;"</f>
        <v>&lt;title&gt;Advent 2019 mit Unserer Lieben Frau vom Berge Karmel&lt;/title&gt;</v>
      </c>
      <c r="O15" s="1" t="str">
        <f>"&lt;title&gt;"&amp;O3&amp;"&lt;/title&gt;"</f>
        <v>&lt;title&gt;Fastenzeit 2019 mit Edith Stein Hl. Teresa-Benedicta vom Kreuz&lt;/title&gt;</v>
      </c>
      <c r="P15" s="1" t="str">
        <f>"&lt;title&gt;"&amp;P3&amp;"&lt;/title&gt;"</f>
        <v>&lt;title&gt;Advent 2018 mit Unserer Lieben Frau vom Berge Karmel&lt;/title&gt;</v>
      </c>
      <c r="Q15" s="1" t="str">
        <f>"&lt;title&gt;"&amp;Q3&amp;"&lt;/title&gt;"</f>
        <v>&lt;title&gt;Fastenzeit 2018 mit Br. Lorenz von der Auferstehung&lt;/title&gt;</v>
      </c>
      <c r="R15" s="1" t="str">
        <f>"&lt;title&gt;"&amp;R3&amp;"&lt;/title&gt;"</f>
        <v>&lt;title&gt;Advent 2017 mit dem hl. Josef&lt;/title&gt;</v>
      </c>
      <c r="S15" t="str">
        <f>"&lt;title&gt;"&amp;S3&amp;"&lt;/title&gt;"</f>
        <v>&lt;title&gt;KarmelExerzitien Online in der Fastenzeit 2017&lt;/title&gt;</v>
      </c>
      <c r="T15" t="str">
        <f>"&lt;title&gt;"&amp;T3&amp;"&lt;/title&gt;"</f>
        <v>&lt;title&gt;Advent 2016 mit dem Sel. Maria-Eugen vom Kinde Jesus OCD&lt;/title&gt;</v>
      </c>
      <c r="U15" t="str">
        <f>"&lt;title&gt;"&amp;U3&amp;"&lt;/title&gt;"</f>
        <v>&lt;title&gt;Fastenzeit 2016 mit dem heiligen Elija&lt;/title&gt;</v>
      </c>
      <c r="V15" s="1" t="str">
        <f>"&lt;title&gt;"&amp;V3&amp;"&lt;/title&gt;"</f>
        <v>&lt;title&gt;Advent 2015&lt;/title&gt;</v>
      </c>
      <c r="W15" s="2" t="str">
        <f>"&lt;title&gt;"&amp;W3&amp;"&lt;/title&gt;"</f>
        <v>&lt;title&gt;Fastenzeit 2015 mit Teresa von Avila&lt;/title&gt;</v>
      </c>
      <c r="X15" s="1" t="str">
        <f>"&lt;title&gt;"&amp;X3&amp;"&lt;/title&gt;"</f>
        <v>&lt;title&gt;Licht in der Finsternis werden mit dem Karmeliten P. Jacques von Jesus OCD (1900-1945)&lt;/title&gt;</v>
      </c>
      <c r="Y15" s="1" t="str">
        <f>"&lt;title&gt;"&amp;Y3&amp;"&lt;/title&gt;"</f>
        <v>&lt;title&gt;Fastenzeit 2014&lt;/title&gt;</v>
      </c>
      <c r="Z15" s="1" t="str">
        <f>"&lt;title&gt;"&amp;Z3&amp;"&lt;/title&gt;"</f>
        <v>&lt;title&gt;Advent 2013: Vorbereitung auf Weihnachten mit Edith Stein&lt;/title&gt;</v>
      </c>
      <c r="AA15" s="1" t="str">
        <f>"&lt;title&gt;"&amp;AA3&amp;"&lt;/title&gt;"</f>
        <v>&lt;title&gt;Fastenzeit 2013 mit der Hl. Edith Stein&lt;/title&gt;</v>
      </c>
      <c r="AB15" s="1" t="str">
        <f>"&lt;title&gt;"&amp;AB3&amp;"&lt;/title&gt;"</f>
        <v>&lt;title&gt;0&lt;/title&gt;</v>
      </c>
      <c r="AC15" s="1" t="str">
        <f>"&lt;title&gt;"&amp;AC3&amp;"&lt;/title&gt;"</f>
        <v>&lt;title&gt;Fastenzeit 2012 mit der Hl. Edith Stein&lt;/title&gt;</v>
      </c>
      <c r="AD15" t="str">
        <f>"&lt;title&gt;"&amp;AD3&amp;"&lt;/title&gt;"</f>
        <v>&lt;title&gt;0&lt;/title&gt;</v>
      </c>
      <c r="AE15" t="str">
        <f>"&lt;title&gt;"&amp;AE3&amp;"&lt;/title&gt;"</f>
        <v>&lt;title&gt;0&lt;/title&gt;</v>
      </c>
    </row>
    <row r="16" spans="2:31" x14ac:dyDescent="0.25">
      <c r="B16" s="5"/>
      <c r="G16" s="1"/>
      <c r="H16" s="1"/>
      <c r="I16" s="1"/>
      <c r="J16" s="1"/>
      <c r="K16" s="1"/>
      <c r="L16" s="1"/>
      <c r="M16" s="1"/>
      <c r="N16" s="1"/>
      <c r="O16" s="1"/>
      <c r="P16" s="1"/>
      <c r="Q16" s="1"/>
      <c r="R16" s="1"/>
      <c r="V16" s="1"/>
      <c r="W16" s="2"/>
      <c r="X16" s="1"/>
      <c r="Y16" s="1"/>
      <c r="Z16" s="1"/>
      <c r="AA16" s="1"/>
      <c r="AB16" s="1"/>
      <c r="AC16" s="1"/>
    </row>
    <row r="17" spans="2:31" x14ac:dyDescent="0.25">
      <c r="B17" s="4" t="s">
        <v>647</v>
      </c>
      <c r="C17" t="s">
        <v>647</v>
      </c>
      <c r="D17" t="s">
        <v>647</v>
      </c>
      <c r="E17" s="1" t="s">
        <v>647</v>
      </c>
      <c r="F17" s="2" t="s">
        <v>647</v>
      </c>
      <c r="G17" s="1" t="s">
        <v>647</v>
      </c>
      <c r="H17" s="1" t="s">
        <v>647</v>
      </c>
      <c r="I17" s="1" t="s">
        <v>647</v>
      </c>
      <c r="J17" s="1" t="s">
        <v>647</v>
      </c>
      <c r="K17" s="1" t="s">
        <v>647</v>
      </c>
      <c r="L17" s="1" t="s">
        <v>647</v>
      </c>
      <c r="M17" s="1" t="s">
        <v>647</v>
      </c>
      <c r="N17" s="1" t="s">
        <v>647</v>
      </c>
      <c r="O17" s="1" t="s">
        <v>647</v>
      </c>
      <c r="P17" s="1" t="s">
        <v>647</v>
      </c>
      <c r="Q17" s="1" t="s">
        <v>647</v>
      </c>
      <c r="R17" s="1" t="s">
        <v>647</v>
      </c>
      <c r="S17" t="s">
        <v>647</v>
      </c>
      <c r="T17" t="s">
        <v>647</v>
      </c>
      <c r="U17" t="s">
        <v>647</v>
      </c>
      <c r="V17" s="1" t="s">
        <v>647</v>
      </c>
      <c r="W17" s="2" t="s">
        <v>647</v>
      </c>
      <c r="X17" s="1" t="s">
        <v>647</v>
      </c>
      <c r="Y17" s="1" t="s">
        <v>647</v>
      </c>
      <c r="Z17" s="1" t="s">
        <v>647</v>
      </c>
      <c r="AA17" s="1" t="s">
        <v>647</v>
      </c>
      <c r="AB17" s="1" t="s">
        <v>647</v>
      </c>
      <c r="AC17" s="1" t="s">
        <v>647</v>
      </c>
      <c r="AD17" t="s">
        <v>647</v>
      </c>
      <c r="AE17" t="s">
        <v>647</v>
      </c>
    </row>
    <row r="18" spans="2:31" x14ac:dyDescent="0.25">
      <c r="B18" s="4" t="s">
        <v>648</v>
      </c>
      <c r="C18" t="s">
        <v>648</v>
      </c>
      <c r="D18" t="s">
        <v>648</v>
      </c>
      <c r="E18" s="1" t="s">
        <v>648</v>
      </c>
      <c r="F18" s="2" t="s">
        <v>648</v>
      </c>
      <c r="G18" s="1" t="s">
        <v>648</v>
      </c>
      <c r="H18" s="1" t="s">
        <v>648</v>
      </c>
      <c r="I18" s="1" t="s">
        <v>648</v>
      </c>
      <c r="J18" s="1" t="s">
        <v>648</v>
      </c>
      <c r="K18" s="1" t="s">
        <v>648</v>
      </c>
      <c r="L18" s="1" t="s">
        <v>648</v>
      </c>
      <c r="M18" s="1" t="s">
        <v>648</v>
      </c>
      <c r="N18" s="1" t="s">
        <v>648</v>
      </c>
      <c r="O18" s="1" t="s">
        <v>648</v>
      </c>
      <c r="P18" s="1" t="s">
        <v>648</v>
      </c>
      <c r="Q18" s="1" t="s">
        <v>648</v>
      </c>
      <c r="R18" s="1" t="s">
        <v>648</v>
      </c>
      <c r="S18" t="s">
        <v>648</v>
      </c>
      <c r="T18" t="s">
        <v>648</v>
      </c>
      <c r="U18" t="s">
        <v>648</v>
      </c>
      <c r="V18" s="1" t="s">
        <v>648</v>
      </c>
      <c r="W18" s="2" t="s">
        <v>648</v>
      </c>
      <c r="X18" s="1" t="s">
        <v>648</v>
      </c>
      <c r="Y18" s="1" t="s">
        <v>648</v>
      </c>
      <c r="Z18" s="1" t="s">
        <v>648</v>
      </c>
      <c r="AA18" s="1" t="s">
        <v>648</v>
      </c>
      <c r="AB18" s="1" t="s">
        <v>648</v>
      </c>
      <c r="AC18" s="1" t="s">
        <v>648</v>
      </c>
      <c r="AD18" t="s">
        <v>648</v>
      </c>
      <c r="AE18" t="s">
        <v>648</v>
      </c>
    </row>
    <row r="19" spans="2:31" x14ac:dyDescent="0.25">
      <c r="B19" s="4" t="s">
        <v>649</v>
      </c>
      <c r="C19" t="s">
        <v>649</v>
      </c>
      <c r="D19" t="s">
        <v>649</v>
      </c>
      <c r="E19" s="1" t="s">
        <v>649</v>
      </c>
      <c r="F19" s="2" t="s">
        <v>649</v>
      </c>
      <c r="G19" s="1" t="s">
        <v>649</v>
      </c>
      <c r="H19" s="1" t="s">
        <v>649</v>
      </c>
      <c r="I19" s="1" t="s">
        <v>649</v>
      </c>
      <c r="J19" s="1" t="s">
        <v>649</v>
      </c>
      <c r="K19" s="1" t="s">
        <v>649</v>
      </c>
      <c r="L19" s="1" t="s">
        <v>649</v>
      </c>
      <c r="M19" s="1" t="s">
        <v>649</v>
      </c>
      <c r="N19" s="1" t="s">
        <v>649</v>
      </c>
      <c r="O19" s="1" t="s">
        <v>649</v>
      </c>
      <c r="P19" s="1" t="s">
        <v>649</v>
      </c>
      <c r="Q19" s="1" t="s">
        <v>649</v>
      </c>
      <c r="R19" s="1" t="s">
        <v>649</v>
      </c>
      <c r="S19" t="s">
        <v>649</v>
      </c>
      <c r="T19" t="s">
        <v>649</v>
      </c>
      <c r="U19" t="s">
        <v>649</v>
      </c>
      <c r="V19" s="1" t="s">
        <v>649</v>
      </c>
      <c r="W19" s="2" t="s">
        <v>649</v>
      </c>
      <c r="X19" s="1" t="s">
        <v>649</v>
      </c>
      <c r="Y19" s="1" t="s">
        <v>649</v>
      </c>
      <c r="Z19" s="1" t="s">
        <v>649</v>
      </c>
      <c r="AA19" s="1" t="s">
        <v>649</v>
      </c>
      <c r="AB19" s="1" t="s">
        <v>649</v>
      </c>
      <c r="AC19" s="1" t="s">
        <v>649</v>
      </c>
      <c r="AD19" t="s">
        <v>649</v>
      </c>
      <c r="AE19" t="s">
        <v>649</v>
      </c>
    </row>
    <row r="20" spans="2:31" x14ac:dyDescent="0.25">
      <c r="B20" s="4" t="s">
        <v>650</v>
      </c>
      <c r="C20" t="s">
        <v>650</v>
      </c>
      <c r="D20" t="s">
        <v>650</v>
      </c>
      <c r="E20" s="1" t="s">
        <v>650</v>
      </c>
      <c r="F20" s="2" t="s">
        <v>650</v>
      </c>
      <c r="G20" s="1" t="s">
        <v>650</v>
      </c>
      <c r="H20" s="1" t="s">
        <v>650</v>
      </c>
      <c r="I20" s="1" t="s">
        <v>650</v>
      </c>
      <c r="J20" s="1" t="s">
        <v>650</v>
      </c>
      <c r="K20" s="1" t="s">
        <v>650</v>
      </c>
      <c r="L20" s="1" t="s">
        <v>650</v>
      </c>
      <c r="M20" s="1" t="s">
        <v>650</v>
      </c>
      <c r="N20" s="1" t="s">
        <v>650</v>
      </c>
      <c r="O20" s="1" t="s">
        <v>650</v>
      </c>
      <c r="P20" s="1" t="s">
        <v>650</v>
      </c>
      <c r="Q20" s="1" t="s">
        <v>650</v>
      </c>
      <c r="R20" s="1" t="s">
        <v>650</v>
      </c>
      <c r="S20" t="s">
        <v>650</v>
      </c>
      <c r="T20" t="s">
        <v>650</v>
      </c>
      <c r="U20" t="s">
        <v>650</v>
      </c>
      <c r="V20" s="1" t="s">
        <v>650</v>
      </c>
      <c r="W20" s="2" t="s">
        <v>650</v>
      </c>
      <c r="X20" s="1" t="s">
        <v>650</v>
      </c>
      <c r="Y20" s="1" t="s">
        <v>650</v>
      </c>
      <c r="Z20" s="1" t="s">
        <v>650</v>
      </c>
      <c r="AA20" s="1" t="s">
        <v>650</v>
      </c>
      <c r="AB20" s="1" t="s">
        <v>650</v>
      </c>
      <c r="AC20" s="1" t="s">
        <v>650</v>
      </c>
      <c r="AD20" t="s">
        <v>650</v>
      </c>
      <c r="AE20" t="s">
        <v>650</v>
      </c>
    </row>
    <row r="21" spans="2:31" x14ac:dyDescent="0.25">
      <c r="B21" s="4" t="s">
        <v>651</v>
      </c>
      <c r="C21" t="s">
        <v>651</v>
      </c>
      <c r="D21" t="s">
        <v>651</v>
      </c>
      <c r="E21" s="1" t="s">
        <v>651</v>
      </c>
      <c r="F21" s="2" t="s">
        <v>651</v>
      </c>
      <c r="G21" s="1" t="s">
        <v>651</v>
      </c>
      <c r="H21" s="1" t="s">
        <v>651</v>
      </c>
      <c r="I21" s="1" t="s">
        <v>651</v>
      </c>
      <c r="J21" s="1" t="s">
        <v>651</v>
      </c>
      <c r="K21" s="1" t="s">
        <v>651</v>
      </c>
      <c r="L21" s="1" t="s">
        <v>651</v>
      </c>
      <c r="M21" s="1" t="s">
        <v>651</v>
      </c>
      <c r="N21" s="1" t="s">
        <v>651</v>
      </c>
      <c r="O21" s="1" t="s">
        <v>651</v>
      </c>
      <c r="P21" s="1" t="s">
        <v>651</v>
      </c>
      <c r="Q21" s="1" t="s">
        <v>651</v>
      </c>
      <c r="R21" s="1" t="s">
        <v>651</v>
      </c>
      <c r="S21" t="s">
        <v>651</v>
      </c>
      <c r="T21" t="s">
        <v>651</v>
      </c>
      <c r="U21" t="s">
        <v>651</v>
      </c>
      <c r="V21" s="1" t="s">
        <v>651</v>
      </c>
      <c r="W21" s="2" t="s">
        <v>651</v>
      </c>
      <c r="X21" s="1" t="s">
        <v>651</v>
      </c>
      <c r="Y21" s="1" t="s">
        <v>651</v>
      </c>
      <c r="Z21" s="1" t="s">
        <v>651</v>
      </c>
      <c r="AA21" s="1" t="s">
        <v>651</v>
      </c>
      <c r="AB21" s="1" t="s">
        <v>651</v>
      </c>
      <c r="AC21" s="1" t="s">
        <v>651</v>
      </c>
      <c r="AD21" t="s">
        <v>651</v>
      </c>
      <c r="AE21" t="s">
        <v>651</v>
      </c>
    </row>
    <row r="22" spans="2:31" x14ac:dyDescent="0.25">
      <c r="B22" s="4" t="s">
        <v>652</v>
      </c>
      <c r="C22" t="s">
        <v>652</v>
      </c>
      <c r="D22" t="s">
        <v>652</v>
      </c>
      <c r="E22" s="1" t="s">
        <v>652</v>
      </c>
      <c r="F22" s="2" t="s">
        <v>652</v>
      </c>
      <c r="G22" s="1" t="s">
        <v>652</v>
      </c>
      <c r="H22" s="1" t="s">
        <v>652</v>
      </c>
      <c r="I22" s="1" t="s">
        <v>652</v>
      </c>
      <c r="J22" s="1" t="s">
        <v>652</v>
      </c>
      <c r="K22" s="1" t="s">
        <v>652</v>
      </c>
      <c r="L22" s="1" t="s">
        <v>652</v>
      </c>
      <c r="M22" s="1" t="s">
        <v>652</v>
      </c>
      <c r="N22" s="1" t="s">
        <v>652</v>
      </c>
      <c r="O22" s="1" t="s">
        <v>652</v>
      </c>
      <c r="P22" s="1" t="s">
        <v>652</v>
      </c>
      <c r="Q22" s="1" t="s">
        <v>652</v>
      </c>
      <c r="R22" s="1" t="s">
        <v>652</v>
      </c>
      <c r="S22" t="s">
        <v>652</v>
      </c>
      <c r="T22" t="s">
        <v>652</v>
      </c>
      <c r="U22" t="s">
        <v>652</v>
      </c>
      <c r="V22" s="1" t="s">
        <v>652</v>
      </c>
      <c r="W22" s="2" t="s">
        <v>652</v>
      </c>
      <c r="X22" s="1" t="s">
        <v>652</v>
      </c>
      <c r="Y22" s="1" t="s">
        <v>652</v>
      </c>
      <c r="Z22" s="1" t="s">
        <v>652</v>
      </c>
      <c r="AA22" s="1" t="s">
        <v>652</v>
      </c>
      <c r="AB22" s="1" t="s">
        <v>652</v>
      </c>
      <c r="AC22" s="1" t="s">
        <v>652</v>
      </c>
      <c r="AD22" t="s">
        <v>652</v>
      </c>
      <c r="AE22" t="s">
        <v>652</v>
      </c>
    </row>
    <row r="23" spans="2:31" x14ac:dyDescent="0.25">
      <c r="B23" s="4" t="s">
        <v>653</v>
      </c>
      <c r="C23" t="s">
        <v>653</v>
      </c>
      <c r="D23" t="s">
        <v>653</v>
      </c>
      <c r="E23" s="1" t="s">
        <v>653</v>
      </c>
      <c r="F23" s="2" t="s">
        <v>653</v>
      </c>
      <c r="G23" s="1" t="s">
        <v>653</v>
      </c>
      <c r="H23" s="1" t="s">
        <v>653</v>
      </c>
      <c r="I23" s="1" t="s">
        <v>653</v>
      </c>
      <c r="J23" s="1" t="s">
        <v>653</v>
      </c>
      <c r="K23" s="1" t="s">
        <v>653</v>
      </c>
      <c r="L23" s="1" t="s">
        <v>653</v>
      </c>
      <c r="M23" s="1" t="s">
        <v>653</v>
      </c>
      <c r="N23" s="1" t="s">
        <v>653</v>
      </c>
      <c r="O23" s="1" t="s">
        <v>653</v>
      </c>
      <c r="P23" s="1" t="s">
        <v>653</v>
      </c>
      <c r="Q23" s="1" t="s">
        <v>653</v>
      </c>
      <c r="R23" s="1" t="s">
        <v>653</v>
      </c>
      <c r="S23" t="s">
        <v>653</v>
      </c>
      <c r="T23" t="s">
        <v>653</v>
      </c>
      <c r="U23" t="s">
        <v>653</v>
      </c>
      <c r="V23" s="1" t="s">
        <v>653</v>
      </c>
      <c r="W23" s="2" t="s">
        <v>653</v>
      </c>
      <c r="X23" s="1" t="s">
        <v>653</v>
      </c>
      <c r="Y23" s="1" t="s">
        <v>653</v>
      </c>
      <c r="Z23" s="1" t="s">
        <v>653</v>
      </c>
      <c r="AA23" s="1" t="s">
        <v>653</v>
      </c>
      <c r="AB23" s="1" t="s">
        <v>653</v>
      </c>
      <c r="AC23" s="1" t="s">
        <v>653</v>
      </c>
      <c r="AD23" t="s">
        <v>653</v>
      </c>
      <c r="AE23" t="s">
        <v>653</v>
      </c>
    </row>
    <row r="24" spans="2:31" x14ac:dyDescent="0.25">
      <c r="B24" s="4" t="s">
        <v>654</v>
      </c>
      <c r="C24" t="s">
        <v>654</v>
      </c>
      <c r="D24" t="s">
        <v>654</v>
      </c>
      <c r="E24" s="1" t="s">
        <v>654</v>
      </c>
      <c r="F24" s="2" t="s">
        <v>654</v>
      </c>
      <c r="G24" s="1" t="s">
        <v>654</v>
      </c>
      <c r="H24" s="1" t="s">
        <v>654</v>
      </c>
      <c r="I24" s="1" t="s">
        <v>654</v>
      </c>
      <c r="J24" s="1" t="s">
        <v>654</v>
      </c>
      <c r="K24" s="1" t="s">
        <v>654</v>
      </c>
      <c r="L24" s="1" t="s">
        <v>654</v>
      </c>
      <c r="M24" s="1" t="s">
        <v>654</v>
      </c>
      <c r="N24" s="1" t="s">
        <v>654</v>
      </c>
      <c r="O24" s="1" t="s">
        <v>654</v>
      </c>
      <c r="P24" s="1" t="s">
        <v>654</v>
      </c>
      <c r="Q24" s="1" t="s">
        <v>654</v>
      </c>
      <c r="R24" s="1" t="s">
        <v>654</v>
      </c>
      <c r="S24" t="s">
        <v>654</v>
      </c>
      <c r="T24" t="s">
        <v>654</v>
      </c>
      <c r="U24" t="s">
        <v>654</v>
      </c>
      <c r="V24" s="1" t="s">
        <v>654</v>
      </c>
      <c r="W24" s="2" t="s">
        <v>654</v>
      </c>
      <c r="X24" s="1" t="s">
        <v>654</v>
      </c>
      <c r="Y24" s="1" t="s">
        <v>654</v>
      </c>
      <c r="Z24" s="1" t="s">
        <v>654</v>
      </c>
      <c r="AA24" s="1" t="s">
        <v>654</v>
      </c>
      <c r="AB24" s="1" t="s">
        <v>654</v>
      </c>
      <c r="AC24" s="1" t="s">
        <v>654</v>
      </c>
      <c r="AD24" t="s">
        <v>654</v>
      </c>
      <c r="AE24" t="s">
        <v>654</v>
      </c>
    </row>
    <row r="25" spans="2:31" x14ac:dyDescent="0.25">
      <c r="B25" s="4" t="s">
        <v>655</v>
      </c>
      <c r="C25" t="s">
        <v>655</v>
      </c>
      <c r="D25" t="s">
        <v>655</v>
      </c>
      <c r="E25" s="1" t="s">
        <v>655</v>
      </c>
      <c r="F25" s="2" t="s">
        <v>655</v>
      </c>
      <c r="G25" s="1" t="s">
        <v>655</v>
      </c>
      <c r="H25" s="1" t="s">
        <v>655</v>
      </c>
      <c r="I25" s="1" t="s">
        <v>655</v>
      </c>
      <c r="J25" s="1" t="s">
        <v>655</v>
      </c>
      <c r="K25" s="1" t="s">
        <v>655</v>
      </c>
      <c r="L25" s="1" t="s">
        <v>655</v>
      </c>
      <c r="M25" s="1" t="s">
        <v>655</v>
      </c>
      <c r="N25" s="1" t="s">
        <v>655</v>
      </c>
      <c r="O25" s="1" t="s">
        <v>655</v>
      </c>
      <c r="P25" s="1" t="s">
        <v>655</v>
      </c>
      <c r="Q25" s="1" t="s">
        <v>655</v>
      </c>
      <c r="R25" s="1" t="s">
        <v>655</v>
      </c>
      <c r="S25" t="s">
        <v>655</v>
      </c>
      <c r="T25" t="s">
        <v>655</v>
      </c>
      <c r="U25" t="s">
        <v>655</v>
      </c>
      <c r="V25" s="1" t="s">
        <v>655</v>
      </c>
      <c r="W25" s="2" t="s">
        <v>655</v>
      </c>
      <c r="X25" s="1" t="s">
        <v>655</v>
      </c>
      <c r="Y25" s="1" t="s">
        <v>655</v>
      </c>
      <c r="Z25" s="1" t="s">
        <v>655</v>
      </c>
      <c r="AA25" s="1" t="s">
        <v>655</v>
      </c>
      <c r="AB25" s="1" t="s">
        <v>655</v>
      </c>
      <c r="AC25" s="1" t="s">
        <v>655</v>
      </c>
      <c r="AD25" t="s">
        <v>655</v>
      </c>
      <c r="AE25" t="s">
        <v>655</v>
      </c>
    </row>
    <row r="26" spans="2:31" x14ac:dyDescent="0.25">
      <c r="B26" s="4" t="s">
        <v>656</v>
      </c>
      <c r="C26" t="s">
        <v>656</v>
      </c>
      <c r="D26" t="s">
        <v>656</v>
      </c>
      <c r="E26" s="1" t="s">
        <v>656</v>
      </c>
      <c r="F26" s="2" t="s">
        <v>656</v>
      </c>
      <c r="G26" s="1" t="s">
        <v>656</v>
      </c>
      <c r="H26" s="1" t="s">
        <v>656</v>
      </c>
      <c r="I26" s="1" t="s">
        <v>656</v>
      </c>
      <c r="J26" s="1" t="s">
        <v>656</v>
      </c>
      <c r="K26" s="1" t="s">
        <v>656</v>
      </c>
      <c r="L26" s="1" t="s">
        <v>656</v>
      </c>
      <c r="M26" s="1" t="s">
        <v>656</v>
      </c>
      <c r="N26" s="1" t="s">
        <v>656</v>
      </c>
      <c r="O26" s="1" t="s">
        <v>656</v>
      </c>
      <c r="P26" s="1" t="s">
        <v>656</v>
      </c>
      <c r="Q26" s="1" t="s">
        <v>656</v>
      </c>
      <c r="R26" s="1" t="s">
        <v>656</v>
      </c>
      <c r="S26" t="s">
        <v>656</v>
      </c>
      <c r="T26" t="s">
        <v>656</v>
      </c>
      <c r="U26" t="s">
        <v>656</v>
      </c>
      <c r="V26" s="1" t="s">
        <v>656</v>
      </c>
      <c r="W26" s="2" t="s">
        <v>656</v>
      </c>
      <c r="X26" s="1" t="s">
        <v>656</v>
      </c>
      <c r="Y26" s="1" t="s">
        <v>656</v>
      </c>
      <c r="Z26" s="1" t="s">
        <v>656</v>
      </c>
      <c r="AA26" s="1" t="s">
        <v>656</v>
      </c>
      <c r="AB26" s="1" t="s">
        <v>656</v>
      </c>
      <c r="AC26" s="1" t="s">
        <v>656</v>
      </c>
      <c r="AD26" t="s">
        <v>656</v>
      </c>
      <c r="AE26" t="s">
        <v>656</v>
      </c>
    </row>
    <row r="27" spans="2:31" ht="409.5" x14ac:dyDescent="0.25">
      <c r="B27" s="4" t="s">
        <v>657</v>
      </c>
      <c r="C27" t="s">
        <v>657</v>
      </c>
      <c r="D27" t="s">
        <v>657</v>
      </c>
      <c r="E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F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G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H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I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J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K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L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M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N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O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P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Q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R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S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T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U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V27" s="6"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W27" s="2"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X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Y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Z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A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B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C27" s="1"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D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c r="AE27" t="str">
        <f>header_block_de!$A1</f>
        <v>&lt;header class="moving-banner" aria-label="Decorative animated banner"&gt;
  &lt;div class="moving-banner__track"&gt;
    &lt;img src="../img/website_banner_wide_e.webp" alt=""&gt;
    &lt;img src="../img/website_banner_wide_e.webp" alt="" aria-hidden="true"&gt;
  &lt;/div&gt;
    &lt;/header&gt;      &lt;nav class="header-inner"&gt;
        &lt;a href="#" class="brand" aria-label="Startseite"&gt;
          &lt;span class="brand-mark" aria-hidden="true"&gt;&lt;img src="/img/apple-touch-icon.png" style="border-radius: var(--radius-lg)"&gt;&lt;/span&gt;
          &lt;span class="brand-text"&gt;
            &lt;span class="brand-kicker"&gt;Karmel&lt;/span&gt;
            &lt;span class="brand-name"&gt;Online-Exerzitien&lt;/span&gt;
          &lt;/span&gt;
        &lt;/a&gt;
&lt;div class="header-actions"&gt;
  &lt;details class="language-menu"&gt;
    &lt;summary class="language-menu__trigger" aria-label="Sprache auswählen"&gt;
      &lt;span aria-hidden="true"&gt;🌐&lt;/span&gt;
      &lt;span&gt;DE&lt;/span&gt;
      &lt;span class="language-menu__current"&gt;Deutsch&lt;/span&gt;
    &lt;/summary&gt;
    &lt;nav class="language-menu__list" aria-label="Sprachauswahl"&gt;
      &lt;a href="https://retraites.carmes-paris.org/" lang="fr" hreflang="fr"&gt;
        &lt;span class="language-flag" aria-hidden="true"&gt;🇫🇷&lt;/span&gt;
        &lt;span class="language-code"&gt;FR&lt;/span&gt;
        &lt;span&gt;Français&lt;/span&gt;
      &lt;/a&gt;
      &lt;a href="/de/" lang="de" hreflang="de" aria-current="page"&gt;
        &lt;span class="language-flag" aria-hidden="true"&gt;🇦🇹🇩🇪&lt;/span&gt;
        &lt;span class="language-code"&gt;DE&lt;/span&gt;
        &lt;span&gt;Deutsch&lt;/span&gt;
        &lt;span class="language-check" aria-hidden="true"&gt;✓&lt;/span&gt;
      &lt;/a&gt;
      &lt;a href="/es/" lang="es" hreflang="es"&gt;
        &lt;span class="language-flag" aria-hidden="true"&gt;🇪🇸&lt;/span&gt;
        &lt;span class="language-code"&gt;ES&lt;/span&gt;
        &lt;span&gt;Español&lt;/span&gt;
      &lt;/a&gt;
      &lt;a href="/it/" lang="it" hreflang="it"&gt;
        &lt;span class="language-flag" aria-hidden="true"&gt;🇮🇹&lt;/span&gt;
        &lt;span class="language-code"&gt;IT&lt;/span&gt;
        &lt;span&gt;Italiano&lt;/span&gt;
      &lt;/a&gt;
      &lt;a href="/en/" lang="en" hreflang="en"&gt;
        &lt;span class="language-flag" aria-hidden="true"&gt;🇬🇧🇺🇸&lt;/span&gt;
        &lt;span class="language-code"&gt;EN&lt;/span&gt;
        &lt;span&gt;English&lt;/span&gt;
      &lt;/a&gt;
      &lt;a href="/pl/" lang="pl" hreflang="pl"&gt;
        &lt;span class="language-flag" aria-hidden="true"&gt;🇵🇱&lt;/span&gt;
        &lt;span class="language-code"&gt;PL&lt;/span&gt;
        &lt;span&gt;Polski&lt;/span&gt;
      &lt;/a&gt;
      &lt;a href="/ar/" lang="ar" hreflang="ar" dir="rtl"&gt;
        &lt;span class="language-flag" aria-hidden="true"&gt;🇱🇧🇸🇦&lt;/span&gt;
        &lt;span class="language-code"&gt;AR&lt;/span&gt;
        &lt;span&gt;العربية&lt;/span&gt;
      &lt;/a&gt;
      &lt;a href="/pt/" lang="pt" hreflang="pt"&gt;
        &lt;span class="language-flag" aria-hidden="true"&gt;🇵🇹&lt;/span&gt;
        &lt;span class="language-code"&gt;PT&lt;/span&gt;
        &lt;span&gt;Português&lt;/span&gt;
      &lt;/a&gt;
      &lt;a href="/zh/" lang="zh" hreflang="zh"&gt;
        &lt;span class="language-flag" aria-hidden="true"&gt;🇨🇳&lt;/span&gt;
        &lt;span class="language-code"&gt;ZH&lt;/span&gt;
        &lt;span&gt;中文&lt;/span&gt;
      &lt;/a&gt;
      &lt;a href="/cs/" lang="cs" hreflang="cs"&gt;
        &lt;span class="language-flag" aria-hidden="true"&gt;🇨🇿&lt;/span&gt;
        &lt;span class="language-code"&gt;CS&lt;/span&gt;
        &lt;span&gt;Čeština&lt;/span&gt;
      &lt;/a&gt;
      &lt;a href="/hr/" lang="hr" hreflang="hr"&gt;
        &lt;span class="language-flag" aria-hidden="true"&gt;🇭🇷&lt;/span&gt;
        &lt;span class="language-code"&gt;HR&lt;/span&gt;
        &lt;span&gt;Hrvatski&lt;/span&gt;
      &lt;/a&gt;
      &lt;a href="/hu/" lang="hu" hreflang="hu"&gt;
        &lt;span class="language-flag" aria-hidden="true"&gt;🇭🇺&lt;/span&gt;
        &lt;span class="language-code"&gt;HU&lt;/span&gt;
        &lt;span&gt;Magyar&lt;/span&gt;
      &lt;/a&gt;
      &lt;a href="/mt/" lang="mt" hreflang="mt"&gt;
        &lt;span class="language-flag" aria-hidden="true"&gt;🇲🇹&lt;/span&gt;
        &lt;span class="language-code"&gt;MT&lt;/span&gt;
        &lt;span&gt;Malti&lt;/span&gt;
      &lt;/a&gt;
      &lt;a href="/nl/" lang="nl" hreflang="nl"&gt;
        &lt;span class="language-flag" aria-hidden="true"&gt;🇳🇱&lt;/span&gt;
        &lt;span class="language-code"&gt;NL&lt;/span&gt;
        &lt;span&gt;Nederlands&lt;/span&gt;
      &lt;/a&gt;
      &lt;a href="/ro/" lang="ro" hreflang="ro"&gt;
        &lt;span class="language-flag" aria-hidden="true"&gt;🇷🇴&lt;/span&gt;
        &lt;span class="language-code"&gt;RO&lt;/span&gt;
        &lt;span&gt;Română&lt;/span&gt;
      &lt;/a&gt;
      &lt;a href="/vi/" lang="vi" hreflang="vi"&gt;
        &lt;span class="language-flag" aria-hidden="true"&gt;🇻🇳&lt;/span&gt;
        &lt;span class="language-code"&gt;VI&lt;/span&gt;
        &lt;span&gt;Tiếng Việt&lt;/span&gt;
      &lt;/a&gt;
    &lt;/nav&gt;
  &lt;/details&gt;
&lt;/div&gt;
      &lt;/nav&gt;</v>
      </c>
    </row>
    <row r="28" spans="2:31" x14ac:dyDescent="0.25">
      <c r="B28" s="4" t="s">
        <v>658</v>
      </c>
      <c r="C28" t="s">
        <v>658</v>
      </c>
      <c r="D28" t="s">
        <v>658</v>
      </c>
      <c r="G28" s="1"/>
      <c r="H28" s="1"/>
      <c r="I28" s="1"/>
      <c r="J28" s="1"/>
      <c r="K28" s="1"/>
      <c r="L28" s="1"/>
      <c r="M28" s="1"/>
      <c r="N28" s="1"/>
      <c r="O28" s="1"/>
      <c r="P28" s="1"/>
      <c r="Q28" s="1"/>
      <c r="R28" s="1"/>
      <c r="V28" s="1"/>
      <c r="W28" s="2"/>
      <c r="X28" s="1"/>
      <c r="Y28" s="1"/>
      <c r="Z28" s="1"/>
      <c r="AA28" s="1"/>
      <c r="AB28" s="1"/>
      <c r="AC28" s="1"/>
    </row>
    <row r="29" spans="2:31" x14ac:dyDescent="0.25">
      <c r="B29" s="4" t="s">
        <v>804</v>
      </c>
      <c r="C29" t="s">
        <v>804</v>
      </c>
      <c r="D29" t="s">
        <v>804</v>
      </c>
      <c r="G29" s="1"/>
      <c r="H29" s="1"/>
      <c r="I29" s="1"/>
      <c r="J29" s="1"/>
      <c r="K29" s="1"/>
      <c r="L29" s="1"/>
      <c r="M29" s="1"/>
      <c r="N29" s="1"/>
      <c r="O29" s="1"/>
      <c r="P29" s="1"/>
      <c r="Q29" s="1"/>
      <c r="R29" s="1"/>
      <c r="V29" s="1"/>
      <c r="W29" s="2"/>
      <c r="X29" s="1"/>
      <c r="Y29" s="1"/>
      <c r="Z29" s="1"/>
      <c r="AA29" s="1"/>
      <c r="AB29" s="1"/>
      <c r="AC29" s="1"/>
    </row>
    <row r="30" spans="2:31" x14ac:dyDescent="0.25">
      <c r="B30" s="4" t="s">
        <v>117</v>
      </c>
      <c r="C30" t="s">
        <v>117</v>
      </c>
      <c r="D30" t="s">
        <v>117</v>
      </c>
      <c r="G30" s="1"/>
      <c r="H30" s="1"/>
      <c r="I30" s="1"/>
      <c r="J30" s="1"/>
      <c r="K30" s="1"/>
      <c r="L30" s="1"/>
      <c r="M30" s="1"/>
      <c r="N30" s="1"/>
      <c r="O30" s="1"/>
      <c r="P30" s="1"/>
      <c r="Q30" s="1"/>
      <c r="R30" s="1"/>
      <c r="V30" s="1"/>
      <c r="W30" s="2"/>
      <c r="X30" s="1"/>
      <c r="Y30" s="1"/>
      <c r="Z30" s="1"/>
      <c r="AA30" s="1"/>
      <c r="AB30" s="1"/>
      <c r="AC30" s="1"/>
    </row>
    <row r="31" spans="2:31" x14ac:dyDescent="0.25">
      <c r="B31" s="4" t="s">
        <v>659</v>
      </c>
      <c r="C31" t="s">
        <v>659</v>
      </c>
      <c r="D31" t="s">
        <v>659</v>
      </c>
      <c r="G31" s="1"/>
      <c r="H31" s="1"/>
      <c r="I31" s="1"/>
      <c r="J31" s="1"/>
      <c r="K31" s="1"/>
      <c r="L31" s="1"/>
      <c r="M31" s="1"/>
      <c r="N31" s="1"/>
      <c r="O31" s="1"/>
      <c r="P31" s="1"/>
      <c r="Q31" s="1"/>
      <c r="R31" s="1"/>
      <c r="V31" s="1"/>
      <c r="W31" s="2"/>
      <c r="X31" s="1"/>
      <c r="Y31" s="1"/>
      <c r="Z31" s="1"/>
      <c r="AA31" s="1"/>
      <c r="AB31" s="1"/>
      <c r="AC31" s="1"/>
    </row>
    <row r="32" spans="2:31" x14ac:dyDescent="0.25">
      <c r="B32" s="4" t="s">
        <v>660</v>
      </c>
      <c r="C32" t="s">
        <v>660</v>
      </c>
      <c r="D32" t="s">
        <v>660</v>
      </c>
      <c r="G32" s="1"/>
      <c r="H32" s="1"/>
      <c r="I32" s="1"/>
      <c r="J32" s="1"/>
      <c r="K32" s="1"/>
      <c r="L32" s="1"/>
      <c r="M32" s="1"/>
      <c r="N32" s="1"/>
      <c r="O32" s="1"/>
      <c r="P32" s="1"/>
      <c r="Q32" s="1"/>
      <c r="R32" s="1"/>
      <c r="V32" s="1"/>
      <c r="W32" s="2"/>
      <c r="X32" s="1"/>
      <c r="Y32" s="1"/>
      <c r="Z32" s="1"/>
      <c r="AA32" s="1"/>
      <c r="AB32" s="1"/>
      <c r="AC32" s="1"/>
    </row>
    <row r="33" spans="2:29" x14ac:dyDescent="0.25">
      <c r="B33" s="4" t="s">
        <v>661</v>
      </c>
      <c r="C33" t="s">
        <v>661</v>
      </c>
      <c r="D33" t="s">
        <v>661</v>
      </c>
      <c r="G33" s="1"/>
      <c r="H33" s="1"/>
      <c r="I33" s="1"/>
      <c r="J33" s="1"/>
      <c r="K33" s="1"/>
      <c r="L33" s="1"/>
      <c r="M33" s="1"/>
      <c r="N33" s="1"/>
      <c r="O33" s="1"/>
      <c r="P33" s="1"/>
      <c r="Q33" s="1"/>
      <c r="R33" s="1"/>
      <c r="V33" s="1"/>
      <c r="W33" s="2"/>
      <c r="X33" s="1"/>
      <c r="Y33" s="1"/>
      <c r="Z33" s="1"/>
      <c r="AA33" s="1"/>
      <c r="AB33" s="1"/>
      <c r="AC33" s="1"/>
    </row>
    <row r="34" spans="2:29" x14ac:dyDescent="0.25">
      <c r="B34" s="4" t="s">
        <v>662</v>
      </c>
      <c r="C34" t="s">
        <v>662</v>
      </c>
      <c r="D34" t="s">
        <v>662</v>
      </c>
      <c r="G34" s="1"/>
      <c r="H34" s="1"/>
      <c r="I34" s="1"/>
      <c r="J34" s="1"/>
      <c r="K34" s="1"/>
      <c r="L34" s="1"/>
      <c r="M34" s="1"/>
      <c r="N34" s="1"/>
      <c r="O34" s="1"/>
      <c r="P34" s="1"/>
      <c r="Q34" s="1"/>
      <c r="R34" s="1"/>
      <c r="V34" s="1"/>
      <c r="W34" s="2"/>
      <c r="X34" s="1"/>
      <c r="Y34" s="1"/>
      <c r="Z34" s="1"/>
      <c r="AA34" s="1"/>
      <c r="AB34" s="1"/>
      <c r="AC34" s="1"/>
    </row>
    <row r="35" spans="2:29" x14ac:dyDescent="0.25">
      <c r="B35" s="4" t="s">
        <v>663</v>
      </c>
      <c r="C35" t="s">
        <v>663</v>
      </c>
      <c r="D35" t="s">
        <v>663</v>
      </c>
      <c r="G35" s="1"/>
      <c r="H35" s="1"/>
      <c r="I35" s="1"/>
      <c r="J35" s="1"/>
      <c r="K35" s="1"/>
      <c r="L35" s="1"/>
      <c r="M35" s="1"/>
      <c r="N35" s="1"/>
      <c r="O35" s="1"/>
      <c r="P35" s="1"/>
      <c r="Q35" s="1"/>
      <c r="R35" s="1"/>
      <c r="V35" s="1"/>
      <c r="W35" s="2"/>
      <c r="X35" s="1"/>
      <c r="Y35" s="1"/>
      <c r="Z35" s="1"/>
      <c r="AA35" s="1"/>
      <c r="AB35" s="1"/>
      <c r="AC35" s="1"/>
    </row>
    <row r="36" spans="2:29" x14ac:dyDescent="0.25">
      <c r="B36" s="4" t="s">
        <v>664</v>
      </c>
      <c r="C36" t="s">
        <v>664</v>
      </c>
      <c r="D36" t="s">
        <v>664</v>
      </c>
      <c r="G36" s="1"/>
      <c r="H36" s="1"/>
      <c r="I36" s="1"/>
      <c r="J36" s="1"/>
      <c r="K36" s="1"/>
      <c r="L36" s="1"/>
      <c r="M36" s="1"/>
      <c r="N36" s="1"/>
      <c r="O36" s="1"/>
      <c r="P36" s="1"/>
      <c r="Q36" s="1"/>
      <c r="R36" s="1"/>
      <c r="V36" s="1"/>
      <c r="W36" s="2"/>
      <c r="X36" s="1"/>
      <c r="Y36" s="1"/>
      <c r="Z36" s="1"/>
      <c r="AA36" s="1"/>
      <c r="AB36" s="1"/>
      <c r="AC36" s="1"/>
    </row>
    <row r="37" spans="2:29" x14ac:dyDescent="0.25">
      <c r="B37" s="4" t="s">
        <v>665</v>
      </c>
      <c r="C37" t="s">
        <v>665</v>
      </c>
      <c r="D37" t="s">
        <v>665</v>
      </c>
      <c r="G37" s="1"/>
      <c r="H37" s="1"/>
      <c r="I37" s="1"/>
      <c r="J37" s="1"/>
      <c r="K37" s="1"/>
      <c r="L37" s="1"/>
      <c r="M37" s="1"/>
      <c r="N37" s="1"/>
      <c r="O37" s="1"/>
      <c r="P37" s="1"/>
      <c r="Q37" s="1"/>
      <c r="R37" s="1"/>
      <c r="V37" s="1"/>
      <c r="W37" s="2"/>
      <c r="X37" s="1"/>
      <c r="Y37" s="1"/>
      <c r="Z37" s="1"/>
      <c r="AA37" s="1"/>
      <c r="AB37" s="1"/>
      <c r="AC37" s="1"/>
    </row>
    <row r="38" spans="2:29" x14ac:dyDescent="0.25">
      <c r="B38" s="4" t="s">
        <v>666</v>
      </c>
      <c r="C38" t="s">
        <v>666</v>
      </c>
      <c r="D38" t="s">
        <v>666</v>
      </c>
      <c r="G38" s="1"/>
      <c r="H38" s="1"/>
      <c r="I38" s="1"/>
      <c r="J38" s="1"/>
      <c r="K38" s="1"/>
      <c r="L38" s="1"/>
      <c r="M38" s="1"/>
      <c r="N38" s="1"/>
      <c r="O38" s="1"/>
      <c r="P38" s="1"/>
      <c r="Q38" s="1"/>
      <c r="R38" s="1"/>
      <c r="V38" s="1"/>
      <c r="W38" s="2"/>
      <c r="X38" s="1"/>
      <c r="Y38" s="1"/>
      <c r="Z38" s="1"/>
      <c r="AA38" s="1"/>
      <c r="AB38" s="1"/>
      <c r="AC38" s="1"/>
    </row>
    <row r="39" spans="2:29" x14ac:dyDescent="0.25">
      <c r="B39" s="4" t="s">
        <v>667</v>
      </c>
      <c r="C39" t="s">
        <v>667</v>
      </c>
      <c r="D39" t="s">
        <v>667</v>
      </c>
      <c r="G39" s="1"/>
      <c r="H39" s="1"/>
      <c r="I39" s="1"/>
      <c r="J39" s="1"/>
      <c r="K39" s="1"/>
      <c r="L39" s="1"/>
      <c r="M39" s="1"/>
      <c r="N39" s="1"/>
      <c r="O39" s="1"/>
      <c r="P39" s="1"/>
      <c r="Q39" s="1"/>
      <c r="R39" s="1"/>
      <c r="V39" s="1"/>
      <c r="W39" s="2"/>
      <c r="X39" s="1"/>
      <c r="Y39" s="1"/>
      <c r="Z39" s="1"/>
      <c r="AA39" s="1"/>
      <c r="AB39" s="1"/>
      <c r="AC39" s="1"/>
    </row>
    <row r="40" spans="2:29" x14ac:dyDescent="0.25">
      <c r="B40" s="5"/>
      <c r="G40" s="1"/>
      <c r="H40" s="1"/>
      <c r="I40" s="1"/>
      <c r="J40" s="1"/>
      <c r="K40" s="1"/>
      <c r="L40" s="1"/>
      <c r="M40" s="1"/>
      <c r="N40" s="1"/>
      <c r="O40" s="1"/>
      <c r="P40" s="1"/>
      <c r="Q40" s="1"/>
      <c r="R40" s="1"/>
      <c r="V40" s="1"/>
      <c r="W40" s="2"/>
      <c r="X40" s="1"/>
      <c r="Y40" s="1"/>
      <c r="Z40" s="1"/>
      <c r="AA40" s="1"/>
      <c r="AB40" s="1"/>
      <c r="AC40" s="1"/>
    </row>
    <row r="41" spans="2:29" x14ac:dyDescent="0.25">
      <c r="B41" s="4" t="s">
        <v>668</v>
      </c>
      <c r="C41" t="s">
        <v>668</v>
      </c>
      <c r="D41" t="s">
        <v>668</v>
      </c>
      <c r="G41" s="1"/>
      <c r="H41" s="1"/>
      <c r="I41" s="1"/>
      <c r="J41" s="1"/>
      <c r="K41" s="1"/>
      <c r="L41" s="1"/>
      <c r="M41" s="1"/>
      <c r="N41" s="1"/>
      <c r="O41" s="1"/>
      <c r="P41" s="1"/>
      <c r="Q41" s="1"/>
      <c r="R41" s="1"/>
      <c r="V41" s="1"/>
      <c r="W41" s="2"/>
      <c r="X41" s="1"/>
      <c r="Y41" s="1"/>
      <c r="Z41" s="1"/>
      <c r="AA41" s="1"/>
      <c r="AB41" s="1"/>
      <c r="AC41" s="1"/>
    </row>
    <row r="42" spans="2:29" x14ac:dyDescent="0.25">
      <c r="B42" s="4" t="s">
        <v>669</v>
      </c>
      <c r="C42" t="s">
        <v>669</v>
      </c>
      <c r="D42" t="s">
        <v>669</v>
      </c>
      <c r="G42" s="1"/>
      <c r="H42" s="1"/>
      <c r="I42" s="1"/>
      <c r="J42" s="1"/>
      <c r="K42" s="1"/>
      <c r="L42" s="1"/>
      <c r="M42" s="1"/>
      <c r="N42" s="1"/>
      <c r="O42" s="1"/>
      <c r="P42" s="1"/>
      <c r="Q42" s="1"/>
      <c r="R42" s="1"/>
      <c r="V42" s="1"/>
      <c r="W42" s="2"/>
      <c r="X42" s="1"/>
      <c r="Y42" s="1"/>
      <c r="Z42" s="1"/>
      <c r="AA42" s="1"/>
      <c r="AB42" s="1"/>
      <c r="AC42" s="1"/>
    </row>
    <row r="43" spans="2:29" x14ac:dyDescent="0.25">
      <c r="B43" s="4" t="s">
        <v>670</v>
      </c>
      <c r="C43" t="s">
        <v>670</v>
      </c>
      <c r="D43" t="s">
        <v>670</v>
      </c>
      <c r="G43" s="1"/>
      <c r="H43" s="1"/>
      <c r="I43" s="1"/>
      <c r="J43" s="1"/>
      <c r="K43" s="1"/>
      <c r="L43" s="1"/>
      <c r="M43" s="1"/>
      <c r="N43" s="1"/>
      <c r="O43" s="1"/>
      <c r="P43" s="1"/>
      <c r="Q43" s="1"/>
      <c r="R43" s="1"/>
      <c r="V43" s="1"/>
      <c r="W43" s="2"/>
      <c r="X43" s="1"/>
      <c r="Y43" s="1"/>
      <c r="Z43" s="1"/>
      <c r="AA43" s="1"/>
      <c r="AB43" s="1"/>
      <c r="AC43" s="1"/>
    </row>
    <row r="44" spans="2:29" x14ac:dyDescent="0.25">
      <c r="B44" s="4" t="s">
        <v>671</v>
      </c>
      <c r="C44" t="s">
        <v>671</v>
      </c>
      <c r="D44" t="s">
        <v>671</v>
      </c>
      <c r="G44" s="1"/>
      <c r="H44" s="1"/>
      <c r="I44" s="1"/>
      <c r="J44" s="1"/>
      <c r="K44" s="1"/>
      <c r="L44" s="1"/>
      <c r="M44" s="1"/>
      <c r="N44" s="1"/>
      <c r="O44" s="1"/>
      <c r="P44" s="1"/>
      <c r="Q44" s="1"/>
      <c r="R44" s="1"/>
      <c r="V44" s="1"/>
      <c r="W44" s="2"/>
      <c r="X44" s="1"/>
      <c r="Y44" s="1"/>
      <c r="Z44" s="1"/>
      <c r="AA44" s="1"/>
      <c r="AB44" s="1"/>
      <c r="AC44" s="1"/>
    </row>
    <row r="45" spans="2:29" x14ac:dyDescent="0.25">
      <c r="B45" s="4" t="s">
        <v>672</v>
      </c>
      <c r="C45" t="s">
        <v>672</v>
      </c>
      <c r="D45" t="s">
        <v>672</v>
      </c>
      <c r="G45" s="1"/>
      <c r="H45" s="1"/>
      <c r="I45" s="1"/>
      <c r="J45" s="1"/>
      <c r="K45" s="1"/>
      <c r="L45" s="1"/>
      <c r="M45" s="1"/>
      <c r="N45" s="1"/>
      <c r="O45" s="1"/>
      <c r="P45" s="1"/>
      <c r="Q45" s="1"/>
      <c r="R45" s="1"/>
      <c r="V45" s="1"/>
      <c r="W45" s="2"/>
      <c r="X45" s="1"/>
      <c r="Y45" s="1"/>
      <c r="Z45" s="1"/>
      <c r="AA45" s="1"/>
      <c r="AB45" s="1"/>
      <c r="AC45" s="1"/>
    </row>
    <row r="46" spans="2:29" x14ac:dyDescent="0.25">
      <c r="B46" s="4" t="s">
        <v>673</v>
      </c>
      <c r="C46" t="s">
        <v>673</v>
      </c>
      <c r="D46" t="s">
        <v>673</v>
      </c>
      <c r="G46" s="1"/>
      <c r="H46" s="1"/>
      <c r="I46" s="1"/>
      <c r="J46" s="1"/>
      <c r="K46" s="1"/>
      <c r="L46" s="1"/>
      <c r="M46" s="1"/>
      <c r="N46" s="1"/>
      <c r="O46" s="1"/>
      <c r="P46" s="1"/>
      <c r="Q46" s="1"/>
      <c r="R46" s="1"/>
      <c r="V46" s="1"/>
      <c r="W46" s="2"/>
      <c r="X46" s="1"/>
      <c r="Y46" s="1"/>
      <c r="Z46" s="1"/>
      <c r="AA46" s="1"/>
      <c r="AB46" s="1"/>
      <c r="AC46" s="1"/>
    </row>
    <row r="47" spans="2:29" x14ac:dyDescent="0.25">
      <c r="B47" s="4" t="s">
        <v>674</v>
      </c>
      <c r="C47" t="s">
        <v>674</v>
      </c>
      <c r="D47" t="s">
        <v>674</v>
      </c>
      <c r="G47" s="1"/>
      <c r="H47" s="1"/>
      <c r="I47" s="1"/>
      <c r="J47" s="1"/>
      <c r="K47" s="1"/>
      <c r="L47" s="1"/>
      <c r="M47" s="1"/>
      <c r="N47" s="1"/>
      <c r="O47" s="1"/>
      <c r="P47" s="1"/>
      <c r="Q47" s="1"/>
      <c r="R47" s="1"/>
      <c r="V47" s="1"/>
      <c r="W47" s="2"/>
      <c r="X47" s="1"/>
      <c r="Y47" s="1"/>
      <c r="Z47" s="1"/>
      <c r="AA47" s="1"/>
      <c r="AB47" s="1"/>
      <c r="AC47" s="1"/>
    </row>
    <row r="48" spans="2:29" x14ac:dyDescent="0.25">
      <c r="B48" s="4" t="s">
        <v>675</v>
      </c>
      <c r="C48" t="s">
        <v>675</v>
      </c>
      <c r="D48" t="s">
        <v>675</v>
      </c>
      <c r="G48" s="1"/>
      <c r="H48" s="1"/>
      <c r="I48" s="1"/>
      <c r="J48" s="1"/>
      <c r="K48" s="1"/>
      <c r="L48" s="1"/>
      <c r="M48" s="1"/>
      <c r="N48" s="1"/>
      <c r="O48" s="1"/>
      <c r="P48" s="1"/>
      <c r="Q48" s="1"/>
      <c r="R48" s="1"/>
      <c r="V48" s="1"/>
      <c r="W48" s="2"/>
      <c r="X48" s="1"/>
      <c r="Y48" s="1"/>
      <c r="Z48" s="1"/>
      <c r="AA48" s="1"/>
      <c r="AB48" s="1"/>
      <c r="AC48" s="1"/>
    </row>
    <row r="49" spans="2:31" x14ac:dyDescent="0.25">
      <c r="B49" s="4" t="s">
        <v>676</v>
      </c>
      <c r="C49" t="s">
        <v>676</v>
      </c>
      <c r="D49" t="s">
        <v>676</v>
      </c>
      <c r="G49" s="1"/>
      <c r="H49" s="1"/>
      <c r="I49" s="1"/>
      <c r="J49" s="1"/>
      <c r="K49" s="1"/>
      <c r="L49" s="1"/>
      <c r="M49" s="1"/>
      <c r="N49" s="1"/>
      <c r="O49" s="1"/>
      <c r="P49" s="1"/>
      <c r="Q49" s="1"/>
      <c r="R49" s="1"/>
      <c r="V49" s="1"/>
      <c r="W49" s="2"/>
      <c r="X49" s="1"/>
      <c r="Y49" s="1"/>
      <c r="Z49" s="1"/>
      <c r="AA49" s="1"/>
      <c r="AB49" s="1"/>
      <c r="AC49" s="1"/>
    </row>
    <row r="50" spans="2:31" x14ac:dyDescent="0.25">
      <c r="B50" s="4" t="s">
        <v>677</v>
      </c>
      <c r="C50" t="s">
        <v>677</v>
      </c>
      <c r="D50" t="s">
        <v>677</v>
      </c>
      <c r="G50" s="1"/>
      <c r="H50" s="1"/>
      <c r="I50" s="1"/>
      <c r="J50" s="1"/>
      <c r="K50" s="1"/>
      <c r="L50" s="1"/>
      <c r="M50" s="1"/>
      <c r="N50" s="1"/>
      <c r="O50" s="1"/>
      <c r="P50" s="1"/>
      <c r="Q50" s="1"/>
      <c r="R50" s="1"/>
      <c r="V50" s="1"/>
      <c r="W50" s="2"/>
      <c r="X50" s="1"/>
      <c r="Y50" s="1"/>
      <c r="Z50" s="1"/>
      <c r="AA50" s="1"/>
      <c r="AB50" s="1"/>
      <c r="AC50" s="1"/>
    </row>
    <row r="51" spans="2:31" x14ac:dyDescent="0.25">
      <c r="B51" s="4" t="s">
        <v>678</v>
      </c>
      <c r="C51" t="s">
        <v>678</v>
      </c>
      <c r="D51" t="s">
        <v>678</v>
      </c>
      <c r="G51" s="1"/>
      <c r="H51" s="1"/>
      <c r="I51" s="1"/>
      <c r="J51" s="1"/>
      <c r="K51" s="1"/>
      <c r="L51" s="1"/>
      <c r="M51" s="1"/>
      <c r="N51" s="1"/>
      <c r="O51" s="1"/>
      <c r="P51" s="1"/>
      <c r="Q51" s="1"/>
      <c r="R51" s="1"/>
      <c r="V51" s="1"/>
      <c r="W51" s="2"/>
      <c r="X51" s="1"/>
      <c r="Y51" s="1"/>
      <c r="Z51" s="1"/>
      <c r="AA51" s="1"/>
      <c r="AB51" s="1"/>
      <c r="AC51" s="1"/>
    </row>
    <row r="52" spans="2:31" x14ac:dyDescent="0.25">
      <c r="B52" s="4" t="s">
        <v>679</v>
      </c>
      <c r="C52" t="s">
        <v>679</v>
      </c>
      <c r="D52" t="s">
        <v>679</v>
      </c>
      <c r="G52" s="1"/>
      <c r="H52" s="1"/>
      <c r="I52" s="1"/>
      <c r="J52" s="1"/>
      <c r="K52" s="1"/>
      <c r="L52" s="1"/>
      <c r="M52" s="1"/>
      <c r="N52" s="1"/>
      <c r="O52" s="1"/>
      <c r="P52" s="1"/>
      <c r="Q52" s="1"/>
      <c r="R52" s="1"/>
      <c r="V52" s="1"/>
      <c r="W52" s="2"/>
      <c r="X52" s="1"/>
      <c r="Y52" s="1"/>
      <c r="Z52" s="1"/>
      <c r="AA52" s="1"/>
      <c r="AB52" s="1"/>
      <c r="AC52" s="1"/>
    </row>
    <row r="53" spans="2:31" x14ac:dyDescent="0.25">
      <c r="B53" s="4" t="s">
        <v>117</v>
      </c>
      <c r="C53" t="s">
        <v>117</v>
      </c>
      <c r="D53" t="s">
        <v>117</v>
      </c>
      <c r="G53" s="1"/>
      <c r="H53" s="1"/>
      <c r="I53" s="1"/>
      <c r="J53" s="1"/>
      <c r="K53" s="1"/>
      <c r="L53" s="1"/>
      <c r="M53" s="1"/>
      <c r="N53" s="1"/>
      <c r="O53" s="1"/>
      <c r="P53" s="1"/>
      <c r="Q53" s="1"/>
      <c r="R53" s="1"/>
      <c r="V53" s="1"/>
      <c r="W53" s="2"/>
      <c r="X53" s="1"/>
      <c r="Y53" s="1"/>
      <c r="Z53" s="1"/>
      <c r="AA53" s="1"/>
      <c r="AB53" s="1"/>
      <c r="AC53" s="1"/>
    </row>
    <row r="54" spans="2:31" x14ac:dyDescent="0.25">
      <c r="B54" s="4" t="s">
        <v>117</v>
      </c>
      <c r="C54" t="s">
        <v>117</v>
      </c>
      <c r="D54" t="s">
        <v>117</v>
      </c>
      <c r="G54" s="1"/>
      <c r="H54" s="1"/>
      <c r="I54" s="1"/>
      <c r="J54" s="1"/>
      <c r="K54" s="1"/>
      <c r="L54" s="1"/>
      <c r="M54" s="1"/>
      <c r="N54" s="1"/>
      <c r="O54" s="1"/>
      <c r="P54" s="1"/>
      <c r="Q54" s="1"/>
      <c r="R54" s="1"/>
      <c r="V54" s="1"/>
      <c r="W54" s="2"/>
      <c r="X54" s="1"/>
      <c r="Y54" s="1"/>
      <c r="Z54" s="1"/>
      <c r="AA54" s="1"/>
      <c r="AB54" s="1"/>
      <c r="AC54" s="1"/>
    </row>
    <row r="55" spans="2:31" x14ac:dyDescent="0.25">
      <c r="B55" s="5"/>
      <c r="G55" s="1"/>
      <c r="H55" s="1"/>
      <c r="I55" s="1"/>
      <c r="J55" s="1"/>
      <c r="K55" s="1"/>
      <c r="L55" s="1"/>
      <c r="M55" s="1"/>
      <c r="N55" s="1"/>
      <c r="O55" s="1"/>
      <c r="P55" s="1"/>
      <c r="Q55" s="1"/>
      <c r="R55" s="1"/>
      <c r="V55" s="1"/>
      <c r="W55" s="2"/>
      <c r="X55" s="1"/>
      <c r="Y55" s="1"/>
      <c r="Z55" s="1"/>
      <c r="AA55" s="1"/>
      <c r="AB55" s="1"/>
      <c r="AC55" s="1"/>
    </row>
    <row r="56" spans="2:31" x14ac:dyDescent="0.25">
      <c r="B56" s="5"/>
      <c r="G56" s="1"/>
      <c r="H56" s="1"/>
      <c r="I56" s="1"/>
      <c r="J56" s="1"/>
      <c r="K56" s="1"/>
      <c r="L56" s="1"/>
      <c r="M56" s="1"/>
      <c r="N56" s="1"/>
      <c r="O56" s="1"/>
      <c r="P56" s="1"/>
      <c r="Q56" s="1"/>
      <c r="R56" s="1"/>
      <c r="V56" s="1"/>
      <c r="W56" s="2"/>
      <c r="X56" s="1"/>
      <c r="Y56" s="1"/>
      <c r="Z56" s="1"/>
      <c r="AA56" s="1"/>
      <c r="AB56" s="1"/>
      <c r="AC56" s="1"/>
    </row>
    <row r="57" spans="2:31" x14ac:dyDescent="0.25">
      <c r="B57" s="4" t="s">
        <v>680</v>
      </c>
      <c r="C57" t="s">
        <v>680</v>
      </c>
      <c r="D57" t="s">
        <v>680</v>
      </c>
      <c r="E57" s="1" t="s">
        <v>680</v>
      </c>
      <c r="F57" s="2" t="s">
        <v>680</v>
      </c>
      <c r="G57" s="1" t="s">
        <v>680</v>
      </c>
      <c r="H57" s="1" t="s">
        <v>680</v>
      </c>
      <c r="I57" s="1" t="s">
        <v>680</v>
      </c>
      <c r="J57" s="1" t="s">
        <v>680</v>
      </c>
      <c r="K57" s="1" t="s">
        <v>680</v>
      </c>
      <c r="L57" s="1" t="s">
        <v>680</v>
      </c>
      <c r="M57" s="1" t="s">
        <v>680</v>
      </c>
      <c r="N57" s="1" t="s">
        <v>680</v>
      </c>
      <c r="O57" s="1" t="s">
        <v>680</v>
      </c>
      <c r="P57" s="1" t="s">
        <v>680</v>
      </c>
      <c r="Q57" s="1" t="s">
        <v>680</v>
      </c>
      <c r="R57" s="1" t="s">
        <v>680</v>
      </c>
      <c r="S57" t="s">
        <v>680</v>
      </c>
      <c r="T57" t="s">
        <v>680</v>
      </c>
      <c r="U57" t="s">
        <v>680</v>
      </c>
      <c r="V57" s="1" t="s">
        <v>680</v>
      </c>
      <c r="W57" s="2" t="s">
        <v>680</v>
      </c>
      <c r="X57" s="1" t="s">
        <v>680</v>
      </c>
      <c r="Y57" s="1" t="s">
        <v>680</v>
      </c>
      <c r="Z57" s="1" t="s">
        <v>680</v>
      </c>
      <c r="AA57" s="1" t="s">
        <v>680</v>
      </c>
      <c r="AB57" s="1" t="s">
        <v>680</v>
      </c>
      <c r="AC57" s="1" t="s">
        <v>680</v>
      </c>
      <c r="AD57" t="s">
        <v>680</v>
      </c>
      <c r="AE57" t="s">
        <v>680</v>
      </c>
    </row>
    <row r="58" spans="2:31" x14ac:dyDescent="0.25">
      <c r="B58" s="4" t="s">
        <v>642</v>
      </c>
      <c r="C58" t="s">
        <v>642</v>
      </c>
      <c r="D58" t="s">
        <v>642</v>
      </c>
      <c r="E58" s="1" t="s">
        <v>642</v>
      </c>
      <c r="F58" s="2" t="s">
        <v>642</v>
      </c>
      <c r="G58" s="1" t="s">
        <v>642</v>
      </c>
      <c r="H58" s="1" t="s">
        <v>642</v>
      </c>
      <c r="I58" s="1" t="s">
        <v>642</v>
      </c>
      <c r="J58" s="1" t="s">
        <v>642</v>
      </c>
      <c r="K58" s="1" t="s">
        <v>642</v>
      </c>
      <c r="L58" s="1" t="s">
        <v>642</v>
      </c>
      <c r="M58" s="1" t="s">
        <v>642</v>
      </c>
      <c r="N58" s="1" t="s">
        <v>642</v>
      </c>
      <c r="O58" s="1" t="s">
        <v>642</v>
      </c>
      <c r="P58" s="1" t="s">
        <v>642</v>
      </c>
      <c r="Q58" s="1" t="s">
        <v>642</v>
      </c>
      <c r="R58" s="1" t="s">
        <v>642</v>
      </c>
      <c r="S58" t="s">
        <v>642</v>
      </c>
      <c r="T58" t="s">
        <v>642</v>
      </c>
      <c r="U58" t="s">
        <v>642</v>
      </c>
      <c r="V58" s="1" t="s">
        <v>642</v>
      </c>
      <c r="W58" s="2" t="s">
        <v>642</v>
      </c>
      <c r="X58" s="1" t="s">
        <v>642</v>
      </c>
      <c r="Y58" s="1" t="s">
        <v>642</v>
      </c>
      <c r="Z58" s="1" t="s">
        <v>642</v>
      </c>
      <c r="AA58" s="1" t="s">
        <v>642</v>
      </c>
      <c r="AB58" s="1" t="s">
        <v>642</v>
      </c>
      <c r="AC58" s="1" t="s">
        <v>642</v>
      </c>
      <c r="AD58" t="s">
        <v>642</v>
      </c>
      <c r="AE58" t="s">
        <v>642</v>
      </c>
    </row>
    <row r="59" spans="2:31" x14ac:dyDescent="0.25">
      <c r="B59" s="4" t="s">
        <v>681</v>
      </c>
      <c r="C59" t="s">
        <v>681</v>
      </c>
      <c r="D59" t="s">
        <v>681</v>
      </c>
      <c r="E59" s="1" t="s">
        <v>681</v>
      </c>
      <c r="F59" s="2" t="s">
        <v>681</v>
      </c>
      <c r="G59" s="1" t="s">
        <v>681</v>
      </c>
      <c r="H59" s="1" t="s">
        <v>681</v>
      </c>
      <c r="I59" s="1" t="s">
        <v>681</v>
      </c>
      <c r="J59" s="1" t="s">
        <v>681</v>
      </c>
      <c r="K59" s="1" t="s">
        <v>681</v>
      </c>
      <c r="L59" s="1" t="s">
        <v>681</v>
      </c>
      <c r="M59" s="1" t="s">
        <v>681</v>
      </c>
      <c r="N59" s="1" t="s">
        <v>681</v>
      </c>
      <c r="O59" s="1" t="s">
        <v>681</v>
      </c>
      <c r="P59" s="1" t="s">
        <v>681</v>
      </c>
      <c r="Q59" s="1" t="s">
        <v>681</v>
      </c>
      <c r="R59" s="1" t="s">
        <v>681</v>
      </c>
      <c r="S59" t="s">
        <v>681</v>
      </c>
      <c r="T59" t="s">
        <v>681</v>
      </c>
      <c r="U59" t="s">
        <v>681</v>
      </c>
      <c r="V59" s="1" t="s">
        <v>681</v>
      </c>
      <c r="W59" s="2" t="s">
        <v>681</v>
      </c>
      <c r="X59" s="1" t="s">
        <v>681</v>
      </c>
      <c r="Y59" s="1" t="s">
        <v>681</v>
      </c>
      <c r="Z59" s="1" t="s">
        <v>681</v>
      </c>
      <c r="AA59" s="1" t="s">
        <v>681</v>
      </c>
      <c r="AB59" s="1" t="s">
        <v>681</v>
      </c>
      <c r="AC59" s="1" t="s">
        <v>681</v>
      </c>
      <c r="AD59" t="s">
        <v>681</v>
      </c>
      <c r="AE59" t="s">
        <v>681</v>
      </c>
    </row>
    <row r="60" spans="2:31" x14ac:dyDescent="0.25">
      <c r="B60" s="5"/>
      <c r="G60" s="1"/>
      <c r="H60" s="1"/>
      <c r="I60" s="1"/>
      <c r="J60" s="1"/>
      <c r="K60" s="1"/>
      <c r="L60" s="1"/>
      <c r="M60" s="1"/>
      <c r="N60" s="1"/>
      <c r="O60" s="1"/>
      <c r="P60" s="1"/>
      <c r="Q60" s="1"/>
      <c r="R60" s="1"/>
      <c r="V60" s="1"/>
      <c r="W60" s="2"/>
      <c r="X60" s="1"/>
      <c r="Y60" s="1"/>
      <c r="Z60" s="1"/>
      <c r="AA60" s="1"/>
      <c r="AB60" s="1"/>
      <c r="AC60" s="1"/>
    </row>
    <row r="61" spans="2:31" x14ac:dyDescent="0.25">
      <c r="B61" s="4" t="s">
        <v>682</v>
      </c>
      <c r="C61" t="str">
        <f>"&lt;h1&gt;"&amp;C4&amp;"&lt;/h1&gt;"</f>
        <v>&lt;h1&gt;„Aus Liebe sterben, das ist meine Hoffnung“&lt;/h1&gt;</v>
      </c>
      <c r="D61" t="str">
        <f>"&lt;h1&gt;"&amp;D4&amp;"&lt;/h1&gt;"</f>
        <v>&lt;h1&gt;„Kind sein vor Gott“&lt;/h1&gt;</v>
      </c>
      <c r="E61" s="1" t="str">
        <f>"&lt;h1&gt;"&amp;E4&amp;"&lt;/h1&gt;"</f>
        <v>&lt;h1&gt;Durch das Kreuz zum Licht&lt;/h1&gt;</v>
      </c>
      <c r="F61" s="2" t="str">
        <f>"&lt;h1&gt;"&amp;F4&amp;"&lt;/h1&gt;"</f>
        <v>&lt;h1&gt;Leben in der Göttlichen Freude&lt;/h1&gt;</v>
      </c>
      <c r="G61" s="1" t="str">
        <f>"&lt;h1&gt;"&amp;G4&amp;"&lt;/h1&gt;"</f>
        <v>&lt;h1&gt;Das Gebet - ein Weg, unsere Berufung als Kind Gottes zu leben&lt;/h1&gt;</v>
      </c>
      <c r="H61" s="1" t="str">
        <f>"&lt;h1&gt;"&amp;H4&amp;"&lt;/h1&gt;"</f>
        <v>&lt;h1&gt;Die Gegenwart Gottes in unserem Leben erfahren&lt;/h1&gt;</v>
      </c>
      <c r="I61" s="1" t="str">
        <f>"&lt;h1&gt;"&amp;I4&amp;"&lt;/h1&gt;"</f>
        <v>&lt;h1&gt;Die Barmherzigkeit Gottes leben&lt;/h1&gt;</v>
      </c>
      <c r="J61" s="1" t="str">
        <f>"&lt;h1&gt;"&amp;J4&amp;"&lt;/h1&gt;"</f>
        <v>&lt;h1&gt;"Die Kindschaft der Seele" Unser Morgenrot Wecken&lt;/h1&gt;</v>
      </c>
      <c r="K61" s="1" t="str">
        <f>"&lt;h1&gt;"&amp;K4&amp;"&lt;/h1&gt;"</f>
        <v>&lt;h1&gt;Tretet ein in die Burg Eurer Seele...&lt;/h1&gt;</v>
      </c>
      <c r="L61" s="1" t="str">
        <f>"&lt;h1&gt;"&amp;L4&amp;"&lt;/h1&gt;"</f>
        <v>&lt;h1&gt;Glauben an das Unmögliche&lt;/h1&gt;</v>
      </c>
      <c r="M61" s="1" t="str">
        <f>"&lt;h1&gt;"&amp;M4&amp;"&lt;/h1&gt;"</f>
        <v>&lt;h1&gt;die Liebe wagen...&lt;/h1&gt;</v>
      </c>
      <c r="N61" s="1" t="str">
        <f>"&lt;h1&gt;"&amp;N4&amp;"&lt;/h1&gt;"</f>
        <v>&lt;h1&gt;Am Gnadenleben Mariens teilhaben&lt;/h1&gt;</v>
      </c>
      <c r="O61" s="1" t="str">
        <f>"&lt;h1&gt;"&amp;O4&amp;"&lt;/h1&gt;"</f>
        <v>&lt;h1&gt;Der Auferstehung entgegen mit Edith Stein Hl. Teresa-Benedicta vom Kreuz&lt;/h1&gt;</v>
      </c>
      <c r="P61" s="1" t="str">
        <f>"&lt;h1&gt;"&amp;P4&amp;"&lt;/h1&gt;"</f>
        <v>&lt;h1&gt;Den Weg des Herrn vorbereiten&lt;/h1&gt;</v>
      </c>
      <c r="Q61" s="1" t="str">
        <f>"&lt;h1&gt;"&amp;Q4&amp;"&lt;/h1&gt;"</f>
        <v>&lt;h1&gt;Sich von Gott formen lassen&lt;/h1&gt;</v>
      </c>
      <c r="R61" s="1" t="str">
        <f>"&lt;h1&gt;"&amp;R4&amp;"&lt;/h1&gt;"</f>
        <v>&lt;h1&gt;Ite ad Joseph&lt;/h1&gt;</v>
      </c>
      <c r="S61" t="str">
        <f>"&lt;h1&gt;"&amp;S4&amp;"&lt;/h1&gt;"</f>
        <v>&lt;h1&gt;Sich auf Ostern vorbereiten mit Elisabeth von der Dreifaltigkeit&lt;/h1&gt;</v>
      </c>
      <c r="T61" t="str">
        <f>"&lt;h1&gt;"&amp;T4&amp;"&lt;/h1&gt;"</f>
        <v>&lt;h1&gt;0&lt;/h1&gt;</v>
      </c>
      <c r="U61" t="str">
        <f>"&lt;h1&gt;"&amp;U4&amp;"&lt;/h1&gt;"</f>
        <v>&lt;h1&gt;Vor dem Angesicht Gottes stehen&lt;/h1&gt;</v>
      </c>
      <c r="V61" s="1" t="str">
        <f>"&lt;h1&gt;"&amp;V4&amp;"&lt;/h1&gt;"</f>
        <v>&lt;h1&gt;Mit Louis und Zélie Martin – Eltern der hl. Thérèse von Lisieux&lt;/h1&gt;</v>
      </c>
      <c r="W61" s="2" t="str">
        <f>"&lt;h1&gt;"&amp;W4&amp;"&lt;/h1&gt;"</f>
        <v>&lt;h1&gt;Auf dem Weg der Umkehr mit der hl. Teresa von Avila&lt;/h1&gt;</v>
      </c>
      <c r="X61" s="1" t="str">
        <f>"&lt;h1&gt;"&amp;X4&amp;"&lt;/h1&gt;"</f>
        <v>&lt;h1&gt;Ich will Gott ausstrahlen...&lt;/h1&gt;</v>
      </c>
      <c r="Y61" s="1" t="str">
        <f>"&lt;h1&gt;"&amp;Y4&amp;"&lt;/h1&gt;"</f>
        <v>&lt;h1&gt;Der Auferstehung entgegen mit Edith Stein Hl. Teresa-Benedicta vom Kreuz&lt;/h1&gt;</v>
      </c>
      <c r="Z61" s="1" t="str">
        <f>"&lt;h1&gt;"&amp;Z4&amp;"&lt;/h1&gt;"</f>
        <v>&lt;h1&gt;Gott ward ein Menschenkind, damit die Menschen Gotteskinder werden. (Hl. Edith Stein)&lt;/h1&gt;</v>
      </c>
      <c r="AA61" s="1" t="str">
        <f>"&lt;h1&gt;"&amp;AA4&amp;"&lt;/h1&gt;"</f>
        <v>&lt;h1&gt;Der Auferstehung entgegen mit Edith Stein Hl. Teresa-Benedicta vom Kreuz&lt;/h1&gt;</v>
      </c>
      <c r="AB61" s="1" t="str">
        <f>"&lt;h1&gt;"&amp;AB4&amp;"&lt;/h1&gt;"</f>
        <v>&lt;h1&gt;0&lt;/h1&gt;</v>
      </c>
      <c r="AC61" s="1" t="str">
        <f>"&lt;h1&gt;"&amp;AC4&amp;"&lt;/h1&gt;"</f>
        <v>&lt;h1&gt;Mit der heiligen Teresa-Benedicta vom Kreuz (Edith Stein)&lt;/h1&gt;</v>
      </c>
      <c r="AD61" t="str">
        <f>"&lt;h1&gt;"&amp;AD4&amp;"&lt;/h1&gt;"</f>
        <v>&lt;h1&gt;0&lt;/h1&gt;</v>
      </c>
      <c r="AE61" t="str">
        <f>"&lt;h1&gt;"&amp;AE4&amp;"&lt;/h1&gt;"</f>
        <v>&lt;h1&gt;0&lt;/h1&gt;</v>
      </c>
    </row>
    <row r="62" spans="2:31" x14ac:dyDescent="0.25">
      <c r="B62" s="4" t="s">
        <v>683</v>
      </c>
      <c r="C62" t="str">
        <f>"&lt;h2&gt;"&amp;C3&amp;"&lt;/h2&gt;"</f>
        <v>&lt;h2&gt;Fastenzeit 2025 mit Thérèse von Lisieux und das Östergeheimnis&lt;/h2&gt;</v>
      </c>
      <c r="D62" t="str">
        <f>"&lt;h2&gt;"&amp;D3&amp;"&lt;/h2&gt;"</f>
        <v>&lt;h2&gt;Advent 2024 mit der Hl. Thérèse vom Kind Jesu&lt;/h2&gt;</v>
      </c>
      <c r="E62" s="1" t="str">
        <f>"&lt;h2&gt;"&amp;E3&amp;"&lt;/h2&gt;"</f>
        <v>&lt;h2&gt;Fastenzeit 2024 mit Pater Jacuqes von Jesus (1900-1945)&lt;/h2&gt;</v>
      </c>
      <c r="F62" s="2" t="str">
        <f>"&lt;h2&gt;"&amp;F3&amp;"&lt;/h2&gt;"</f>
        <v>&lt;h2&gt;Advent 2023 mit der heiligen Teresa de Los Andes (1900-1920)&lt;/h2&gt;</v>
      </c>
      <c r="G62" s="1" t="str">
        <f>"&lt;h2&gt;"&amp;G3&amp;"&lt;/h2&gt;"</f>
        <v>&lt;h2&gt;Fastenzeit 2023: Das Gebet&lt;/h2&gt;</v>
      </c>
      <c r="H62" s="1" t="str">
        <f>"&lt;h2&gt;"&amp;H3&amp;"&lt;/h2&gt;"</f>
        <v>&lt;h2&gt;Advent 2022 in der Schule der Heiligen des Karmel&lt;/h2&gt;</v>
      </c>
      <c r="I62" s="1" t="str">
        <f>"&lt;h2&gt;"&amp;I3&amp;"&lt;/h2&gt;"</f>
        <v>&lt;h2&gt;Fastenzeit 2022: Gottes Barmherzigkeit leben mit den Heiligen des Karmel&lt;/h2&gt;</v>
      </c>
      <c r="J62" s="1" t="str">
        <f>"&lt;h2&gt;"&amp;J3&amp;"&lt;/h2&gt;"</f>
        <v>&lt;h2&gt;Advent 2021 mit der hl. Thérèse von Lisieux und Maria Montessori&lt;/h2&gt;</v>
      </c>
      <c r="K62" s="1" t="str">
        <f>"&lt;h2&gt;"&amp;K3&amp;"&lt;/h2&gt;"</f>
        <v>&lt;h2&gt;Fastenzeit 2021 mit der Heilige Teresa von Ávila&lt;/h2&gt;</v>
      </c>
      <c r="L62" s="1" t="str">
        <f>"&lt;h2&gt;"&amp;L3&amp;"&lt;/h2&gt;"</f>
        <v>&lt;h2&gt;Advent 2020 mit der "Schönen Acarie" (1566-1618)&lt;/h2&gt;</v>
      </c>
      <c r="M62" s="1" t="str">
        <f>"&lt;h2&gt;"&amp;M3&amp;"&lt;/h2&gt;"</f>
        <v>&lt;h2&gt;Fastenzeit 2020 mit dem Hl. Johannes vom Kreuz&lt;/h2&gt;</v>
      </c>
      <c r="N62" s="1" t="str">
        <f>"&lt;h2&gt;"&amp;N3&amp;"&lt;/h2&gt;"</f>
        <v>&lt;h2&gt;Advent 2019 mit Unserer Lieben Frau vom Berge Karmel&lt;/h2&gt;</v>
      </c>
      <c r="O62" s="1" t="str">
        <f>"&lt;h2&gt;"&amp;O3&amp;"&lt;/h2&gt;"</f>
        <v>&lt;h2&gt;Fastenzeit 2019 mit Edith Stein Hl. Teresa-Benedicta vom Kreuz&lt;/h2&gt;</v>
      </c>
      <c r="P62" s="1" t="str">
        <f>"&lt;h2&gt;"&amp;P3&amp;"&lt;/h2&gt;"</f>
        <v>&lt;h2&gt;Advent 2018 mit Unserer Lieben Frau vom Berge Karmel&lt;/h2&gt;</v>
      </c>
      <c r="Q62" s="1" t="str">
        <f>"&lt;h2&gt;"&amp;Q3&amp;"&lt;/h2&gt;"</f>
        <v>&lt;h2&gt;Fastenzeit 2018 mit Br. Lorenz von der Auferstehung&lt;/h2&gt;</v>
      </c>
      <c r="R62" s="1" t="str">
        <f>"&lt;h2&gt;"&amp;R3&amp;"&lt;/h2&gt;"</f>
        <v>&lt;h2&gt;Advent 2017 mit dem hl. Josef&lt;/h2&gt;</v>
      </c>
      <c r="S62" t="str">
        <f>"&lt;h2&gt;"&amp;S3&amp;"&lt;/h2&gt;"</f>
        <v>&lt;h2&gt;KarmelExerzitien Online in der Fastenzeit 2017&lt;/h2&gt;</v>
      </c>
      <c r="T62" t="str">
        <f>"&lt;h2&gt;"&amp;T3&amp;"&lt;/h2&gt;"</f>
        <v>&lt;h2&gt;Advent 2016 mit dem Sel. Maria-Eugen vom Kinde Jesus OCD&lt;/h2&gt;</v>
      </c>
      <c r="U62" t="str">
        <f>"&lt;h2&gt;"&amp;U3&amp;"&lt;/h2&gt;"</f>
        <v>&lt;h2&gt;Fastenzeit 2016 mit dem heiligen Elija&lt;/h2&gt;</v>
      </c>
      <c r="V62" s="1" t="str">
        <f>"&lt;h2&gt;"&amp;V3&amp;"&lt;/h2&gt;"</f>
        <v>&lt;h2&gt;Advent 2015&lt;/h2&gt;</v>
      </c>
      <c r="W62" s="2" t="str">
        <f>"&lt;h2&gt;"&amp;W3&amp;"&lt;/h2&gt;"</f>
        <v>&lt;h2&gt;Fastenzeit 2015 mit Teresa von Avila&lt;/h2&gt;</v>
      </c>
      <c r="X62" s="1" t="str">
        <f>"&lt;h2&gt;"&amp;X3&amp;"&lt;/h2&gt;"</f>
        <v>&lt;h2&gt;Licht in der Finsternis werden mit dem Karmeliten P. Jacques von Jesus OCD (1900-1945)&lt;/h2&gt;</v>
      </c>
      <c r="Y62" s="1" t="str">
        <f>"&lt;h2&gt;"&amp;Y3&amp;"&lt;/h2&gt;"</f>
        <v>&lt;h2&gt;Fastenzeit 2014&lt;/h2&gt;</v>
      </c>
      <c r="Z62" s="1" t="str">
        <f>"&lt;h2&gt;"&amp;Z3&amp;"&lt;/h2&gt;"</f>
        <v>&lt;h2&gt;Advent 2013: Vorbereitung auf Weihnachten mit Edith Stein&lt;/h2&gt;</v>
      </c>
      <c r="AA62" s="1" t="str">
        <f>"&lt;h2&gt;"&amp;AA3&amp;"&lt;/h2&gt;"</f>
        <v>&lt;h2&gt;Fastenzeit 2013 mit der Hl. Edith Stein&lt;/h2&gt;</v>
      </c>
      <c r="AB62" s="1" t="str">
        <f>"&lt;h2&gt;"&amp;AB3&amp;"&lt;/h2&gt;"</f>
        <v>&lt;h2&gt;0&lt;/h2&gt;</v>
      </c>
      <c r="AC62" s="1" t="str">
        <f>"&lt;h2&gt;"&amp;AC3&amp;"&lt;/h2&gt;"</f>
        <v>&lt;h2&gt;Fastenzeit 2012 mit der Hl. Edith Stein&lt;/h2&gt;</v>
      </c>
      <c r="AD62" t="str">
        <f>"&lt;h2&gt;"&amp;AD3&amp;"&lt;/h2&gt;"</f>
        <v>&lt;h2&gt;0&lt;/h2&gt;</v>
      </c>
      <c r="AE62" t="str">
        <f>"&lt;h2&gt;"&amp;AE3&amp;"&lt;/h2&gt;"</f>
        <v>&lt;h2&gt;0&lt;/h2&gt;</v>
      </c>
    </row>
    <row r="63" spans="2:31" x14ac:dyDescent="0.25">
      <c r="B63" s="3" t="s">
        <v>98</v>
      </c>
      <c r="C63" t="str">
        <f>"&lt;h3&gt;Vom "&amp;TEXT(C8,"t. MMMM")&amp;" bis "&amp;TEXT(C9,"t. MMMM JJJJ")&amp;"&lt;/h3&gt;"</f>
        <v>&lt;h3&gt;Vom 5. März bis 27. April 2025&lt;/h3&gt;</v>
      </c>
      <c r="D63" t="str">
        <f>"&lt;h3&gt;Vom "&amp;TEXT(D8,"t. MMMM")&amp;" bis "&amp;TEXT(D9,"t. MMMM JJJJ")&amp;"&lt;/h3&gt;"</f>
        <v>&lt;h3&gt;Vom 27. November bis 5. Jänner 2025&lt;/h3&gt;</v>
      </c>
      <c r="E63" s="1" t="str">
        <f>"&lt;h3&gt;Vom "&amp;TEXT(E8,"t. MMMM JJJJ")&amp;" bis "&amp;TEXT(E9,"t. MMMM JJJJ")&amp;"&lt;/h3&gt;"</f>
        <v>&lt;h3&gt;Vom 14. Februar 2024 bis 7. April 2024&lt;/h3&gt;</v>
      </c>
      <c r="F63" s="2" t="str">
        <f t="shared" ref="F63:I63" si="0">"&lt;h3&gt;Vom "&amp;TEXT(F8,"t. MMMM JJJJ")&amp;" bis "&amp;TEXT(F9,"t. MMMM JJJJ")&amp;"&lt;/h3&gt;"</f>
        <v>&lt;h3&gt;Vom 29. November 2023 bis 25. Dezember 2023&lt;/h3&gt;</v>
      </c>
      <c r="G63" s="1" t="str">
        <f t="shared" si="0"/>
        <v>&lt;h3&gt;Vom 22. Februar 2023 bis 16. April 2023&lt;/h3&gt;</v>
      </c>
      <c r="H63" s="1" t="str">
        <f t="shared" si="0"/>
        <v>&lt;h3&gt;Vom 23. November 2022 bis 1. Jänner 2023&lt;/h3&gt;</v>
      </c>
      <c r="I63" s="1" t="str">
        <f t="shared" si="0"/>
        <v>&lt;h3&gt;Vom 2. März 2022 bis 24. April 2022&lt;/h3&gt;</v>
      </c>
      <c r="J63" s="1" t="str">
        <f t="shared" ref="J63:U63" si="1">"&lt;h3&gt;Vom "&amp;TEXT(J8,"t. MMMM JJJJ")&amp;" bis "&amp;TEXT(J9,"t. MMMM JJJJ")&amp;"&lt;/h3&gt;"</f>
        <v>&lt;h3&gt;Vom 26. November 2021 bis 2. Jänner 2022&lt;/h3&gt;</v>
      </c>
      <c r="K63" s="1" t="str">
        <f t="shared" si="1"/>
        <v>&lt;h3&gt;Vom 0. Jänner 1900 bis 0. Jänner 1900&lt;/h3&gt;</v>
      </c>
      <c r="L63" s="1" t="str">
        <f t="shared" si="1"/>
        <v>&lt;h3&gt;Vom 0. Jänner 1900 bis 0. Jänner 1900&lt;/h3&gt;</v>
      </c>
      <c r="M63" s="1" t="str">
        <f t="shared" si="1"/>
        <v>&lt;h3&gt;Vom 0. Jänner 1900 bis 0. Jänner 1900&lt;/h3&gt;</v>
      </c>
      <c r="N63" s="1" t="str">
        <f t="shared" si="1"/>
        <v>&lt;h3&gt;Vom 0. Jänner 1900 bis 0. Jänner 1900&lt;/h3&gt;</v>
      </c>
      <c r="O63" s="1" t="str">
        <f t="shared" si="1"/>
        <v>&lt;h3&gt;Vom 0. Jänner 1900 bis 0. Jänner 1900&lt;/h3&gt;</v>
      </c>
      <c r="P63" s="1" t="str">
        <f t="shared" si="1"/>
        <v>&lt;h3&gt;Vom 0. Jänner 1900 bis 0. Jänner 1900&lt;/h3&gt;</v>
      </c>
      <c r="Q63" s="1" t="str">
        <f t="shared" si="1"/>
        <v>&lt;h3&gt;Vom 0. Jänner 1900 bis 0. Jänner 1900&lt;/h3&gt;</v>
      </c>
      <c r="R63" s="1" t="str">
        <f t="shared" si="1"/>
        <v>&lt;h3&gt;Vom 0. Jänner 1900 bis 0. Jänner 1900&lt;/h3&gt;</v>
      </c>
      <c r="S63" t="str">
        <f t="shared" si="1"/>
        <v>&lt;h3&gt;Vom 0. Jänner 1900 bis 0. Jänner 1900&lt;/h3&gt;</v>
      </c>
      <c r="T63" t="str">
        <f t="shared" si="1"/>
        <v>&lt;h3&gt;Vom 0. Jänner 1900 bis 0. Jänner 1900&lt;/h3&gt;</v>
      </c>
      <c r="U63" t="str">
        <f t="shared" si="1"/>
        <v>&lt;h3&gt;Vom 0. Jänner 1900 bis 0. Jänner 1900&lt;/h3&gt;</v>
      </c>
      <c r="V63" s="1" t="str">
        <f>"&lt;h3&gt;Vom "&amp;TEXT(V8,"t. MMMM JJJJ")&amp;" bis "&amp;TEXT(V9,"t. MMMM JJJJ")&amp;"&lt;/h3&gt;"</f>
        <v>&lt;h3&gt;Vom 0. Jänner 1900 bis 0. Jänner 1900&lt;/h3&gt;</v>
      </c>
      <c r="W63" s="2" t="str">
        <f t="shared" ref="W63:AC63" si="2">"&lt;h3&gt;Vom "&amp;TEXT(W8,"t. MMMM JJJJ")&amp;" bis "&amp;TEXT(W9,"t. MMMM JJJJ")&amp;"&lt;/h3&gt;"</f>
        <v>&lt;h3&gt;Vom 0. Jänner 1900 bis 0. Jänner 1900&lt;/h3&gt;</v>
      </c>
      <c r="X63" s="1" t="str">
        <f t="shared" si="2"/>
        <v>&lt;h3&gt;Vom 0. Jänner 1900 bis 0. Jänner 1900&lt;/h3&gt;</v>
      </c>
      <c r="Y63" s="1" t="str">
        <f t="shared" si="2"/>
        <v>&lt;h3&gt;Vom 0. Jänner 1900 bis 0. Jänner 1900&lt;/h3&gt;</v>
      </c>
      <c r="Z63" s="1" t="str">
        <f t="shared" si="2"/>
        <v>&lt;h3&gt;Vom 29. November 2013 bis 25. Dezember 2013&lt;/h3&gt;</v>
      </c>
      <c r="AA63" s="1" t="str">
        <f t="shared" si="2"/>
        <v>&lt;h3&gt;Vom 0. Jänner 1900 bis 0. Jänner 1900&lt;/h3&gt;</v>
      </c>
      <c r="AB63" s="1" t="str">
        <f t="shared" si="2"/>
        <v>&lt;h3&gt;Vom 0. Jänner 1900 bis 0. Jänner 1900&lt;/h3&gt;</v>
      </c>
      <c r="AC63" s="1" t="str">
        <f t="shared" si="2"/>
        <v>&lt;h3&gt;Vom 0. Jänner 1900 bis 0. Jänner 1900&lt;/h3&gt;</v>
      </c>
      <c r="AD63" t="str">
        <f>"&lt;h3&gt;Vom "&amp;TEXT(AD8,"t. MMMM JJJJ")&amp;" bis "&amp;TEXT(AD9,"t. MMMM JJJJ")&amp;"&lt;/h3&gt;"</f>
        <v>&lt;h3&gt;Vom 0. Jänner 1900 bis 0. Jänner 1900&lt;/h3&gt;</v>
      </c>
      <c r="AE63" t="str">
        <f t="shared" ref="AE63" si="3">"&lt;h3&gt;Vom "&amp;TEXT(AE8,"t. MMMM JJJJ")&amp;" bis "&amp;TEXT(AE9,"t. MMMM JJJJ")&amp;"&lt;/h3&gt;"</f>
        <v>&lt;h3&gt;Vom 0. Jänner 1900 bis 0. Jänner 1900&lt;/h3&gt;</v>
      </c>
    </row>
    <row r="64" spans="2:31" x14ac:dyDescent="0.25">
      <c r="B64" s="3" t="s">
        <v>99</v>
      </c>
      <c r="C64" t="str">
        <f t="shared" ref="C64:AE64" si="4">"&lt;p&gt;"</f>
        <v>&lt;p&gt;</v>
      </c>
      <c r="D64" t="str">
        <f t="shared" si="4"/>
        <v>&lt;p&gt;</v>
      </c>
      <c r="E64" s="1" t="str">
        <f t="shared" si="4"/>
        <v>&lt;p&gt;</v>
      </c>
      <c r="F64" s="2" t="str">
        <f t="shared" si="4"/>
        <v>&lt;p&gt;</v>
      </c>
      <c r="G64" s="1" t="str">
        <f t="shared" si="4"/>
        <v>&lt;p&gt;</v>
      </c>
      <c r="H64" s="1" t="str">
        <f t="shared" si="4"/>
        <v>&lt;p&gt;</v>
      </c>
      <c r="I64" s="1" t="str">
        <f t="shared" si="4"/>
        <v>&lt;p&gt;</v>
      </c>
      <c r="J64" s="1" t="str">
        <f t="shared" si="4"/>
        <v>&lt;p&gt;</v>
      </c>
      <c r="K64" s="1" t="str">
        <f t="shared" si="4"/>
        <v>&lt;p&gt;</v>
      </c>
      <c r="L64" s="1" t="str">
        <f t="shared" si="4"/>
        <v>&lt;p&gt;</v>
      </c>
      <c r="M64" s="1" t="str">
        <f t="shared" si="4"/>
        <v>&lt;p&gt;</v>
      </c>
      <c r="N64" s="1" t="str">
        <f t="shared" si="4"/>
        <v>&lt;p&gt;</v>
      </c>
      <c r="O64" s="1" t="str">
        <f t="shared" si="4"/>
        <v>&lt;p&gt;</v>
      </c>
      <c r="P64" s="1" t="str">
        <f t="shared" si="4"/>
        <v>&lt;p&gt;</v>
      </c>
      <c r="Q64" s="1" t="str">
        <f t="shared" si="4"/>
        <v>&lt;p&gt;</v>
      </c>
      <c r="R64" s="1" t="str">
        <f t="shared" si="4"/>
        <v>&lt;p&gt;</v>
      </c>
      <c r="S64" t="str">
        <f t="shared" si="4"/>
        <v>&lt;p&gt;</v>
      </c>
      <c r="T64" t="str">
        <f t="shared" si="4"/>
        <v>&lt;p&gt;</v>
      </c>
      <c r="U64" t="str">
        <f t="shared" si="4"/>
        <v>&lt;p&gt;</v>
      </c>
      <c r="V64" s="1" t="str">
        <f t="shared" si="4"/>
        <v>&lt;p&gt;</v>
      </c>
      <c r="W64" s="2" t="str">
        <f t="shared" si="4"/>
        <v>&lt;p&gt;</v>
      </c>
      <c r="X64" s="1" t="str">
        <f t="shared" si="4"/>
        <v>&lt;p&gt;</v>
      </c>
      <c r="Y64" s="1" t="str">
        <f t="shared" si="4"/>
        <v>&lt;p&gt;</v>
      </c>
      <c r="Z64" s="1" t="str">
        <f t="shared" si="4"/>
        <v>&lt;p&gt;</v>
      </c>
      <c r="AA64" s="1" t="str">
        <f t="shared" si="4"/>
        <v>&lt;p&gt;</v>
      </c>
      <c r="AB64" s="1" t="str">
        <f t="shared" si="4"/>
        <v>&lt;p&gt;</v>
      </c>
      <c r="AC64" s="1" t="str">
        <f t="shared" si="4"/>
        <v>&lt;p&gt;</v>
      </c>
      <c r="AD64" t="str">
        <f t="shared" si="4"/>
        <v>&lt;p&gt;</v>
      </c>
      <c r="AE64" t="str">
        <f t="shared" si="4"/>
        <v>&lt;p&gt;</v>
      </c>
    </row>
    <row r="65" spans="2:31" ht="409.5" x14ac:dyDescent="0.25">
      <c r="B65" s="3" t="s">
        <v>100</v>
      </c>
      <c r="C65" s="7" t="str">
        <f t="shared" ref="C65:R65" si="5">C5</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2" t="str">
        <f t="shared" ref="F65:I65" si="6">F5</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6"/>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6"/>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f t="shared" si="6"/>
        <v>0</v>
      </c>
      <c r="J65" s="1" t="str">
        <f t="shared" ref="J65:Z65" si="7">J5</f>
        <v>Die heilige Thérèse vom Kinde Jesus (1873-1897) und Maria Montessori (1870-1952) sind beide Doktoren. Die eine führt die Kirche zur Kindschaft, die andere das Kind zur Kirche. Als Frauen und Prophetinnen haben sie aus der Quelle desselben Evangeliums geschöpft. Durch ihre Stimmen, die  im Wechsel gleichsam als Echo widerhallen, lüftet Gott den geheimnisvollen Schleier seines Antlitzes, das den Kleinen zugetan ist.</v>
      </c>
      <c r="K65" s="6" t="str">
        <f t="shared" si="7"/>
        <v>Es war mitten in einer Krise, als die heilige Teresa von Ávila (1515-1582) ihr geistliches Meisterwerk, das Buch der Wohnungen der Inneren Burg, schrieb. Während ihr gesamtes Werk als Gründerin des Karmel in sich zusammenzufallen scheint, schöpft sie ihre Energie aus ihrer inneren Burg. In unserem Kontext der Gesundheits- und Wirtschaftskrise kann uns die ‘Madre’ in dieser Fastenzeit helfen, zu entdecken, dass unsere Stärke im Inneren liegt. Mit dieser Kirchenlehrerin gehen wir durch die Burg von Wohnung zu Wohnung zum Zentrum, wo das Licht von Ostern leuchtet. Die Gegenwart des Auferstandenen ist die wahre gute Nachricht, die unser geistliches Leben wiederbeleben kann. 
Die Meditationen wurden von P. Guillaume Dehorter OCD (Karmelit in Avon bei Paris) und einem Team zusammengestellt. Die Aussendung in deutscher Sprache geschieht als Initiative des Verlags Christliche Innerlichkeit und des Teresianischen Karmel in Österreich, der Edith Stein Gesellschaft Österreich und der Marienschwestern vom Karmel. Die deutsche Fassung wurde von den Karmelitinnen in Mayerling bereitgestellt.</v>
      </c>
      <c r="L65" s="1" t="str">
        <f t="shared" si="7"/>
        <v>Diesmal begleitet uns durch den Advent die Gründerin des Karmel in Frankreich, Sr. Maria von der Menschwerdung (1566-1618), auch die “Schöne Acarie” genannt. Sie heiratete, bekamm Kinder und war in der Gesellshaft ihrer Zeit sehr einflussreich, bevor sie schließlich als Witwe in den Karmel eintrat. Ihre Biographie und ihre geistlichen Schriften geben Nahrung besonders in einer Zeit wie dieser, die von Unsicherheit geprägt ist. Die Exerzitien stehen unter dem Motto: Glauben an das Unmögliche.</v>
      </c>
      <c r="M65" s="1" t="str">
        <f t="shared" si="7"/>
        <v>In dieser Fastenzeit werden uns Texte des hl. Karmeliten Johannes vom Kreuz begleiten, der im XVI. Jhd. zusammen mit der hl. Teresa von Avila den Orden der Karmelitinnen und Karmeliten reformiert hat. Als Lehrer der Kirche gilt er besonders als Meister des mystischen Lebens und wird heute noch von vielen als Berater im Geistlichen Leben angerufen bzw. werden seine Werke gelesen.</v>
      </c>
      <c r="N65" s="1" t="str">
        <f t="shared" si="7"/>
        <v>Wer ist qualifizierter als die Mutter Jesu, die Jungfrau Maria, um uns auf Weihnachten vorzubereiten? Unsere liebe Frau vom Berge Karmel begleitet uns in diesen neuen Adventsexerzitien und hilft uns, das Wort Gottes zu verinnerlichen und es in die Tat umzusetzen. Wir werden das Geheimnis Mariens mithilfe der Schriften des Karmeliten P. François de S.te Marie OCD näher kennenlernen.</v>
      </c>
      <c r="O65" s="1" t="str">
        <f t="shared" si="7"/>
        <v>Die Hl. Teresa Benedicta vom Kreuz ist eine Mit-Patronin von Europa. Bevor sie in den Karmel eintrat und ihren Ordensnamen angenommen hat, war Edith Stein Philosophin und Dozentin. Sie wurde 1981 in Preussen als Jüdin geboren und wandte sich später dem Agnostizismus zu. Sie begab sich auf die Suche nach Wahrheit, durch die Philosophie und die Ereignisse in ihrem Leben, bis sie schließlich Christus entdeckte und sich im Alter von 31 Jahren taufen ließ. Sie wurde eine bemerkenswerte katholische Intellektuelle, der von den Nazis die Lehrerlaubnis entzogen wurde. Im Jahr 1933 trat sie in den Kölner Karmel ein, von wo sie 1939 nach Holland in den Karmel in Echt fliehen musste. Dort wurden sie und ihre Schwester festgenommen und nach Auschwitz gebracht, wo Edith Stein am 9. August 1942 starb. Hinterlassen hat sie uns ihr Werk und eine starke Botschaft. In dieser Fastenzeit werden uns ihre Schriften und ihr Leben begleiten, wenn wir uns auf den Weg machen, Christus nachzufolgen, der Auferstehung entgegen.</v>
      </c>
      <c r="P65" s="1" t="str">
        <f t="shared" si="7"/>
        <v>Wer ist qualifizierter als die Mutter Jesu, die Jungfrau Maria, um uns auf Weihnachten vorzubereiten? Nach dem heiligen Josef im vergangenen Jahr, begleitet sie uns in diesen neuen Adventsexerzitien. Unsere liebe Frau vom Berge Karmel hilft uns, das Wort Gottes zu verinnerlichen und es in die Tat umzusetzen. Wir werden das Geheimnis Mariens anhand des mittelalterlichen Gedichtes „Flos carmeli“ meditieren, das sie als Blume, Königin und Schönheit des Karmel anruft. So werden wir noch mehr entdecken, wie sehr Christus uns in unserer Menschheit begegnet.</v>
      </c>
      <c r="Q65" s="1" t="str">
        <f t="shared" si="7"/>
        <v>«Ich wende mein kleines Omelett in der Pfanne aus Liebe zu Gott» Bruder Lorenz von der Auferstehung der „mystische Koch”</v>
      </c>
      <c r="R65" s="6" t="str">
        <f t="shared" si="7"/>
        <v>In diesem Jahr bieten Ihnen die Karmeliten Online-Exerzitien mit dem hl. Josef. Seit der hl. Teresa von Avila (1515-1582) hat Josef in der karmelitanischen Tradition einen wichtigen Platz. Teresa gab den meisten ihrer Klöster den hl. Josef zum Patron und empfahl ihren Mitschwestern, „unseren glorreichen Vater Josef“ als Meister des Gebetes anzurufen. 
Der hl. Josef hat eine wichtige Rolle in der Heilsgeschichte gespielt, obwohl er fast unbemerkt im Hintergrund blieb. Was kann man über ihn sagen, von dem die hl. Schrift kein einziges Wort überliefert hat? 
Der hl. Josef kann uns allerdings Vieles lehren. Er wird uns helfen, in die Stille des Advents einzutauchen, damit wir dem Wort Gottes – d.h. Seinem Sohn – Raum geben können. Unsere Exerzitien orientieren sich an der Bibel mit Hinzunahme der Tradition des Karmel – sie möchten uns helfen, Jesus aufzunehmen – das Wort Gottes, das von Josef und Maria großgezogen wurde.</v>
      </c>
      <c r="S65">
        <f t="shared" si="7"/>
        <v>0</v>
      </c>
      <c r="T65">
        <f t="shared" si="7"/>
        <v>0</v>
      </c>
      <c r="U65" t="str">
        <f t="shared" si="7"/>
        <v>So laden wir Sie ein, wirklich in das Wort Gottes einzutauchen, damit es Ihren Weg auf Ostern hin begleite, wie es das Leben des Propheten Elija geführt hat. Um tagsüber in der Atmosphäre der Exerzitien zu bleiben, möchten wir Sie sehr dazu ermutigen, sich den angegebenen Schriftvers einzuprägen. So können Sie ihn gemäß der östlichen Tradition des „Jesusgebets“ während des Tages innerlich wiederholen. Sich das Wort ins Gedächtnis zu rufen, es innerlich zu wiederholen, das bedeutet, in der Gegenwart Gottes zu bleiben, zu Hause wie unterwegs, bei der Erholung wie in der Arbeitszeit. Gott wohnt in unserem Herzen, wenn sein Wort in unserem Gedächtnis wohnt. Dieses Wort wirkt, wenn es vom Atem getragen wird. Gedächtnis und Atem wirken zusammen, damit das Wort Gottes im Laufe der Tage in uns Licht und Leben werde. Beginnen Sie gleich, indem Sie sich den sinnbildlichen Ausruf des Propheten Elija einprägen und „atmen“:</v>
      </c>
      <c r="V65" s="1" t="str">
        <f t="shared" si="7"/>
        <v>Sie sind die Ersten! Louis und Zélie Martin, am vergangenen 18. Oktober heiliggesprochen, sind das erste Ehepaar der Geschichte, das gemeinsam, als Ehemann und Ehefrau, kanonisiert worden ist. Aber wer sind sie wirklich? Sind sie nur die Eltern der kleinen Thérèse, deren Leben uninteressant gewesen wäre, wenn es ihre berühmte Tochter nicht gegeben hätte? Oder sind sie im Gegenteil unnachahmliche Heilige? Worin kann ihr Glaubensleben für uns heute noch bedeutsam sein? Und schließlich: Welche Verbindung kann man zwischen diesem Ehepaar und der kommenden Weihnachtsgnade herstellen? Die verschiedenen Themen, die im Lauf der vier Adventssonntage angesprochen werden, beantworten diese Fragen. Wir werden im Laufe der Exerzitien nach und nach den Verlauf ihres Lebens kennenlernen. Doch schon jetzt können wir auf die letzte Frage antworten: Louis und Zélie haben wie Maria und Josef die Gabe dessen angenommen, der das Leben ist; sie haben die heiligende Gegenwart der Liebe angenommen. Ihr gemeinsames Leben, dem wir im Lauf der Online-Exerzitien chronologisch nachgehen werden, wird uns zeigen, wie sehr die Gnade von Weihnachten – das heißt die Gnade der Liebe, die kommt, um unter uns Fleisch anzunehmen – sich in einem Leben oder in einer Familie erneuert, die den alltäglichen Glauben der bescheidenen Familie von Nazaret teilt.</v>
      </c>
      <c r="W65" s="2" t="str">
        <f t="shared" si="7"/>
        <v>In diesem Jahr begehen wir das 500-jährige Jubiläum der Geburt der hl. Teresa von Ávila (1515–1582), Gründerin unseres Zweiges des Karmel.
Die Exerzitien werden sich mit der Umkehr der jungen Teresa befassen, die uns als Vorbild vorangegangen ist und uns durch diese Fastenzeit begleiten wird auf unserem persönlichen Weg der Umkehr.</v>
      </c>
      <c r="X65" s="1" t="str">
        <f t="shared" si="7"/>
        <v>Der französische Karmelit P. Jacques wurde in Mauthausen-Gusen interniert, weil er 1943 jüdische Kinder in einer Schule der Karmeliten versteckt hatte. Er starb am 2. Juni 1945 im Spital der Elisabethinen in Linz.</v>
      </c>
      <c r="Y65" s="1" t="str">
        <f t="shared" si="7"/>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Z65" s="1" t="str">
        <f t="shared" si="7"/>
        <v>Die Karmeliten in Wien geben für jede Woche im Advent einen Impuls zur Besinnung und täglich kurze Anregungen zum Gebet. Unsere Begleiterin ist die hl. Sr. Teresia Benedicta vom Kreuz (Edith Stein) mit ihren Texten über das Weihnachtsgeheimnis.</v>
      </c>
      <c r="AA65" s="1" t="str">
        <f t="shared" ref="AA65:AE65" si="8">AA5</f>
        <v>"Ich habe großes Verlangen, all die Ereignisse unserer Tage einmal im Licht der Ewigkeit zu sehen. Denn das erkennt man doch immer klarer, wie blind wir für alles sind. Man staunt, wie verkehrt man vieles früher angesehen hat, und begeht doch im nächsten Augenblick wieder den Fehler, sich ein Urteil zu bilden, ohne dass man die nötigen Grundlagen dafür hat." Hl. Edith Stein</v>
      </c>
      <c r="AB65" s="6">
        <f t="shared" si="8"/>
        <v>0</v>
      </c>
      <c r="AC65" s="1" t="str">
        <f t="shared" si="8"/>
        <v>Jeden Tag in der Fastenzeit finden Sie auf der Homepage www.edithstein.karmel.at einen Impuls zur Besinnung mit Texten der hl. Edith Stein. Im Rahmen des Edith-Stein-Gedenkjahres 2011/2012 von den Marienschwestern vom Karmel erstellt.</v>
      </c>
      <c r="AD65">
        <f t="shared" si="8"/>
        <v>0</v>
      </c>
      <c r="AE65">
        <f t="shared" si="8"/>
        <v>0</v>
      </c>
    </row>
    <row r="66" spans="2:31" x14ac:dyDescent="0.25">
      <c r="B66" s="4" t="s">
        <v>684</v>
      </c>
      <c r="G66" s="1"/>
      <c r="H66" s="1"/>
      <c r="I66" s="1"/>
      <c r="J66" s="1"/>
      <c r="K66" s="1"/>
      <c r="L66" s="1"/>
      <c r="M66" s="1"/>
      <c r="N66" s="1"/>
      <c r="O66" s="1"/>
      <c r="P66" s="1"/>
      <c r="Q66" s="1"/>
      <c r="R66" s="1"/>
      <c r="V66" s="1"/>
      <c r="W66" s="2"/>
      <c r="X66" s="1"/>
      <c r="Y66" s="1"/>
      <c r="Z66" s="1"/>
      <c r="AA66" s="1"/>
      <c r="AB66" s="1"/>
      <c r="AC66" s="1"/>
    </row>
    <row r="67" spans="2:31" x14ac:dyDescent="0.25">
      <c r="B67" s="4" t="s">
        <v>685</v>
      </c>
      <c r="G67" s="1"/>
      <c r="H67" s="1"/>
      <c r="I67" s="1"/>
      <c r="J67" s="1"/>
      <c r="K67" s="1"/>
      <c r="L67" s="1"/>
      <c r="M67" s="1"/>
      <c r="N67" s="1"/>
      <c r="O67" s="1"/>
      <c r="P67" s="1"/>
      <c r="Q67" s="1"/>
      <c r="R67" s="1"/>
      <c r="V67" s="1"/>
      <c r="W67" s="2"/>
      <c r="X67" s="1"/>
      <c r="Y67" s="1"/>
      <c r="Z67" s="1"/>
      <c r="AA67" s="1"/>
      <c r="AB67" s="1"/>
      <c r="AC67" s="1"/>
    </row>
    <row r="68" spans="2:31" x14ac:dyDescent="0.25">
      <c r="B68" s="3" t="s">
        <v>103</v>
      </c>
      <c r="G68" s="1"/>
      <c r="H68" s="1"/>
      <c r="I68" s="1"/>
      <c r="J68" s="1"/>
      <c r="K68" s="1"/>
      <c r="L68" s="1"/>
      <c r="M68" s="1"/>
      <c r="N68" s="1"/>
      <c r="O68" s="1"/>
      <c r="P68" s="1"/>
      <c r="Q68" s="1"/>
      <c r="R68" s="1"/>
      <c r="V68" s="1"/>
      <c r="W68" s="2"/>
      <c r="X68" s="1"/>
      <c r="Y68" s="1"/>
      <c r="Z68" s="1"/>
      <c r="AA68" s="1"/>
      <c r="AB68" s="1"/>
      <c r="AC68" s="1"/>
    </row>
    <row r="69" spans="2:31" x14ac:dyDescent="0.25">
      <c r="B69" s="5"/>
      <c r="G69" s="1"/>
      <c r="H69" s="1"/>
      <c r="I69" s="1"/>
      <c r="J69" s="1"/>
      <c r="K69" s="1"/>
      <c r="L69" s="1"/>
      <c r="M69" s="1"/>
      <c r="N69" s="1"/>
      <c r="O69" s="1"/>
      <c r="P69" s="1"/>
      <c r="Q69" s="1"/>
      <c r="R69" s="1"/>
      <c r="V69" s="1"/>
      <c r="W69" s="2"/>
      <c r="X69" s="1"/>
      <c r="Y69" s="1"/>
      <c r="Z69" s="1"/>
      <c r="AA69" s="1"/>
      <c r="AB69" s="1"/>
      <c r="AC69" s="1"/>
    </row>
    <row r="70" spans="2:31" x14ac:dyDescent="0.25">
      <c r="B70" s="4" t="s">
        <v>104</v>
      </c>
      <c r="G70" s="1"/>
      <c r="H70" s="1"/>
      <c r="I70" s="1"/>
      <c r="J70" s="1"/>
      <c r="K70" s="1"/>
      <c r="L70" s="1"/>
      <c r="M70" s="1"/>
      <c r="N70" s="1"/>
      <c r="O70" s="1"/>
      <c r="P70" s="1"/>
      <c r="Q70" s="1"/>
      <c r="R70" s="1"/>
      <c r="V70" s="1"/>
      <c r="W70" s="2"/>
      <c r="X70" s="1"/>
      <c r="Y70" s="1"/>
      <c r="Z70" s="1"/>
      <c r="AA70" s="1"/>
      <c r="AB70" s="1"/>
      <c r="AC70" s="1"/>
    </row>
    <row r="71" spans="2:31" x14ac:dyDescent="0.25">
      <c r="B71" s="4" t="s">
        <v>105</v>
      </c>
      <c r="G71" s="1"/>
      <c r="H71" s="1"/>
      <c r="I71" s="1"/>
      <c r="J71" s="1"/>
      <c r="K71" s="1"/>
      <c r="L71" s="1"/>
      <c r="M71" s="1"/>
      <c r="N71" s="1"/>
      <c r="O71" s="1"/>
      <c r="P71" s="1"/>
      <c r="Q71" s="1"/>
      <c r="R71" s="1"/>
      <c r="V71" s="1"/>
      <c r="W71" s="2"/>
      <c r="X71" s="1"/>
      <c r="Y71" s="1"/>
      <c r="Z71" s="1"/>
      <c r="AA71" s="1"/>
      <c r="AB71" s="1"/>
      <c r="AC71" s="1"/>
    </row>
    <row r="72" spans="2:31" x14ac:dyDescent="0.25">
      <c r="B72" s="4" t="s">
        <v>106</v>
      </c>
      <c r="G72" s="1"/>
      <c r="H72" s="1"/>
      <c r="I72" s="1"/>
      <c r="J72" s="1"/>
      <c r="K72" s="1"/>
      <c r="L72" s="1"/>
      <c r="M72" s="1"/>
      <c r="N72" s="1"/>
      <c r="O72" s="1"/>
      <c r="P72" s="1"/>
      <c r="Q72" s="1"/>
      <c r="R72" s="1"/>
      <c r="V72" s="1"/>
      <c r="W72" s="2"/>
      <c r="X72" s="1"/>
      <c r="Y72" s="1"/>
      <c r="Z72" s="1"/>
      <c r="AA72" s="1"/>
      <c r="AB72" s="1"/>
      <c r="AC72" s="1"/>
    </row>
    <row r="73" spans="2:31" x14ac:dyDescent="0.25">
      <c r="B73" s="4" t="s">
        <v>107</v>
      </c>
      <c r="G73" s="1"/>
      <c r="H73" s="1"/>
      <c r="I73" s="1"/>
      <c r="J73" s="1"/>
      <c r="K73" s="1"/>
      <c r="L73" s="1"/>
      <c r="M73" s="1"/>
      <c r="N73" s="1"/>
      <c r="O73" s="1"/>
      <c r="P73" s="1"/>
      <c r="Q73" s="1"/>
      <c r="R73" s="1"/>
      <c r="V73" s="1"/>
      <c r="W73" s="2"/>
      <c r="X73" s="1"/>
      <c r="Y73" s="1"/>
      <c r="Z73" s="1"/>
      <c r="AA73" s="1"/>
      <c r="AB73" s="1"/>
      <c r="AC73" s="1"/>
    </row>
    <row r="74" spans="2:31" x14ac:dyDescent="0.25">
      <c r="B74" s="4" t="s">
        <v>108</v>
      </c>
      <c r="G74" s="1"/>
      <c r="H74" s="1"/>
      <c r="I74" s="1"/>
      <c r="J74" s="1"/>
      <c r="K74" s="1"/>
      <c r="L74" s="1"/>
      <c r="M74" s="1"/>
      <c r="N74" s="1"/>
      <c r="O74" s="1"/>
      <c r="P74" s="1"/>
      <c r="Q74" s="1"/>
      <c r="R74" s="1"/>
      <c r="V74" s="1"/>
      <c r="W74" s="2"/>
      <c r="X74" s="1"/>
      <c r="Y74" s="1"/>
      <c r="Z74" s="1"/>
      <c r="AA74" s="1"/>
      <c r="AB74" s="1"/>
      <c r="AC74" s="1"/>
    </row>
    <row r="75" spans="2:31" x14ac:dyDescent="0.25">
      <c r="B75" s="4" t="s">
        <v>686</v>
      </c>
      <c r="C75" t="s">
        <v>687</v>
      </c>
      <c r="D75" t="s">
        <v>687</v>
      </c>
      <c r="E75" s="1" t="s">
        <v>687</v>
      </c>
      <c r="F75" s="2" t="s">
        <v>687</v>
      </c>
      <c r="G75" s="1" t="s">
        <v>687</v>
      </c>
      <c r="H75" s="1" t="s">
        <v>687</v>
      </c>
      <c r="I75" s="1" t="s">
        <v>687</v>
      </c>
      <c r="J75" s="1" t="s">
        <v>687</v>
      </c>
      <c r="K75" s="1" t="s">
        <v>687</v>
      </c>
      <c r="L75" s="1" t="s">
        <v>687</v>
      </c>
      <c r="M75" s="1" t="s">
        <v>687</v>
      </c>
      <c r="N75" s="1" t="s">
        <v>687</v>
      </c>
      <c r="O75" s="1" t="s">
        <v>687</v>
      </c>
      <c r="P75" s="1" t="s">
        <v>687</v>
      </c>
      <c r="Q75" s="1" t="s">
        <v>687</v>
      </c>
      <c r="R75" s="1" t="s">
        <v>687</v>
      </c>
      <c r="S75" t="s">
        <v>687</v>
      </c>
      <c r="T75" t="s">
        <v>687</v>
      </c>
      <c r="U75" t="s">
        <v>687</v>
      </c>
      <c r="V75" s="1" t="s">
        <v>687</v>
      </c>
      <c r="W75" s="2" t="s">
        <v>687</v>
      </c>
      <c r="X75" s="1" t="s">
        <v>687</v>
      </c>
      <c r="Y75" s="1" t="s">
        <v>687</v>
      </c>
      <c r="Z75" s="1" t="s">
        <v>687</v>
      </c>
      <c r="AA75" s="1" t="s">
        <v>687</v>
      </c>
      <c r="AB75" s="1" t="s">
        <v>687</v>
      </c>
      <c r="AC75" s="1" t="s">
        <v>687</v>
      </c>
      <c r="AD75" t="s">
        <v>687</v>
      </c>
      <c r="AE75" t="s">
        <v>687</v>
      </c>
    </row>
    <row r="76" spans="2:31" x14ac:dyDescent="0.25">
      <c r="B76" s="4" t="s">
        <v>688</v>
      </c>
      <c r="C76" t="s">
        <v>688</v>
      </c>
      <c r="D76" t="s">
        <v>688</v>
      </c>
      <c r="E76" s="1" t="s">
        <v>688</v>
      </c>
      <c r="F76" s="2" t="s">
        <v>688</v>
      </c>
      <c r="G76" s="1" t="s">
        <v>688</v>
      </c>
      <c r="H76" s="1" t="s">
        <v>688</v>
      </c>
      <c r="I76" s="1" t="s">
        <v>688</v>
      </c>
      <c r="J76" s="1" t="s">
        <v>688</v>
      </c>
      <c r="K76" s="1" t="s">
        <v>688</v>
      </c>
      <c r="L76" s="1" t="s">
        <v>688</v>
      </c>
      <c r="M76" s="1" t="s">
        <v>688</v>
      </c>
      <c r="N76" s="1" t="s">
        <v>688</v>
      </c>
      <c r="O76" s="1" t="s">
        <v>688</v>
      </c>
      <c r="P76" s="1" t="s">
        <v>688</v>
      </c>
      <c r="Q76" s="1" t="s">
        <v>688</v>
      </c>
      <c r="R76" s="1" t="s">
        <v>688</v>
      </c>
      <c r="S76" t="s">
        <v>688</v>
      </c>
      <c r="T76" t="s">
        <v>688</v>
      </c>
      <c r="U76" t="s">
        <v>688</v>
      </c>
      <c r="V76" s="1" t="s">
        <v>688</v>
      </c>
      <c r="W76" s="2" t="s">
        <v>688</v>
      </c>
      <c r="X76" s="1" t="s">
        <v>688</v>
      </c>
      <c r="Y76" s="1" t="s">
        <v>688</v>
      </c>
      <c r="Z76" s="1" t="s">
        <v>688</v>
      </c>
      <c r="AA76" s="1" t="s">
        <v>688</v>
      </c>
      <c r="AB76" s="1" t="s">
        <v>688</v>
      </c>
      <c r="AC76" s="1" t="s">
        <v>688</v>
      </c>
      <c r="AD76" t="s">
        <v>688</v>
      </c>
      <c r="AE76" t="s">
        <v>688</v>
      </c>
    </row>
    <row r="77" spans="2:31" x14ac:dyDescent="0.25">
      <c r="B77" s="4" t="s">
        <v>805</v>
      </c>
      <c r="C77" t="str">
        <f t="shared" ref="C77:R77" si="9">"&lt;img src=""../"&amp;C6&amp;""" alt=""""&gt;"</f>
        <v>&lt;img src="../img/FS25_header_DE.png" alt=""&gt;</v>
      </c>
      <c r="D77" t="str">
        <f t="shared" si="9"/>
        <v>&lt;img src="../img/AD24_header_DE.png" alt=""&gt;</v>
      </c>
      <c r="E77" s="1" t="str">
        <f t="shared" si="9"/>
        <v>&lt;img src="../img/FS24_header_DE.png" alt=""&gt;</v>
      </c>
      <c r="F77" s="2" t="str">
        <f t="shared" ref="F77:I77" si="10">"&lt;img src=""../"&amp;F6&amp;""" alt=""""&gt;"</f>
        <v>&lt;img src="../img/AD23_header_DE.png" alt=""&gt;</v>
      </c>
      <c r="G77" s="1" t="str">
        <f t="shared" si="10"/>
        <v>&lt;img src="../img/FS23_header_DE.png" alt=""&gt;</v>
      </c>
      <c r="H77" s="1" t="str">
        <f t="shared" si="10"/>
        <v>&lt;img src="../img/AD22_header_DE.png" alt=""&gt;</v>
      </c>
      <c r="I77" s="1" t="str">
        <f t="shared" si="10"/>
        <v>&lt;img src="../img/FS22_header_DE.png" alt=""&gt;</v>
      </c>
      <c r="J77" s="1" t="str">
        <f t="shared" ref="J77:Z77" si="11">"&lt;img src=""../"&amp;J6&amp;""" alt=""""&gt;"</f>
        <v>&lt;img src="../img/AD21_header_DE.png" alt=""&gt;</v>
      </c>
      <c r="K77" s="1" t="str">
        <f t="shared" si="11"/>
        <v>&lt;img src="../img/FS21_header_DE.png" alt=""&gt;</v>
      </c>
      <c r="L77" s="1" t="str">
        <f t="shared" si="11"/>
        <v>&lt;img src="../img/AD20_header_DE.png" alt=""&gt;</v>
      </c>
      <c r="M77" s="1" t="str">
        <f t="shared" si="11"/>
        <v>&lt;img src="../img/FS20_header_DE.png" alt=""&gt;</v>
      </c>
      <c r="N77" s="1" t="str">
        <f t="shared" si="11"/>
        <v>&lt;img src="../img/AD19_header_DE.png" alt=""&gt;</v>
      </c>
      <c r="O77" s="1" t="str">
        <f t="shared" si="11"/>
        <v>&lt;img src="../img/FS19_header_DE.png" alt=""&gt;</v>
      </c>
      <c r="P77" s="1" t="str">
        <f t="shared" si="11"/>
        <v>&lt;img src="../img/AD18_header_DE.png" alt=""&gt;</v>
      </c>
      <c r="Q77" s="1" t="str">
        <f t="shared" si="11"/>
        <v>&lt;img src="../img/FS18_header_DE.png" alt=""&gt;</v>
      </c>
      <c r="R77" s="1" t="str">
        <f t="shared" si="11"/>
        <v>&lt;img src="../img/AD17_header_DE.png" alt=""&gt;</v>
      </c>
      <c r="S77" t="str">
        <f t="shared" si="11"/>
        <v>&lt;img src="../img/FS17_header_DE.png" alt=""&gt;</v>
      </c>
      <c r="T77" t="str">
        <f t="shared" si="11"/>
        <v>&lt;img src="../img/AD16_header_DE.png" alt=""&gt;</v>
      </c>
      <c r="U77" t="str">
        <f t="shared" si="11"/>
        <v>&lt;img src="../img/FS16_header_DE.png" alt=""&gt;</v>
      </c>
      <c r="V77" s="1" t="str">
        <f t="shared" si="11"/>
        <v>&lt;img src="../img/AD15_header_DE.png" alt=""&gt;</v>
      </c>
      <c r="W77" s="2" t="str">
        <f t="shared" si="11"/>
        <v>&lt;img src="../img/FS15_header_DE.png" alt=""&gt;</v>
      </c>
      <c r="X77" s="1" t="str">
        <f t="shared" si="11"/>
        <v>&lt;img src="../img/AD14_header_DE.png" alt=""&gt;</v>
      </c>
      <c r="Y77" s="1" t="str">
        <f t="shared" si="11"/>
        <v>&lt;img src="../img/FS14_header_DE.png" alt=""&gt;</v>
      </c>
      <c r="Z77" s="1" t="str">
        <f t="shared" si="11"/>
        <v>&lt;img src="../img/AD13_header_DE.png" alt=""&gt;</v>
      </c>
      <c r="AA77" s="1" t="str">
        <f t="shared" ref="AA77:AE77" si="12">"&lt;img src=""../"&amp;AA6&amp;""" alt=""""&gt;"</f>
        <v>&lt;img src="../img/FS13_header_DE.png" alt=""&gt;</v>
      </c>
      <c r="AB77" s="1" t="str">
        <f t="shared" si="12"/>
        <v>&lt;img src="../img/AD12_header_DE.png" alt=""&gt;</v>
      </c>
      <c r="AC77" s="1" t="str">
        <f t="shared" si="12"/>
        <v>&lt;img src="../0" alt=""&gt;</v>
      </c>
      <c r="AD77" t="str">
        <f t="shared" si="12"/>
        <v>&lt;img src="../0" alt=""&gt;</v>
      </c>
      <c r="AE77" t="str">
        <f t="shared" si="12"/>
        <v>&lt;img src="../0" alt=""&gt;</v>
      </c>
    </row>
    <row r="78" spans="2:31" x14ac:dyDescent="0.25">
      <c r="B78" s="4" t="s">
        <v>117</v>
      </c>
      <c r="C78" t="s">
        <v>117</v>
      </c>
      <c r="D78" t="s">
        <v>117</v>
      </c>
      <c r="E78" s="1" t="s">
        <v>117</v>
      </c>
      <c r="F78" s="2" t="s">
        <v>117</v>
      </c>
      <c r="G78" s="1" t="s">
        <v>117</v>
      </c>
      <c r="H78" s="1" t="s">
        <v>117</v>
      </c>
      <c r="I78" s="1" t="s">
        <v>117</v>
      </c>
      <c r="J78" s="1" t="s">
        <v>117</v>
      </c>
      <c r="K78" s="1" t="s">
        <v>117</v>
      </c>
      <c r="L78" s="1" t="s">
        <v>117</v>
      </c>
      <c r="M78" s="1" t="s">
        <v>117</v>
      </c>
      <c r="N78" s="1" t="s">
        <v>117</v>
      </c>
      <c r="O78" s="1" t="s">
        <v>117</v>
      </c>
      <c r="P78" s="1" t="s">
        <v>117</v>
      </c>
      <c r="Q78" s="1" t="s">
        <v>117</v>
      </c>
      <c r="R78" s="1" t="s">
        <v>117</v>
      </c>
      <c r="S78" t="s">
        <v>117</v>
      </c>
      <c r="T78" t="s">
        <v>117</v>
      </c>
      <c r="U78" t="s">
        <v>117</v>
      </c>
      <c r="V78" s="1" t="s">
        <v>117</v>
      </c>
      <c r="W78" s="2" t="s">
        <v>117</v>
      </c>
      <c r="X78" s="1" t="s">
        <v>117</v>
      </c>
      <c r="Y78" s="1" t="s">
        <v>117</v>
      </c>
      <c r="Z78" s="1" t="s">
        <v>117</v>
      </c>
      <c r="AA78" s="1" t="s">
        <v>117</v>
      </c>
      <c r="AB78" s="1" t="s">
        <v>117</v>
      </c>
      <c r="AC78" s="1" t="s">
        <v>117</v>
      </c>
      <c r="AD78" t="s">
        <v>117</v>
      </c>
      <c r="AE78" t="s">
        <v>117</v>
      </c>
    </row>
    <row r="79" spans="2:31" x14ac:dyDescent="0.25">
      <c r="B79" s="3" t="s">
        <v>116</v>
      </c>
      <c r="C79" t="s">
        <v>117</v>
      </c>
      <c r="D79" t="s">
        <v>117</v>
      </c>
      <c r="E79" s="1" t="s">
        <v>117</v>
      </c>
      <c r="F79" s="2" t="s">
        <v>117</v>
      </c>
      <c r="G79" s="1" t="s">
        <v>117</v>
      </c>
      <c r="H79" s="1" t="s">
        <v>117</v>
      </c>
      <c r="I79" s="1" t="s">
        <v>117</v>
      </c>
      <c r="J79" s="1" t="s">
        <v>117</v>
      </c>
      <c r="K79" s="1" t="s">
        <v>117</v>
      </c>
      <c r="L79" s="1" t="s">
        <v>117</v>
      </c>
      <c r="M79" s="1" t="s">
        <v>117</v>
      </c>
      <c r="N79" s="1" t="s">
        <v>117</v>
      </c>
      <c r="O79" s="1" t="s">
        <v>117</v>
      </c>
      <c r="P79" s="1" t="s">
        <v>117</v>
      </c>
      <c r="Q79" s="1" t="s">
        <v>117</v>
      </c>
      <c r="R79" s="1" t="s">
        <v>117</v>
      </c>
      <c r="S79" t="s">
        <v>117</v>
      </c>
      <c r="T79" t="s">
        <v>117</v>
      </c>
      <c r="U79" t="s">
        <v>117</v>
      </c>
      <c r="V79" s="1" t="s">
        <v>117</v>
      </c>
      <c r="W79" s="2" t="s">
        <v>117</v>
      </c>
      <c r="X79" s="1" t="s">
        <v>117</v>
      </c>
      <c r="Y79" s="1" t="s">
        <v>117</v>
      </c>
      <c r="Z79" s="1" t="s">
        <v>117</v>
      </c>
      <c r="AA79" s="1" t="s">
        <v>117</v>
      </c>
      <c r="AB79" s="1" t="s">
        <v>117</v>
      </c>
      <c r="AC79" s="1" t="s">
        <v>117</v>
      </c>
      <c r="AD79" t="s">
        <v>117</v>
      </c>
      <c r="AE79" t="s">
        <v>117</v>
      </c>
    </row>
    <row r="80" spans="2:31" x14ac:dyDescent="0.25">
      <c r="B80" s="4" t="s">
        <v>689</v>
      </c>
      <c r="C80" t="s">
        <v>689</v>
      </c>
      <c r="D80" t="s">
        <v>689</v>
      </c>
      <c r="E80" s="1" t="s">
        <v>689</v>
      </c>
      <c r="F80" s="2" t="s">
        <v>689</v>
      </c>
      <c r="G80" s="1" t="s">
        <v>689</v>
      </c>
      <c r="H80" s="1" t="s">
        <v>689</v>
      </c>
      <c r="I80" s="1" t="s">
        <v>689</v>
      </c>
      <c r="J80" s="1" t="s">
        <v>689</v>
      </c>
      <c r="K80" s="1" t="s">
        <v>689</v>
      </c>
      <c r="L80" s="1" t="s">
        <v>689</v>
      </c>
      <c r="M80" s="1" t="s">
        <v>689</v>
      </c>
      <c r="N80" s="1" t="s">
        <v>689</v>
      </c>
      <c r="O80" s="1" t="s">
        <v>689</v>
      </c>
      <c r="P80" s="1" t="s">
        <v>689</v>
      </c>
      <c r="Q80" s="1" t="s">
        <v>689</v>
      </c>
      <c r="R80" s="1" t="s">
        <v>689</v>
      </c>
      <c r="S80" t="s">
        <v>689</v>
      </c>
      <c r="T80" t="s">
        <v>689</v>
      </c>
      <c r="U80" t="s">
        <v>689</v>
      </c>
      <c r="V80" s="1" t="s">
        <v>689</v>
      </c>
      <c r="W80" s="2" t="s">
        <v>689</v>
      </c>
      <c r="X80" s="1" t="s">
        <v>689</v>
      </c>
      <c r="Y80" s="1" t="s">
        <v>689</v>
      </c>
      <c r="Z80" s="1" t="s">
        <v>689</v>
      </c>
      <c r="AA80" s="1" t="s">
        <v>689</v>
      </c>
      <c r="AB80" s="1" t="s">
        <v>689</v>
      </c>
      <c r="AC80" s="1" t="s">
        <v>689</v>
      </c>
      <c r="AD80" t="s">
        <v>689</v>
      </c>
      <c r="AE80" t="s">
        <v>689</v>
      </c>
    </row>
    <row r="81" spans="2:31" x14ac:dyDescent="0.25">
      <c r="B81" s="4" t="s">
        <v>690</v>
      </c>
      <c r="C81" t="s">
        <v>690</v>
      </c>
      <c r="D81" t="s">
        <v>690</v>
      </c>
      <c r="G81" s="1"/>
      <c r="H81" s="1"/>
      <c r="I81" s="1"/>
      <c r="J81" s="1"/>
      <c r="K81" s="1"/>
      <c r="L81" s="1"/>
      <c r="M81" s="1"/>
      <c r="N81" s="1"/>
      <c r="O81" s="1"/>
      <c r="P81" s="1"/>
      <c r="Q81" s="1"/>
      <c r="R81" s="1"/>
      <c r="V81" s="1"/>
      <c r="W81" s="2"/>
      <c r="X81" s="1"/>
      <c r="Y81" s="1"/>
      <c r="Z81" s="1"/>
      <c r="AA81" s="1"/>
      <c r="AB81" s="1"/>
      <c r="AC81" s="1"/>
    </row>
    <row r="82" spans="2:31" x14ac:dyDescent="0.25">
      <c r="B82" s="4" t="s">
        <v>681</v>
      </c>
      <c r="C82" t="s">
        <v>681</v>
      </c>
      <c r="D82" t="s">
        <v>681</v>
      </c>
      <c r="G82" s="1"/>
      <c r="H82" s="1"/>
      <c r="I82" s="1"/>
      <c r="J82" s="1"/>
      <c r="K82" s="1"/>
      <c r="L82" s="1"/>
      <c r="M82" s="1"/>
      <c r="N82" s="1"/>
      <c r="O82" s="1"/>
      <c r="P82" s="1"/>
      <c r="Q82" s="1"/>
      <c r="R82" s="1"/>
      <c r="V82" s="1"/>
      <c r="W82" s="2"/>
      <c r="X82" s="1"/>
      <c r="Y82" s="1"/>
      <c r="Z82" s="1"/>
      <c r="AA82" s="1"/>
      <c r="AB82" s="1"/>
      <c r="AC82" s="1"/>
    </row>
    <row r="83" spans="2:31" x14ac:dyDescent="0.25">
      <c r="B83" s="3" t="s">
        <v>122</v>
      </c>
      <c r="C83" t="s">
        <v>123</v>
      </c>
      <c r="D83" t="s">
        <v>123</v>
      </c>
      <c r="E83" s="1" t="s">
        <v>691</v>
      </c>
      <c r="F83" s="2" t="s">
        <v>691</v>
      </c>
      <c r="G83" s="1" t="s">
        <v>691</v>
      </c>
      <c r="H83" s="1" t="s">
        <v>691</v>
      </c>
      <c r="I83" s="1" t="s">
        <v>691</v>
      </c>
      <c r="J83" s="1" t="s">
        <v>691</v>
      </c>
      <c r="K83" s="1" t="s">
        <v>691</v>
      </c>
      <c r="L83" s="1" t="s">
        <v>691</v>
      </c>
      <c r="M83" s="1" t="s">
        <v>691</v>
      </c>
      <c r="N83" s="1" t="s">
        <v>691</v>
      </c>
      <c r="O83" s="1" t="s">
        <v>691</v>
      </c>
      <c r="P83" s="1" t="s">
        <v>691</v>
      </c>
      <c r="Q83" s="1" t="s">
        <v>691</v>
      </c>
      <c r="R83" s="1" t="s">
        <v>691</v>
      </c>
      <c r="S83" t="s">
        <v>691</v>
      </c>
      <c r="T83" t="s">
        <v>691</v>
      </c>
      <c r="U83" t="s">
        <v>691</v>
      </c>
      <c r="V83" s="1" t="s">
        <v>691</v>
      </c>
      <c r="W83" s="2" t="s">
        <v>691</v>
      </c>
      <c r="X83" s="1" t="s">
        <v>691</v>
      </c>
      <c r="Y83" s="1" t="s">
        <v>691</v>
      </c>
      <c r="Z83" s="1" t="s">
        <v>691</v>
      </c>
      <c r="AA83" s="1" t="s">
        <v>691</v>
      </c>
      <c r="AB83" s="1" t="s">
        <v>691</v>
      </c>
      <c r="AC83" s="1" t="s">
        <v>691</v>
      </c>
      <c r="AD83" t="s">
        <v>691</v>
      </c>
      <c r="AE83" t="s">
        <v>691</v>
      </c>
    </row>
    <row r="84" spans="2:31" x14ac:dyDescent="0.25">
      <c r="B84" s="4" t="s">
        <v>692</v>
      </c>
      <c r="C84" t="s">
        <v>692</v>
      </c>
      <c r="D84" t="s">
        <v>692</v>
      </c>
      <c r="E84" s="1" t="s">
        <v>693</v>
      </c>
      <c r="F84" s="2" t="s">
        <v>693</v>
      </c>
      <c r="G84" s="1" t="s">
        <v>693</v>
      </c>
      <c r="H84" s="1" t="s">
        <v>693</v>
      </c>
      <c r="I84" s="1" t="s">
        <v>693</v>
      </c>
      <c r="J84" s="1" t="s">
        <v>693</v>
      </c>
      <c r="K84" s="1" t="s">
        <v>693</v>
      </c>
      <c r="L84" s="1" t="s">
        <v>693</v>
      </c>
      <c r="M84" s="1" t="s">
        <v>693</v>
      </c>
      <c r="N84" s="1" t="s">
        <v>693</v>
      </c>
      <c r="O84" s="1" t="s">
        <v>693</v>
      </c>
      <c r="P84" s="1" t="s">
        <v>693</v>
      </c>
      <c r="Q84" s="1" t="s">
        <v>693</v>
      </c>
      <c r="R84" s="1" t="s">
        <v>693</v>
      </c>
      <c r="S84" t="s">
        <v>693</v>
      </c>
      <c r="T84" t="s">
        <v>693</v>
      </c>
      <c r="U84" t="s">
        <v>693</v>
      </c>
      <c r="V84" s="1" t="s">
        <v>693</v>
      </c>
      <c r="W84" s="2" t="s">
        <v>693</v>
      </c>
      <c r="X84" s="1" t="s">
        <v>693</v>
      </c>
      <c r="Y84" s="1" t="s">
        <v>693</v>
      </c>
      <c r="Z84" s="1" t="s">
        <v>693</v>
      </c>
      <c r="AA84" s="1" t="s">
        <v>693</v>
      </c>
      <c r="AB84" s="1" t="s">
        <v>693</v>
      </c>
      <c r="AC84" s="1" t="s">
        <v>693</v>
      </c>
      <c r="AD84" t="s">
        <v>693</v>
      </c>
      <c r="AE84" t="s">
        <v>693</v>
      </c>
    </row>
    <row r="85" spans="2:31" x14ac:dyDescent="0.25">
      <c r="B85" s="4" t="s">
        <v>694</v>
      </c>
      <c r="C85" t="s">
        <v>694</v>
      </c>
      <c r="D85" t="s">
        <v>694</v>
      </c>
      <c r="E85" s="1" t="s">
        <v>695</v>
      </c>
      <c r="F85" s="2" t="s">
        <v>695</v>
      </c>
      <c r="G85" s="1" t="s">
        <v>695</v>
      </c>
      <c r="H85" s="1" t="s">
        <v>695</v>
      </c>
      <c r="I85" s="1" t="s">
        <v>695</v>
      </c>
      <c r="J85" s="1" t="s">
        <v>695</v>
      </c>
      <c r="K85" s="1" t="s">
        <v>695</v>
      </c>
      <c r="L85" s="1" t="s">
        <v>695</v>
      </c>
      <c r="M85" s="1" t="s">
        <v>695</v>
      </c>
      <c r="N85" s="1" t="s">
        <v>695</v>
      </c>
      <c r="O85" s="1" t="s">
        <v>695</v>
      </c>
      <c r="P85" s="1" t="s">
        <v>695</v>
      </c>
      <c r="Q85" s="1" t="s">
        <v>695</v>
      </c>
      <c r="R85" s="1" t="s">
        <v>695</v>
      </c>
      <c r="S85" t="s">
        <v>695</v>
      </c>
      <c r="T85" t="s">
        <v>695</v>
      </c>
      <c r="U85" t="s">
        <v>695</v>
      </c>
      <c r="V85" s="1" t="s">
        <v>695</v>
      </c>
      <c r="W85" s="2" t="s">
        <v>695</v>
      </c>
      <c r="X85" s="1" t="s">
        <v>695</v>
      </c>
      <c r="Y85" s="1" t="s">
        <v>695</v>
      </c>
      <c r="Z85" s="1" t="s">
        <v>695</v>
      </c>
      <c r="AA85" s="1" t="s">
        <v>695</v>
      </c>
      <c r="AB85" s="1" t="s">
        <v>695</v>
      </c>
      <c r="AC85" s="1" t="s">
        <v>695</v>
      </c>
      <c r="AD85" t="s">
        <v>695</v>
      </c>
      <c r="AE85" t="s">
        <v>695</v>
      </c>
    </row>
    <row r="86" spans="2:31" x14ac:dyDescent="0.25">
      <c r="B86" s="4" t="s">
        <v>696</v>
      </c>
      <c r="C86" t="s">
        <v>696</v>
      </c>
      <c r="D86" t="s">
        <v>696</v>
      </c>
      <c r="E86" s="1" t="s">
        <v>697</v>
      </c>
      <c r="F86" s="2" t="s">
        <v>697</v>
      </c>
      <c r="G86" s="1" t="s">
        <v>697</v>
      </c>
      <c r="H86" s="1" t="s">
        <v>697</v>
      </c>
      <c r="I86" s="1" t="s">
        <v>697</v>
      </c>
      <c r="J86" s="1" t="s">
        <v>697</v>
      </c>
      <c r="K86" s="1" t="s">
        <v>697</v>
      </c>
      <c r="L86" s="1" t="s">
        <v>697</v>
      </c>
      <c r="M86" s="1" t="s">
        <v>697</v>
      </c>
      <c r="N86" s="1" t="s">
        <v>697</v>
      </c>
      <c r="O86" s="1" t="s">
        <v>697</v>
      </c>
      <c r="P86" s="1" t="s">
        <v>697</v>
      </c>
      <c r="Q86" s="1" t="s">
        <v>697</v>
      </c>
      <c r="R86" s="1" t="s">
        <v>697</v>
      </c>
      <c r="S86" t="s">
        <v>697</v>
      </c>
      <c r="T86" t="s">
        <v>697</v>
      </c>
      <c r="U86" t="s">
        <v>697</v>
      </c>
      <c r="V86" s="1" t="s">
        <v>697</v>
      </c>
      <c r="W86" s="2" t="s">
        <v>697</v>
      </c>
      <c r="X86" s="1" t="s">
        <v>697</v>
      </c>
      <c r="Y86" s="1" t="s">
        <v>697</v>
      </c>
      <c r="Z86" s="1" t="s">
        <v>697</v>
      </c>
      <c r="AA86" s="1" t="s">
        <v>697</v>
      </c>
      <c r="AB86" s="1" t="s">
        <v>697</v>
      </c>
      <c r="AC86" s="1" t="s">
        <v>697</v>
      </c>
      <c r="AD86" t="s">
        <v>697</v>
      </c>
      <c r="AE86" t="s">
        <v>697</v>
      </c>
    </row>
    <row r="87" spans="2:31" x14ac:dyDescent="0.25">
      <c r="B87" s="4" t="s">
        <v>698</v>
      </c>
      <c r="C87" t="s">
        <v>698</v>
      </c>
      <c r="D87" t="s">
        <v>698</v>
      </c>
      <c r="E87" s="1" t="s">
        <v>699</v>
      </c>
      <c r="F87" s="2" t="s">
        <v>699</v>
      </c>
      <c r="G87" s="1" t="s">
        <v>699</v>
      </c>
      <c r="H87" s="1" t="s">
        <v>699</v>
      </c>
      <c r="I87" s="1" t="s">
        <v>699</v>
      </c>
      <c r="J87" s="1" t="s">
        <v>699</v>
      </c>
      <c r="K87" s="1" t="s">
        <v>699</v>
      </c>
      <c r="L87" s="1" t="s">
        <v>699</v>
      </c>
      <c r="M87" s="1" t="s">
        <v>699</v>
      </c>
      <c r="N87" s="1" t="s">
        <v>699</v>
      </c>
      <c r="O87" s="1" t="s">
        <v>699</v>
      </c>
      <c r="P87" s="1" t="s">
        <v>699</v>
      </c>
      <c r="Q87" s="1" t="s">
        <v>699</v>
      </c>
      <c r="R87" s="1" t="s">
        <v>699</v>
      </c>
      <c r="S87" t="s">
        <v>699</v>
      </c>
      <c r="T87" t="s">
        <v>699</v>
      </c>
      <c r="U87" t="s">
        <v>699</v>
      </c>
      <c r="V87" s="1" t="s">
        <v>699</v>
      </c>
      <c r="W87" s="2" t="s">
        <v>699</v>
      </c>
      <c r="X87" s="1" t="s">
        <v>699</v>
      </c>
      <c r="Y87" s="1" t="s">
        <v>699</v>
      </c>
      <c r="Z87" s="1" t="s">
        <v>699</v>
      </c>
      <c r="AA87" s="1" t="s">
        <v>699</v>
      </c>
      <c r="AB87" s="1" t="s">
        <v>699</v>
      </c>
      <c r="AC87" s="1" t="s">
        <v>699</v>
      </c>
      <c r="AD87" t="s">
        <v>699</v>
      </c>
      <c r="AE87" t="s">
        <v>699</v>
      </c>
    </row>
    <row r="88" spans="2:31" x14ac:dyDescent="0.25">
      <c r="B88" s="4" t="s">
        <v>700</v>
      </c>
      <c r="C88" t="s">
        <v>700</v>
      </c>
      <c r="D88" t="s">
        <v>700</v>
      </c>
      <c r="E88" s="1" t="s">
        <v>117</v>
      </c>
      <c r="F88" s="2" t="s">
        <v>117</v>
      </c>
      <c r="G88" s="1" t="s">
        <v>117</v>
      </c>
      <c r="H88" s="1" t="s">
        <v>117</v>
      </c>
      <c r="I88" s="1" t="s">
        <v>117</v>
      </c>
      <c r="J88" s="1" t="s">
        <v>117</v>
      </c>
      <c r="K88" s="1" t="s">
        <v>117</v>
      </c>
      <c r="L88" s="1" t="s">
        <v>117</v>
      </c>
      <c r="M88" s="1" t="s">
        <v>117</v>
      </c>
      <c r="N88" s="1" t="s">
        <v>117</v>
      </c>
      <c r="O88" s="1" t="s">
        <v>117</v>
      </c>
      <c r="P88" s="1" t="s">
        <v>117</v>
      </c>
      <c r="Q88" s="1" t="s">
        <v>117</v>
      </c>
      <c r="R88" s="1" t="s">
        <v>117</v>
      </c>
      <c r="S88" t="s">
        <v>117</v>
      </c>
      <c r="T88" t="s">
        <v>117</v>
      </c>
      <c r="U88" t="s">
        <v>117</v>
      </c>
      <c r="V88" s="1" t="s">
        <v>117</v>
      </c>
      <c r="W88" s="2" t="s">
        <v>117</v>
      </c>
      <c r="X88" s="1" t="s">
        <v>117</v>
      </c>
      <c r="Y88" s="1" t="s">
        <v>117</v>
      </c>
      <c r="Z88" s="1" t="s">
        <v>117</v>
      </c>
      <c r="AA88" s="1" t="s">
        <v>117</v>
      </c>
      <c r="AB88" s="1" t="s">
        <v>117</v>
      </c>
      <c r="AC88" s="1" t="s">
        <v>117</v>
      </c>
      <c r="AD88" t="s">
        <v>117</v>
      </c>
      <c r="AE88" t="s">
        <v>117</v>
      </c>
    </row>
    <row r="89" spans="2:31" x14ac:dyDescent="0.25">
      <c r="B89" s="4" t="s">
        <v>701</v>
      </c>
      <c r="C89" t="s">
        <v>701</v>
      </c>
      <c r="D89" t="s">
        <v>701</v>
      </c>
      <c r="G89" s="1"/>
      <c r="H89" s="1"/>
      <c r="I89" s="1"/>
      <c r="J89" s="1"/>
      <c r="K89" s="1"/>
      <c r="L89" s="1"/>
      <c r="M89" s="1"/>
      <c r="N89" s="1"/>
      <c r="O89" s="1"/>
      <c r="P89" s="1"/>
      <c r="Q89" s="1"/>
      <c r="R89" s="1"/>
      <c r="V89" s="1"/>
      <c r="W89" s="2"/>
      <c r="X89" s="1"/>
      <c r="Y89" s="1"/>
      <c r="Z89" s="1"/>
      <c r="AA89" s="1"/>
      <c r="AB89" s="1"/>
      <c r="AC89" s="1"/>
    </row>
    <row r="90" spans="2:31" x14ac:dyDescent="0.25">
      <c r="B90" s="4" t="s">
        <v>317</v>
      </c>
      <c r="C90" t="s">
        <v>317</v>
      </c>
      <c r="D90" t="s">
        <v>317</v>
      </c>
      <c r="E90" s="1" t="str">
        <f t="shared" ref="E90:R90" si="13">"&lt;div class=""archive-grid"" id=""weeks-grid"" data-json=""../data/exerzitien/inhalt/"&amp;E2&amp;"_de-inhalt.json""&gt;"</f>
        <v>&lt;div class="archive-grid" id="weeks-grid" data-json="../data/exerzitien/inhalt/2024_advent_de-inhalt.json"&gt;</v>
      </c>
      <c r="F90" s="2" t="str">
        <f t="shared" ref="F90:I90" si="14">"&lt;div class=""archive-grid"" id=""weeks-grid"" data-json=""../data/exerzitien/inhalt/"&amp;F2&amp;"_de-inhalt.json""&gt;"</f>
        <v>&lt;div class="archive-grid" id="weeks-grid" data-json="../data/exerzitien/inhalt/2023_advent_de-inhalt.json"&gt;</v>
      </c>
      <c r="G90" s="1" t="str">
        <f t="shared" si="14"/>
        <v>&lt;div class="archive-grid" id="weeks-grid" data-json="../data/exerzitien/inhalt/2023_lent_de-inhalt.json"&gt;</v>
      </c>
      <c r="H90" s="1" t="str">
        <f t="shared" si="14"/>
        <v>&lt;div class="archive-grid" id="weeks-grid" data-json="../data/exerzitien/inhalt/2023_fs_de-inhalt.json"&gt;</v>
      </c>
      <c r="I90" s="1" t="str">
        <f t="shared" si="14"/>
        <v>&lt;div class="archive-grid" id="weeks-grid" data-json="../data/exerzitien/inhalt/_de-inhalt.json"&gt;</v>
      </c>
      <c r="J90" s="1" t="str">
        <f t="shared" ref="J90:Z90" si="15">"&lt;div class=""archive-grid"" id=""weeks-grid"" data-json=""../data/exerzitien/inhalt/"&amp;J2&amp;"_de-inhalt.json""&gt;"</f>
        <v>&lt;div class="archive-grid" id="weeks-grid" data-json="../data/exerzitien/inhalt/_de-inhalt.json"&gt;</v>
      </c>
      <c r="K90" s="1" t="str">
        <f t="shared" si="15"/>
        <v>&lt;div class="archive-grid" id="weeks-grid" data-json="../data/exerzitien/inhalt/_de-inhalt.json"&gt;</v>
      </c>
      <c r="L90" s="1" t="str">
        <f t="shared" si="15"/>
        <v>&lt;div class="archive-grid" id="weeks-grid" data-json="../data/exerzitien/inhalt/_de-inhalt.json"&gt;</v>
      </c>
      <c r="M90" s="1" t="str">
        <f t="shared" si="15"/>
        <v>&lt;div class="archive-grid" id="weeks-grid" data-json="../data/exerzitien/inhalt/_de-inhalt.json"&gt;</v>
      </c>
      <c r="N90" s="1" t="str">
        <f t="shared" si="15"/>
        <v>&lt;div class="archive-grid" id="weeks-grid" data-json="../data/exerzitien/inhalt/_de-inhalt.json"&gt;</v>
      </c>
      <c r="O90" s="1" t="str">
        <f t="shared" si="15"/>
        <v>&lt;div class="archive-grid" id="weeks-grid" data-json="../data/exerzitien/inhalt/_de-inhalt.json"&gt;</v>
      </c>
      <c r="P90" s="1" t="str">
        <f t="shared" si="15"/>
        <v>&lt;div class="archive-grid" id="weeks-grid" data-json="../data/exerzitien/inhalt/_de-inhalt.json"&gt;</v>
      </c>
      <c r="Q90" s="1" t="str">
        <f t="shared" si="15"/>
        <v>&lt;div class="archive-grid" id="weeks-grid" data-json="../data/exerzitien/inhalt/_de-inhalt.json"&gt;</v>
      </c>
      <c r="R90" s="1" t="str">
        <f t="shared" si="15"/>
        <v>&lt;div class="archive-grid" id="weeks-grid" data-json="../data/exerzitien/inhalt/_de-inhalt.json"&gt;</v>
      </c>
      <c r="S90" t="str">
        <f t="shared" si="15"/>
        <v>&lt;div class="archive-grid" id="weeks-grid" data-json="../data/exerzitien/inhalt/_de-inhalt.json"&gt;</v>
      </c>
      <c r="T90" t="str">
        <f t="shared" si="15"/>
        <v>&lt;div class="archive-grid" id="weeks-grid" data-json="../data/exerzitien/inhalt/_de-inhalt.json"&gt;</v>
      </c>
      <c r="U90" t="str">
        <f t="shared" si="15"/>
        <v>&lt;div class="archive-grid" id="weeks-grid" data-json="../data/exerzitien/inhalt/_de-inhalt.json"&gt;</v>
      </c>
      <c r="V90" s="1" t="str">
        <f t="shared" si="15"/>
        <v>&lt;div class="archive-grid" id="weeks-grid" data-json="../data/exerzitien/inhalt/_de-inhalt.json"&gt;</v>
      </c>
      <c r="W90" s="2" t="str">
        <f t="shared" si="15"/>
        <v>&lt;div class="archive-grid" id="weeks-grid" data-json="../data/exerzitien/inhalt/_de-inhalt.json"&gt;</v>
      </c>
      <c r="X90" s="1" t="str">
        <f t="shared" si="15"/>
        <v>&lt;div class="archive-grid" id="weeks-grid" data-json="../data/exerzitien/inhalt/_de-inhalt.json"&gt;</v>
      </c>
      <c r="Y90" s="1" t="str">
        <f t="shared" si="15"/>
        <v>&lt;div class="archive-grid" id="weeks-grid" data-json="../data/exerzitien/inhalt/_de-inhalt.json"&gt;</v>
      </c>
      <c r="Z90" s="1" t="str">
        <f t="shared" si="15"/>
        <v>&lt;div class="archive-grid" id="weeks-grid" data-json="../data/exerzitien/inhalt/_de-inhalt.json"&gt;</v>
      </c>
      <c r="AA90" s="1" t="str">
        <f t="shared" ref="AA90:AE90" si="16">"&lt;div class=""archive-grid"" id=""weeks-grid"" data-json=""../data/exerzitien/inhalt/"&amp;AA2&amp;"_de-inhalt.json""&gt;"</f>
        <v>&lt;div class="archive-grid" id="weeks-grid" data-json="../data/exerzitien/inhalt/_de-inhalt.json"&gt;</v>
      </c>
      <c r="AB90" s="1" t="str">
        <f t="shared" si="16"/>
        <v>&lt;div class="archive-grid" id="weeks-grid" data-json="../data/exerzitien/inhalt/_de-inhalt.json"&gt;</v>
      </c>
      <c r="AC90" s="1" t="str">
        <f t="shared" si="16"/>
        <v>&lt;div class="archive-grid" id="weeks-grid" data-json="../data/exerzitien/inhalt/_de-inhalt.json"&gt;</v>
      </c>
      <c r="AD90" t="str">
        <f t="shared" si="16"/>
        <v>&lt;div class="archive-grid" id="weeks-grid" data-json="../data/exerzitien/inhalt/_de-inhalt.json"&gt;</v>
      </c>
      <c r="AE90" t="str">
        <f t="shared" si="16"/>
        <v>&lt;div class="archive-grid" id="weeks-grid" data-json="../data/exerzitien/inhalt/_de-inhalt.json"&gt;</v>
      </c>
    </row>
    <row r="91" spans="2:31" x14ac:dyDescent="0.25">
      <c r="B91" s="5"/>
      <c r="E91" s="1" t="s">
        <v>702</v>
      </c>
      <c r="F91" s="2" t="s">
        <v>702</v>
      </c>
      <c r="G91" s="1" t="s">
        <v>702</v>
      </c>
      <c r="H91" s="1" t="s">
        <v>702</v>
      </c>
      <c r="I91" s="1" t="s">
        <v>702</v>
      </c>
      <c r="J91" s="1" t="s">
        <v>702</v>
      </c>
      <c r="K91" s="1" t="s">
        <v>702</v>
      </c>
      <c r="L91" s="1" t="s">
        <v>702</v>
      </c>
      <c r="M91" s="1" t="s">
        <v>702</v>
      </c>
      <c r="N91" s="1" t="s">
        <v>702</v>
      </c>
      <c r="O91" s="1" t="s">
        <v>702</v>
      </c>
      <c r="P91" s="1" t="s">
        <v>702</v>
      </c>
      <c r="Q91" s="1" t="s">
        <v>702</v>
      </c>
      <c r="R91" s="1" t="s">
        <v>702</v>
      </c>
      <c r="S91" t="s">
        <v>702</v>
      </c>
      <c r="T91" t="s">
        <v>702</v>
      </c>
      <c r="U91" t="s">
        <v>702</v>
      </c>
      <c r="V91" s="1" t="s">
        <v>702</v>
      </c>
      <c r="W91" s="2" t="s">
        <v>702</v>
      </c>
      <c r="X91" s="1" t="s">
        <v>702</v>
      </c>
      <c r="Y91" s="1" t="s">
        <v>702</v>
      </c>
      <c r="Z91" s="1" t="s">
        <v>702</v>
      </c>
      <c r="AA91" s="1" t="s">
        <v>702</v>
      </c>
      <c r="AB91" s="1" t="s">
        <v>702</v>
      </c>
      <c r="AC91" s="1" t="s">
        <v>702</v>
      </c>
      <c r="AD91" t="s">
        <v>702</v>
      </c>
      <c r="AE91" t="s">
        <v>702</v>
      </c>
    </row>
    <row r="92" spans="2:31" x14ac:dyDescent="0.25">
      <c r="B92" s="4" t="s">
        <v>703</v>
      </c>
      <c r="C92" t="s">
        <v>703</v>
      </c>
      <c r="D92" t="s">
        <v>703</v>
      </c>
      <c r="E92" s="1" t="s">
        <v>704</v>
      </c>
      <c r="F92" s="2" t="s">
        <v>704</v>
      </c>
      <c r="G92" s="1" t="s">
        <v>704</v>
      </c>
      <c r="H92" s="1" t="s">
        <v>704</v>
      </c>
      <c r="I92" s="1" t="s">
        <v>704</v>
      </c>
      <c r="J92" s="1" t="s">
        <v>704</v>
      </c>
      <c r="K92" s="1" t="s">
        <v>704</v>
      </c>
      <c r="L92" s="1" t="s">
        <v>704</v>
      </c>
      <c r="M92" s="1" t="s">
        <v>704</v>
      </c>
      <c r="N92" s="1" t="s">
        <v>704</v>
      </c>
      <c r="O92" s="1" t="s">
        <v>704</v>
      </c>
      <c r="P92" s="1" t="s">
        <v>704</v>
      </c>
      <c r="Q92" s="1" t="s">
        <v>704</v>
      </c>
      <c r="R92" s="1" t="s">
        <v>704</v>
      </c>
      <c r="S92" t="s">
        <v>704</v>
      </c>
      <c r="T92" t="s">
        <v>704</v>
      </c>
      <c r="U92" t="s">
        <v>704</v>
      </c>
      <c r="V92" s="1" t="s">
        <v>704</v>
      </c>
      <c r="W92" s="2" t="s">
        <v>704</v>
      </c>
      <c r="X92" s="1" t="s">
        <v>704</v>
      </c>
      <c r="Y92" s="1" t="s">
        <v>704</v>
      </c>
      <c r="Z92" s="1" t="s">
        <v>704</v>
      </c>
      <c r="AA92" s="1" t="s">
        <v>704</v>
      </c>
      <c r="AB92" s="1" t="s">
        <v>704</v>
      </c>
      <c r="AC92" s="1" t="s">
        <v>704</v>
      </c>
      <c r="AD92" t="s">
        <v>704</v>
      </c>
      <c r="AE92" t="s">
        <v>704</v>
      </c>
    </row>
    <row r="93" spans="2:31" x14ac:dyDescent="0.25">
      <c r="B93" s="4" t="s">
        <v>705</v>
      </c>
      <c r="C93" t="s">
        <v>705</v>
      </c>
      <c r="D93" t="s">
        <v>705</v>
      </c>
      <c r="E93" s="1" t="s">
        <v>117</v>
      </c>
      <c r="F93" s="2" t="s">
        <v>117</v>
      </c>
      <c r="G93" s="1" t="s">
        <v>117</v>
      </c>
      <c r="H93" s="1" t="s">
        <v>117</v>
      </c>
      <c r="I93" s="1" t="s">
        <v>117</v>
      </c>
      <c r="J93" s="1" t="s">
        <v>117</v>
      </c>
      <c r="K93" s="1" t="s">
        <v>117</v>
      </c>
      <c r="L93" s="1" t="s">
        <v>117</v>
      </c>
      <c r="M93" s="1" t="s">
        <v>117</v>
      </c>
      <c r="N93" s="1" t="s">
        <v>117</v>
      </c>
      <c r="O93" s="1" t="s">
        <v>117</v>
      </c>
      <c r="P93" s="1" t="s">
        <v>117</v>
      </c>
      <c r="Q93" s="1" t="s">
        <v>117</v>
      </c>
      <c r="R93" s="1" t="s">
        <v>117</v>
      </c>
      <c r="S93" t="s">
        <v>117</v>
      </c>
      <c r="T93" t="s">
        <v>117</v>
      </c>
      <c r="U93" t="s">
        <v>117</v>
      </c>
      <c r="V93" s="1" t="s">
        <v>117</v>
      </c>
      <c r="W93" s="2" t="s">
        <v>117</v>
      </c>
      <c r="X93" s="1" t="s">
        <v>117</v>
      </c>
      <c r="Y93" s="1" t="s">
        <v>117</v>
      </c>
      <c r="Z93" s="1" t="s">
        <v>117</v>
      </c>
      <c r="AA93" s="1" t="s">
        <v>117</v>
      </c>
      <c r="AB93" s="1" t="s">
        <v>117</v>
      </c>
      <c r="AC93" s="1" t="s">
        <v>117</v>
      </c>
      <c r="AD93" t="s">
        <v>117</v>
      </c>
      <c r="AE93" t="s">
        <v>117</v>
      </c>
    </row>
    <row r="94" spans="2:31" x14ac:dyDescent="0.25">
      <c r="B94" s="4" t="s">
        <v>706</v>
      </c>
      <c r="C94" t="s">
        <v>706</v>
      </c>
      <c r="D94" t="s">
        <v>706</v>
      </c>
      <c r="E94" s="1" t="s">
        <v>117</v>
      </c>
      <c r="F94" s="2" t="s">
        <v>117</v>
      </c>
      <c r="G94" s="1" t="s">
        <v>117</v>
      </c>
      <c r="H94" s="1" t="s">
        <v>117</v>
      </c>
      <c r="I94" s="1" t="s">
        <v>117</v>
      </c>
      <c r="J94" s="1" t="s">
        <v>117</v>
      </c>
      <c r="K94" s="1" t="s">
        <v>117</v>
      </c>
      <c r="L94" s="1" t="s">
        <v>117</v>
      </c>
      <c r="M94" s="1" t="s">
        <v>117</v>
      </c>
      <c r="N94" s="1" t="s">
        <v>117</v>
      </c>
      <c r="O94" s="1" t="s">
        <v>117</v>
      </c>
      <c r="P94" s="1" t="s">
        <v>117</v>
      </c>
      <c r="Q94" s="1" t="s">
        <v>117</v>
      </c>
      <c r="R94" s="1" t="s">
        <v>117</v>
      </c>
      <c r="S94" t="s">
        <v>117</v>
      </c>
      <c r="T94" t="s">
        <v>117</v>
      </c>
      <c r="U94" t="s">
        <v>117</v>
      </c>
      <c r="V94" s="1" t="s">
        <v>117</v>
      </c>
      <c r="W94" s="2" t="s">
        <v>117</v>
      </c>
      <c r="X94" s="1" t="s">
        <v>117</v>
      </c>
      <c r="Y94" s="1" t="s">
        <v>117</v>
      </c>
      <c r="Z94" s="1" t="s">
        <v>117</v>
      </c>
      <c r="AA94" s="1" t="s">
        <v>117</v>
      </c>
      <c r="AB94" s="1" t="s">
        <v>117</v>
      </c>
      <c r="AC94" s="1" t="s">
        <v>117</v>
      </c>
      <c r="AD94" t="s">
        <v>117</v>
      </c>
      <c r="AE94" t="s">
        <v>117</v>
      </c>
    </row>
    <row r="95" spans="2:31" x14ac:dyDescent="0.25">
      <c r="B95" s="4" t="s">
        <v>676</v>
      </c>
      <c r="C95" t="s">
        <v>676</v>
      </c>
      <c r="D95" t="s">
        <v>676</v>
      </c>
      <c r="E95" s="1" t="s">
        <v>689</v>
      </c>
      <c r="F95" s="2" t="s">
        <v>689</v>
      </c>
      <c r="G95" s="1" t="s">
        <v>689</v>
      </c>
      <c r="H95" s="1" t="s">
        <v>689</v>
      </c>
      <c r="I95" s="1" t="s">
        <v>689</v>
      </c>
      <c r="J95" s="1" t="s">
        <v>689</v>
      </c>
      <c r="K95" s="1" t="s">
        <v>689</v>
      </c>
      <c r="L95" s="1" t="s">
        <v>689</v>
      </c>
      <c r="M95" s="1" t="s">
        <v>689</v>
      </c>
      <c r="N95" s="1" t="s">
        <v>689</v>
      </c>
      <c r="O95" s="1" t="s">
        <v>689</v>
      </c>
      <c r="P95" s="1" t="s">
        <v>689</v>
      </c>
      <c r="Q95" s="1" t="s">
        <v>689</v>
      </c>
      <c r="R95" s="1" t="s">
        <v>689</v>
      </c>
      <c r="S95" t="s">
        <v>689</v>
      </c>
      <c r="T95" t="s">
        <v>689</v>
      </c>
      <c r="U95" t="s">
        <v>689</v>
      </c>
      <c r="V95" s="1" t="s">
        <v>689</v>
      </c>
      <c r="W95" s="2" t="s">
        <v>689</v>
      </c>
      <c r="X95" s="1" t="s">
        <v>689</v>
      </c>
      <c r="Y95" s="1" t="s">
        <v>689</v>
      </c>
      <c r="Z95" s="1" t="s">
        <v>689</v>
      </c>
      <c r="AA95" s="1" t="s">
        <v>689</v>
      </c>
      <c r="AB95" s="1" t="s">
        <v>689</v>
      </c>
      <c r="AC95" s="1" t="s">
        <v>689</v>
      </c>
      <c r="AD95" t="s">
        <v>689</v>
      </c>
      <c r="AE95" t="s">
        <v>689</v>
      </c>
    </row>
    <row r="96" spans="2:31" x14ac:dyDescent="0.25">
      <c r="B96" s="4" t="s">
        <v>707</v>
      </c>
      <c r="C96" t="s">
        <v>707</v>
      </c>
      <c r="D96" t="s">
        <v>707</v>
      </c>
      <c r="E96" s="1" t="s">
        <v>690</v>
      </c>
      <c r="F96" s="2" t="s">
        <v>690</v>
      </c>
      <c r="G96" s="1" t="s">
        <v>690</v>
      </c>
      <c r="H96" s="1" t="s">
        <v>690</v>
      </c>
      <c r="I96" s="1" t="s">
        <v>690</v>
      </c>
      <c r="J96" s="1" t="s">
        <v>690</v>
      </c>
      <c r="K96" s="1" t="s">
        <v>690</v>
      </c>
      <c r="L96" s="1" t="s">
        <v>690</v>
      </c>
      <c r="M96" s="1" t="s">
        <v>690</v>
      </c>
      <c r="N96" s="1" t="s">
        <v>690</v>
      </c>
      <c r="O96" s="1" t="s">
        <v>690</v>
      </c>
      <c r="P96" s="1" t="s">
        <v>690</v>
      </c>
      <c r="Q96" s="1" t="s">
        <v>690</v>
      </c>
      <c r="R96" s="1" t="s">
        <v>690</v>
      </c>
      <c r="S96" t="s">
        <v>690</v>
      </c>
      <c r="T96" t="s">
        <v>690</v>
      </c>
      <c r="U96" t="s">
        <v>690</v>
      </c>
      <c r="V96" s="1" t="s">
        <v>690</v>
      </c>
      <c r="W96" s="2" t="s">
        <v>690</v>
      </c>
      <c r="X96" s="1" t="s">
        <v>690</v>
      </c>
      <c r="Y96" s="1" t="s">
        <v>690</v>
      </c>
      <c r="Z96" s="1" t="s">
        <v>690</v>
      </c>
      <c r="AA96" s="1" t="s">
        <v>690</v>
      </c>
      <c r="AB96" s="1" t="s">
        <v>690</v>
      </c>
      <c r="AC96" s="1" t="s">
        <v>690</v>
      </c>
      <c r="AD96" t="s">
        <v>690</v>
      </c>
      <c r="AE96" t="s">
        <v>690</v>
      </c>
    </row>
    <row r="97" spans="2:31" x14ac:dyDescent="0.25">
      <c r="B97" s="4" t="s">
        <v>708</v>
      </c>
      <c r="C97" t="s">
        <v>708</v>
      </c>
      <c r="D97" t="s">
        <v>708</v>
      </c>
      <c r="E97" s="1" t="s">
        <v>681</v>
      </c>
      <c r="F97" s="2" t="s">
        <v>681</v>
      </c>
      <c r="G97" s="1" t="s">
        <v>681</v>
      </c>
      <c r="H97" s="1" t="s">
        <v>681</v>
      </c>
      <c r="I97" s="1" t="s">
        <v>681</v>
      </c>
      <c r="J97" s="1" t="s">
        <v>681</v>
      </c>
      <c r="K97" s="1" t="s">
        <v>681</v>
      </c>
      <c r="L97" s="1" t="s">
        <v>681</v>
      </c>
      <c r="M97" s="1" t="s">
        <v>681</v>
      </c>
      <c r="N97" s="1" t="s">
        <v>681</v>
      </c>
      <c r="O97" s="1" t="s">
        <v>681</v>
      </c>
      <c r="P97" s="1" t="s">
        <v>681</v>
      </c>
      <c r="Q97" s="1" t="s">
        <v>681</v>
      </c>
      <c r="R97" s="1" t="s">
        <v>681</v>
      </c>
      <c r="S97" t="s">
        <v>681</v>
      </c>
      <c r="T97" t="s">
        <v>681</v>
      </c>
      <c r="U97" t="s">
        <v>681</v>
      </c>
      <c r="V97" s="1" t="s">
        <v>681</v>
      </c>
      <c r="W97" s="2" t="s">
        <v>681</v>
      </c>
      <c r="X97" s="1" t="s">
        <v>681</v>
      </c>
      <c r="Y97" s="1" t="s">
        <v>681</v>
      </c>
      <c r="Z97" s="1" t="s">
        <v>681</v>
      </c>
      <c r="AA97" s="1" t="s">
        <v>681</v>
      </c>
      <c r="AB97" s="1" t="s">
        <v>681</v>
      </c>
      <c r="AC97" s="1" t="s">
        <v>681</v>
      </c>
      <c r="AD97" t="s">
        <v>681</v>
      </c>
      <c r="AE97" t="s">
        <v>681</v>
      </c>
    </row>
    <row r="98" spans="2:31" x14ac:dyDescent="0.25">
      <c r="B98" s="4" t="s">
        <v>709</v>
      </c>
      <c r="C98" t="s">
        <v>709</v>
      </c>
      <c r="D98" t="s">
        <v>709</v>
      </c>
      <c r="E98" s="1" t="s">
        <v>123</v>
      </c>
      <c r="F98" s="2" t="s">
        <v>123</v>
      </c>
      <c r="G98" s="1" t="s">
        <v>123</v>
      </c>
      <c r="H98" s="1" t="s">
        <v>123</v>
      </c>
      <c r="I98" s="1" t="s">
        <v>123</v>
      </c>
      <c r="J98" s="1" t="s">
        <v>123</v>
      </c>
      <c r="K98" s="1" t="s">
        <v>123</v>
      </c>
      <c r="L98" s="1" t="s">
        <v>123</v>
      </c>
      <c r="M98" s="1" t="s">
        <v>123</v>
      </c>
      <c r="N98" s="1" t="s">
        <v>123</v>
      </c>
      <c r="O98" s="1" t="s">
        <v>123</v>
      </c>
      <c r="P98" s="1" t="s">
        <v>123</v>
      </c>
      <c r="Q98" s="1" t="s">
        <v>123</v>
      </c>
      <c r="R98" s="1" t="s">
        <v>123</v>
      </c>
      <c r="S98" t="s">
        <v>123</v>
      </c>
      <c r="T98" t="s">
        <v>123</v>
      </c>
      <c r="U98" t="s">
        <v>123</v>
      </c>
      <c r="V98" s="1" t="s">
        <v>123</v>
      </c>
      <c r="W98" s="2" t="s">
        <v>123</v>
      </c>
      <c r="X98" s="1" t="s">
        <v>123</v>
      </c>
      <c r="Y98" s="1" t="s">
        <v>123</v>
      </c>
      <c r="Z98" s="1" t="s">
        <v>123</v>
      </c>
      <c r="AA98" s="1" t="s">
        <v>123</v>
      </c>
      <c r="AB98" s="1" t="s">
        <v>123</v>
      </c>
      <c r="AC98" s="1" t="s">
        <v>123</v>
      </c>
      <c r="AD98" t="s">
        <v>123</v>
      </c>
      <c r="AE98" t="s">
        <v>123</v>
      </c>
    </row>
    <row r="99" spans="2:31" x14ac:dyDescent="0.25">
      <c r="B99" s="3" t="s">
        <v>155</v>
      </c>
      <c r="C99" t="s">
        <v>156</v>
      </c>
      <c r="D99" t="s">
        <v>156</v>
      </c>
      <c r="E99" s="1" t="s">
        <v>692</v>
      </c>
      <c r="F99" s="2" t="s">
        <v>692</v>
      </c>
      <c r="G99" s="1" t="s">
        <v>692</v>
      </c>
      <c r="H99" s="1" t="s">
        <v>692</v>
      </c>
      <c r="I99" s="1" t="s">
        <v>692</v>
      </c>
      <c r="J99" s="1" t="s">
        <v>692</v>
      </c>
      <c r="K99" s="1" t="s">
        <v>692</v>
      </c>
      <c r="L99" s="1" t="s">
        <v>692</v>
      </c>
      <c r="M99" s="1" t="s">
        <v>692</v>
      </c>
      <c r="N99" s="1" t="s">
        <v>692</v>
      </c>
      <c r="O99" s="1" t="s">
        <v>692</v>
      </c>
      <c r="P99" s="1" t="s">
        <v>692</v>
      </c>
      <c r="Q99" s="1" t="s">
        <v>692</v>
      </c>
      <c r="R99" s="1" t="s">
        <v>692</v>
      </c>
      <c r="S99" t="s">
        <v>692</v>
      </c>
      <c r="T99" t="s">
        <v>692</v>
      </c>
      <c r="U99" t="s">
        <v>692</v>
      </c>
      <c r="V99" s="1" t="s">
        <v>692</v>
      </c>
      <c r="W99" s="2" t="s">
        <v>692</v>
      </c>
      <c r="X99" s="1" t="s">
        <v>692</v>
      </c>
      <c r="Y99" s="1" t="s">
        <v>692</v>
      </c>
      <c r="Z99" s="1" t="s">
        <v>692</v>
      </c>
      <c r="AA99" s="1" t="s">
        <v>692</v>
      </c>
      <c r="AB99" s="1" t="s">
        <v>692</v>
      </c>
      <c r="AC99" s="1" t="s">
        <v>692</v>
      </c>
      <c r="AD99" t="s">
        <v>692</v>
      </c>
      <c r="AE99" t="s">
        <v>692</v>
      </c>
    </row>
    <row r="100" spans="2:31" x14ac:dyDescent="0.25">
      <c r="B100" s="3" t="s">
        <v>157</v>
      </c>
      <c r="C100" t="s">
        <v>158</v>
      </c>
      <c r="D100" t="s">
        <v>158</v>
      </c>
      <c r="E100" s="1" t="s">
        <v>694</v>
      </c>
      <c r="F100" s="2" t="s">
        <v>694</v>
      </c>
      <c r="G100" s="1" t="s">
        <v>694</v>
      </c>
      <c r="H100" s="1" t="s">
        <v>694</v>
      </c>
      <c r="I100" s="1" t="s">
        <v>694</v>
      </c>
      <c r="J100" s="1" t="s">
        <v>694</v>
      </c>
      <c r="K100" s="1" t="s">
        <v>694</v>
      </c>
      <c r="L100" s="1" t="s">
        <v>694</v>
      </c>
      <c r="M100" s="1" t="s">
        <v>694</v>
      </c>
      <c r="N100" s="1" t="s">
        <v>694</v>
      </c>
      <c r="O100" s="1" t="s">
        <v>694</v>
      </c>
      <c r="P100" s="1" t="s">
        <v>694</v>
      </c>
      <c r="Q100" s="1" t="s">
        <v>694</v>
      </c>
      <c r="R100" s="1" t="s">
        <v>694</v>
      </c>
      <c r="S100" t="s">
        <v>694</v>
      </c>
      <c r="T100" t="s">
        <v>694</v>
      </c>
      <c r="U100" t="s">
        <v>694</v>
      </c>
      <c r="V100" s="1" t="s">
        <v>694</v>
      </c>
      <c r="W100" s="2" t="s">
        <v>694</v>
      </c>
      <c r="X100" s="1" t="s">
        <v>694</v>
      </c>
      <c r="Y100" s="1" t="s">
        <v>694</v>
      </c>
      <c r="Z100" s="1" t="s">
        <v>694</v>
      </c>
      <c r="AA100" s="1" t="s">
        <v>694</v>
      </c>
      <c r="AB100" s="1" t="s">
        <v>694</v>
      </c>
      <c r="AC100" s="1" t="s">
        <v>694</v>
      </c>
      <c r="AD100" t="s">
        <v>694</v>
      </c>
      <c r="AE100" t="s">
        <v>694</v>
      </c>
    </row>
    <row r="101" spans="2:31" x14ac:dyDescent="0.25">
      <c r="B101" s="4" t="s">
        <v>191</v>
      </c>
      <c r="C101" t="s">
        <v>191</v>
      </c>
      <c r="D101" t="s">
        <v>191</v>
      </c>
      <c r="E101" s="1" t="s">
        <v>696</v>
      </c>
      <c r="F101" s="2" t="s">
        <v>696</v>
      </c>
      <c r="G101" s="1" t="s">
        <v>696</v>
      </c>
      <c r="H101" s="1" t="s">
        <v>696</v>
      </c>
      <c r="I101" s="1" t="s">
        <v>696</v>
      </c>
      <c r="J101" s="1" t="s">
        <v>696</v>
      </c>
      <c r="K101" s="1" t="s">
        <v>696</v>
      </c>
      <c r="L101" s="1" t="s">
        <v>696</v>
      </c>
      <c r="M101" s="1" t="s">
        <v>696</v>
      </c>
      <c r="N101" s="1" t="s">
        <v>696</v>
      </c>
      <c r="O101" s="1" t="s">
        <v>696</v>
      </c>
      <c r="P101" s="1" t="s">
        <v>696</v>
      </c>
      <c r="Q101" s="1" t="s">
        <v>696</v>
      </c>
      <c r="R101" s="1" t="s">
        <v>696</v>
      </c>
      <c r="S101" t="s">
        <v>696</v>
      </c>
      <c r="T101" t="s">
        <v>696</v>
      </c>
      <c r="U101" t="s">
        <v>696</v>
      </c>
      <c r="V101" s="1" t="s">
        <v>696</v>
      </c>
      <c r="W101" s="2" t="s">
        <v>696</v>
      </c>
      <c r="X101" s="1" t="s">
        <v>696</v>
      </c>
      <c r="Y101" s="1" t="s">
        <v>696</v>
      </c>
      <c r="Z101" s="1" t="s">
        <v>696</v>
      </c>
      <c r="AA101" s="1" t="s">
        <v>696</v>
      </c>
      <c r="AB101" s="1" t="s">
        <v>696</v>
      </c>
      <c r="AC101" s="1" t="s">
        <v>696</v>
      </c>
      <c r="AD101" t="s">
        <v>696</v>
      </c>
      <c r="AE101" t="s">
        <v>696</v>
      </c>
    </row>
    <row r="102" spans="2:31" x14ac:dyDescent="0.25">
      <c r="B102" s="4" t="s">
        <v>710</v>
      </c>
      <c r="C102" t="s">
        <v>710</v>
      </c>
      <c r="D102" t="s">
        <v>710</v>
      </c>
      <c r="E102" s="1" t="s">
        <v>698</v>
      </c>
      <c r="F102" s="2" t="s">
        <v>698</v>
      </c>
      <c r="G102" s="1" t="s">
        <v>698</v>
      </c>
      <c r="H102" s="1" t="s">
        <v>698</v>
      </c>
      <c r="I102" s="1" t="s">
        <v>698</v>
      </c>
      <c r="J102" s="1" t="s">
        <v>698</v>
      </c>
      <c r="K102" s="1" t="s">
        <v>698</v>
      </c>
      <c r="L102" s="1" t="s">
        <v>698</v>
      </c>
      <c r="M102" s="1" t="s">
        <v>698</v>
      </c>
      <c r="N102" s="1" t="s">
        <v>698</v>
      </c>
      <c r="O102" s="1" t="s">
        <v>698</v>
      </c>
      <c r="P102" s="1" t="s">
        <v>698</v>
      </c>
      <c r="Q102" s="1" t="s">
        <v>698</v>
      </c>
      <c r="R102" s="1" t="s">
        <v>698</v>
      </c>
      <c r="S102" t="s">
        <v>698</v>
      </c>
      <c r="T102" t="s">
        <v>698</v>
      </c>
      <c r="U102" t="s">
        <v>698</v>
      </c>
      <c r="V102" s="1" t="s">
        <v>698</v>
      </c>
      <c r="W102" s="2" t="s">
        <v>698</v>
      </c>
      <c r="X102" s="1" t="s">
        <v>698</v>
      </c>
      <c r="Y102" s="1" t="s">
        <v>698</v>
      </c>
      <c r="Z102" s="1" t="s">
        <v>698</v>
      </c>
      <c r="AA102" s="1" t="s">
        <v>698</v>
      </c>
      <c r="AB102" s="1" t="s">
        <v>698</v>
      </c>
      <c r="AC102" s="1" t="s">
        <v>698</v>
      </c>
      <c r="AD102" t="s">
        <v>698</v>
      </c>
      <c r="AE102" t="s">
        <v>698</v>
      </c>
    </row>
    <row r="103" spans="2:31" x14ac:dyDescent="0.25">
      <c r="B103" s="4" t="s">
        <v>711</v>
      </c>
      <c r="C103" t="s">
        <v>711</v>
      </c>
      <c r="D103" t="s">
        <v>711</v>
      </c>
      <c r="E103" s="1" t="s">
        <v>700</v>
      </c>
      <c r="F103" s="2" t="s">
        <v>700</v>
      </c>
      <c r="G103" s="1" t="s">
        <v>700</v>
      </c>
      <c r="H103" s="1" t="s">
        <v>700</v>
      </c>
      <c r="I103" s="1" t="s">
        <v>700</v>
      </c>
      <c r="J103" s="1" t="s">
        <v>700</v>
      </c>
      <c r="K103" s="1" t="s">
        <v>700</v>
      </c>
      <c r="L103" s="1" t="s">
        <v>700</v>
      </c>
      <c r="M103" s="1" t="s">
        <v>700</v>
      </c>
      <c r="N103" s="1" t="s">
        <v>700</v>
      </c>
      <c r="O103" s="1" t="s">
        <v>700</v>
      </c>
      <c r="P103" s="1" t="s">
        <v>700</v>
      </c>
      <c r="Q103" s="1" t="s">
        <v>700</v>
      </c>
      <c r="R103" s="1" t="s">
        <v>700</v>
      </c>
      <c r="S103" t="s">
        <v>700</v>
      </c>
      <c r="T103" t="s">
        <v>700</v>
      </c>
      <c r="U103" t="s">
        <v>700</v>
      </c>
      <c r="V103" s="1" t="s">
        <v>700</v>
      </c>
      <c r="W103" s="2" t="s">
        <v>700</v>
      </c>
      <c r="X103" s="1" t="s">
        <v>700</v>
      </c>
      <c r="Y103" s="1" t="s">
        <v>700</v>
      </c>
      <c r="Z103" s="1" t="s">
        <v>700</v>
      </c>
      <c r="AA103" s="1" t="s">
        <v>700</v>
      </c>
      <c r="AB103" s="1" t="s">
        <v>700</v>
      </c>
      <c r="AC103" s="1" t="s">
        <v>700</v>
      </c>
      <c r="AD103" t="s">
        <v>700</v>
      </c>
      <c r="AE103" t="s">
        <v>700</v>
      </c>
    </row>
    <row r="104" spans="2:31" x14ac:dyDescent="0.25">
      <c r="B104" s="4" t="s">
        <v>712</v>
      </c>
      <c r="C104" t="s">
        <v>712</v>
      </c>
      <c r="D104" t="s">
        <v>712</v>
      </c>
      <c r="E104" s="1" t="s">
        <v>701</v>
      </c>
      <c r="F104" s="2" t="s">
        <v>701</v>
      </c>
      <c r="G104" s="1" t="s">
        <v>701</v>
      </c>
      <c r="H104" s="1" t="s">
        <v>701</v>
      </c>
      <c r="I104" s="1" t="s">
        <v>701</v>
      </c>
      <c r="J104" s="1" t="s">
        <v>701</v>
      </c>
      <c r="K104" s="1" t="s">
        <v>701</v>
      </c>
      <c r="L104" s="1" t="s">
        <v>701</v>
      </c>
      <c r="M104" s="1" t="s">
        <v>701</v>
      </c>
      <c r="N104" s="1" t="s">
        <v>701</v>
      </c>
      <c r="O104" s="1" t="s">
        <v>701</v>
      </c>
      <c r="P104" s="1" t="s">
        <v>701</v>
      </c>
      <c r="Q104" s="1" t="s">
        <v>701</v>
      </c>
      <c r="R104" s="1" t="s">
        <v>701</v>
      </c>
      <c r="S104" t="s">
        <v>701</v>
      </c>
      <c r="T104" t="s">
        <v>701</v>
      </c>
      <c r="U104" t="s">
        <v>701</v>
      </c>
      <c r="V104" s="1" t="s">
        <v>701</v>
      </c>
      <c r="W104" s="2" t="s">
        <v>701</v>
      </c>
      <c r="X104" s="1" t="s">
        <v>701</v>
      </c>
      <c r="Y104" s="1" t="s">
        <v>701</v>
      </c>
      <c r="Z104" s="1" t="s">
        <v>701</v>
      </c>
      <c r="AA104" s="1" t="s">
        <v>701</v>
      </c>
      <c r="AB104" s="1" t="s">
        <v>701</v>
      </c>
      <c r="AC104" s="1" t="s">
        <v>701</v>
      </c>
      <c r="AD104" t="s">
        <v>701</v>
      </c>
      <c r="AE104" t="s">
        <v>701</v>
      </c>
    </row>
    <row r="105" spans="2:31" x14ac:dyDescent="0.25">
      <c r="B105" s="4" t="s">
        <v>713</v>
      </c>
      <c r="C105" t="s">
        <v>713</v>
      </c>
      <c r="D105" t="s">
        <v>713</v>
      </c>
      <c r="E105" s="1" t="s">
        <v>317</v>
      </c>
      <c r="F105" s="2" t="s">
        <v>317</v>
      </c>
      <c r="G105" s="1" t="s">
        <v>317</v>
      </c>
      <c r="H105" s="1" t="s">
        <v>317</v>
      </c>
      <c r="I105" s="1" t="s">
        <v>317</v>
      </c>
      <c r="J105" s="1" t="s">
        <v>317</v>
      </c>
      <c r="K105" s="1" t="s">
        <v>317</v>
      </c>
      <c r="L105" s="1" t="s">
        <v>317</v>
      </c>
      <c r="M105" s="1" t="s">
        <v>317</v>
      </c>
      <c r="N105" s="1" t="s">
        <v>317</v>
      </c>
      <c r="O105" s="1" t="s">
        <v>317</v>
      </c>
      <c r="P105" s="1" t="s">
        <v>317</v>
      </c>
      <c r="Q105" s="1" t="s">
        <v>317</v>
      </c>
      <c r="R105" s="1" t="s">
        <v>317</v>
      </c>
      <c r="S105" t="s">
        <v>317</v>
      </c>
      <c r="T105" t="s">
        <v>317</v>
      </c>
      <c r="U105" t="s">
        <v>317</v>
      </c>
      <c r="V105" s="1" t="s">
        <v>317</v>
      </c>
      <c r="W105" s="2" t="s">
        <v>317</v>
      </c>
      <c r="X105" s="1" t="s">
        <v>317</v>
      </c>
      <c r="Y105" s="1" t="s">
        <v>317</v>
      </c>
      <c r="Z105" s="1" t="s">
        <v>317</v>
      </c>
      <c r="AA105" s="1" t="s">
        <v>317</v>
      </c>
      <c r="AB105" s="1" t="s">
        <v>317</v>
      </c>
      <c r="AC105" s="1" t="s">
        <v>317</v>
      </c>
      <c r="AD105" t="s">
        <v>317</v>
      </c>
      <c r="AE105" t="s">
        <v>317</v>
      </c>
    </row>
    <row r="106" spans="2:31" x14ac:dyDescent="0.25">
      <c r="B106" s="4" t="s">
        <v>714</v>
      </c>
      <c r="C106" t="s">
        <v>714</v>
      </c>
      <c r="D106" t="s">
        <v>714</v>
      </c>
      <c r="G106" s="1"/>
      <c r="H106" s="1"/>
      <c r="I106" s="1"/>
      <c r="J106" s="1"/>
      <c r="K106" s="1"/>
      <c r="L106" s="1"/>
      <c r="M106" s="1"/>
      <c r="N106" s="1"/>
      <c r="O106" s="1"/>
      <c r="P106" s="1"/>
      <c r="Q106" s="1"/>
      <c r="R106" s="1"/>
      <c r="V106" s="1"/>
      <c r="W106" s="2"/>
      <c r="X106" s="1"/>
      <c r="Y106" s="1"/>
      <c r="Z106" s="1"/>
      <c r="AA106" s="1"/>
      <c r="AB106" s="1"/>
      <c r="AC106" s="1"/>
    </row>
    <row r="107" spans="2:31" x14ac:dyDescent="0.25">
      <c r="B107" s="4" t="s">
        <v>715</v>
      </c>
      <c r="C107" t="s">
        <v>715</v>
      </c>
      <c r="D107" t="s">
        <v>715</v>
      </c>
      <c r="E107" s="1" t="s">
        <v>703</v>
      </c>
      <c r="F107" s="2" t="s">
        <v>703</v>
      </c>
      <c r="G107" s="1" t="s">
        <v>703</v>
      </c>
      <c r="H107" s="1" t="s">
        <v>703</v>
      </c>
      <c r="I107" s="1" t="s">
        <v>703</v>
      </c>
      <c r="J107" s="1" t="s">
        <v>703</v>
      </c>
      <c r="K107" s="1" t="s">
        <v>703</v>
      </c>
      <c r="L107" s="1" t="s">
        <v>703</v>
      </c>
      <c r="M107" s="1" t="s">
        <v>703</v>
      </c>
      <c r="N107" s="1" t="s">
        <v>703</v>
      </c>
      <c r="O107" s="1" t="s">
        <v>703</v>
      </c>
      <c r="P107" s="1" t="s">
        <v>703</v>
      </c>
      <c r="Q107" s="1" t="s">
        <v>703</v>
      </c>
      <c r="R107" s="1" t="s">
        <v>703</v>
      </c>
      <c r="S107" t="s">
        <v>703</v>
      </c>
      <c r="T107" t="s">
        <v>703</v>
      </c>
      <c r="U107" t="s">
        <v>703</v>
      </c>
      <c r="V107" s="1" t="s">
        <v>703</v>
      </c>
      <c r="W107" s="2" t="s">
        <v>703</v>
      </c>
      <c r="X107" s="1" t="s">
        <v>703</v>
      </c>
      <c r="Y107" s="1" t="s">
        <v>703</v>
      </c>
      <c r="Z107" s="1" t="s">
        <v>703</v>
      </c>
      <c r="AA107" s="1" t="s">
        <v>703</v>
      </c>
      <c r="AB107" s="1" t="s">
        <v>703</v>
      </c>
      <c r="AC107" s="1" t="s">
        <v>703</v>
      </c>
      <c r="AD107" t="s">
        <v>703</v>
      </c>
      <c r="AE107" t="s">
        <v>703</v>
      </c>
    </row>
    <row r="108" spans="2:31" x14ac:dyDescent="0.25">
      <c r="B108" s="4" t="s">
        <v>716</v>
      </c>
      <c r="C108" t="s">
        <v>716</v>
      </c>
      <c r="D108" t="s">
        <v>716</v>
      </c>
      <c r="E108" s="1" t="s">
        <v>705</v>
      </c>
      <c r="F108" s="2" t="s">
        <v>705</v>
      </c>
      <c r="G108" s="1" t="s">
        <v>705</v>
      </c>
      <c r="H108" s="1" t="s">
        <v>705</v>
      </c>
      <c r="I108" s="1" t="s">
        <v>705</v>
      </c>
      <c r="J108" s="1" t="s">
        <v>705</v>
      </c>
      <c r="K108" s="1" t="s">
        <v>705</v>
      </c>
      <c r="L108" s="1" t="s">
        <v>705</v>
      </c>
      <c r="M108" s="1" t="s">
        <v>705</v>
      </c>
      <c r="N108" s="1" t="s">
        <v>705</v>
      </c>
      <c r="O108" s="1" t="s">
        <v>705</v>
      </c>
      <c r="P108" s="1" t="s">
        <v>705</v>
      </c>
      <c r="Q108" s="1" t="s">
        <v>705</v>
      </c>
      <c r="R108" s="1" t="s">
        <v>705</v>
      </c>
      <c r="S108" t="s">
        <v>705</v>
      </c>
      <c r="T108" t="s">
        <v>705</v>
      </c>
      <c r="U108" t="s">
        <v>705</v>
      </c>
      <c r="V108" s="1" t="s">
        <v>705</v>
      </c>
      <c r="W108" s="2" t="s">
        <v>705</v>
      </c>
      <c r="X108" s="1" t="s">
        <v>705</v>
      </c>
      <c r="Y108" s="1" t="s">
        <v>705</v>
      </c>
      <c r="Z108" s="1" t="s">
        <v>705</v>
      </c>
      <c r="AA108" s="1" t="s">
        <v>705</v>
      </c>
      <c r="AB108" s="1" t="s">
        <v>705</v>
      </c>
      <c r="AC108" s="1" t="s">
        <v>705</v>
      </c>
      <c r="AD108" t="s">
        <v>705</v>
      </c>
      <c r="AE108" t="s">
        <v>705</v>
      </c>
    </row>
    <row r="109" spans="2:31" x14ac:dyDescent="0.25">
      <c r="B109" s="4" t="s">
        <v>717</v>
      </c>
      <c r="C109" t="s">
        <v>717</v>
      </c>
      <c r="D109" t="s">
        <v>717</v>
      </c>
      <c r="E109" s="1" t="s">
        <v>706</v>
      </c>
      <c r="F109" s="2" t="s">
        <v>706</v>
      </c>
      <c r="G109" s="1" t="s">
        <v>706</v>
      </c>
      <c r="H109" s="1" t="s">
        <v>706</v>
      </c>
      <c r="I109" s="1" t="s">
        <v>706</v>
      </c>
      <c r="J109" s="1" t="s">
        <v>706</v>
      </c>
      <c r="K109" s="1" t="s">
        <v>706</v>
      </c>
      <c r="L109" s="1" t="s">
        <v>706</v>
      </c>
      <c r="M109" s="1" t="s">
        <v>706</v>
      </c>
      <c r="N109" s="1" t="s">
        <v>706</v>
      </c>
      <c r="O109" s="1" t="s">
        <v>706</v>
      </c>
      <c r="P109" s="1" t="s">
        <v>706</v>
      </c>
      <c r="Q109" s="1" t="s">
        <v>706</v>
      </c>
      <c r="R109" s="1" t="s">
        <v>706</v>
      </c>
      <c r="S109" t="s">
        <v>706</v>
      </c>
      <c r="T109" t="s">
        <v>706</v>
      </c>
      <c r="U109" t="s">
        <v>706</v>
      </c>
      <c r="V109" s="1" t="s">
        <v>706</v>
      </c>
      <c r="W109" s="2" t="s">
        <v>706</v>
      </c>
      <c r="X109" s="1" t="s">
        <v>706</v>
      </c>
      <c r="Y109" s="1" t="s">
        <v>706</v>
      </c>
      <c r="Z109" s="1" t="s">
        <v>706</v>
      </c>
      <c r="AA109" s="1" t="s">
        <v>706</v>
      </c>
      <c r="AB109" s="1" t="s">
        <v>706</v>
      </c>
      <c r="AC109" s="1" t="s">
        <v>706</v>
      </c>
      <c r="AD109" t="s">
        <v>706</v>
      </c>
      <c r="AE109" t="s">
        <v>706</v>
      </c>
    </row>
    <row r="110" spans="2:31" x14ac:dyDescent="0.25">
      <c r="B110" s="4" t="s">
        <v>718</v>
      </c>
      <c r="C110" t="s">
        <v>718</v>
      </c>
      <c r="D110" t="s">
        <v>718</v>
      </c>
      <c r="E110" s="1" t="s">
        <v>676</v>
      </c>
      <c r="F110" s="2" t="s">
        <v>676</v>
      </c>
      <c r="G110" s="1" t="s">
        <v>676</v>
      </c>
      <c r="H110" s="1" t="s">
        <v>676</v>
      </c>
      <c r="I110" s="1" t="s">
        <v>676</v>
      </c>
      <c r="J110" s="1" t="s">
        <v>676</v>
      </c>
      <c r="K110" s="1" t="s">
        <v>676</v>
      </c>
      <c r="L110" s="1" t="s">
        <v>676</v>
      </c>
      <c r="M110" s="1" t="s">
        <v>676</v>
      </c>
      <c r="N110" s="1" t="s">
        <v>676</v>
      </c>
      <c r="O110" s="1" t="s">
        <v>676</v>
      </c>
      <c r="P110" s="1" t="s">
        <v>676</v>
      </c>
      <c r="Q110" s="1" t="s">
        <v>676</v>
      </c>
      <c r="R110" s="1" t="s">
        <v>676</v>
      </c>
      <c r="S110" t="s">
        <v>676</v>
      </c>
      <c r="T110" t="s">
        <v>676</v>
      </c>
      <c r="U110" t="s">
        <v>676</v>
      </c>
      <c r="V110" s="1" t="s">
        <v>676</v>
      </c>
      <c r="W110" s="2" t="s">
        <v>676</v>
      </c>
      <c r="X110" s="1" t="s">
        <v>676</v>
      </c>
      <c r="Y110" s="1" t="s">
        <v>676</v>
      </c>
      <c r="Z110" s="1" t="s">
        <v>676</v>
      </c>
      <c r="AA110" s="1" t="s">
        <v>676</v>
      </c>
      <c r="AB110" s="1" t="s">
        <v>676</v>
      </c>
      <c r="AC110" s="1" t="s">
        <v>676</v>
      </c>
      <c r="AD110" t="s">
        <v>676</v>
      </c>
      <c r="AE110" t="s">
        <v>676</v>
      </c>
    </row>
    <row r="111" spans="2:31" x14ac:dyDescent="0.25">
      <c r="B111" s="4" t="s">
        <v>719</v>
      </c>
      <c r="C111" t="s">
        <v>719</v>
      </c>
      <c r="D111" t="s">
        <v>719</v>
      </c>
      <c r="E111" s="1" t="s">
        <v>707</v>
      </c>
      <c r="F111" s="2" t="s">
        <v>707</v>
      </c>
      <c r="G111" s="1" t="s">
        <v>707</v>
      </c>
      <c r="H111" s="1" t="s">
        <v>707</v>
      </c>
      <c r="I111" s="1" t="s">
        <v>707</v>
      </c>
      <c r="J111" s="1" t="s">
        <v>707</v>
      </c>
      <c r="K111" s="1" t="s">
        <v>707</v>
      </c>
      <c r="L111" s="1" t="s">
        <v>707</v>
      </c>
      <c r="M111" s="1" t="s">
        <v>707</v>
      </c>
      <c r="N111" s="1" t="s">
        <v>707</v>
      </c>
      <c r="O111" s="1" t="s">
        <v>707</v>
      </c>
      <c r="P111" s="1" t="s">
        <v>707</v>
      </c>
      <c r="Q111" s="1" t="s">
        <v>707</v>
      </c>
      <c r="R111" s="1" t="s">
        <v>707</v>
      </c>
      <c r="S111" t="s">
        <v>707</v>
      </c>
      <c r="T111" t="s">
        <v>707</v>
      </c>
      <c r="U111" t="s">
        <v>707</v>
      </c>
      <c r="V111" s="1" t="s">
        <v>707</v>
      </c>
      <c r="W111" s="2" t="s">
        <v>707</v>
      </c>
      <c r="X111" s="1" t="s">
        <v>707</v>
      </c>
      <c r="Y111" s="1" t="s">
        <v>707</v>
      </c>
      <c r="Z111" s="1" t="s">
        <v>707</v>
      </c>
      <c r="AA111" s="1" t="s">
        <v>707</v>
      </c>
      <c r="AB111" s="1" t="s">
        <v>707</v>
      </c>
      <c r="AC111" s="1" t="s">
        <v>707</v>
      </c>
      <c r="AD111" t="s">
        <v>707</v>
      </c>
      <c r="AE111" t="s">
        <v>707</v>
      </c>
    </row>
    <row r="112" spans="2:31" x14ac:dyDescent="0.25">
      <c r="B112" s="4" t="s">
        <v>720</v>
      </c>
      <c r="C112" t="s">
        <v>720</v>
      </c>
      <c r="D112" t="s">
        <v>720</v>
      </c>
      <c r="E112" s="1" t="s">
        <v>708</v>
      </c>
      <c r="F112" s="2" t="s">
        <v>708</v>
      </c>
      <c r="G112" s="1" t="s">
        <v>708</v>
      </c>
      <c r="H112" s="1" t="s">
        <v>708</v>
      </c>
      <c r="I112" s="1" t="s">
        <v>708</v>
      </c>
      <c r="J112" s="1" t="s">
        <v>708</v>
      </c>
      <c r="K112" s="1" t="s">
        <v>708</v>
      </c>
      <c r="L112" s="1" t="s">
        <v>708</v>
      </c>
      <c r="M112" s="1" t="s">
        <v>708</v>
      </c>
      <c r="N112" s="1" t="s">
        <v>708</v>
      </c>
      <c r="O112" s="1" t="s">
        <v>708</v>
      </c>
      <c r="P112" s="1" t="s">
        <v>708</v>
      </c>
      <c r="Q112" s="1" t="s">
        <v>708</v>
      </c>
      <c r="R112" s="1" t="s">
        <v>708</v>
      </c>
      <c r="S112" t="s">
        <v>708</v>
      </c>
      <c r="T112" t="s">
        <v>708</v>
      </c>
      <c r="U112" t="s">
        <v>708</v>
      </c>
      <c r="V112" s="1" t="s">
        <v>708</v>
      </c>
      <c r="W112" s="2" t="s">
        <v>708</v>
      </c>
      <c r="X112" s="1" t="s">
        <v>708</v>
      </c>
      <c r="Y112" s="1" t="s">
        <v>708</v>
      </c>
      <c r="Z112" s="1" t="s">
        <v>708</v>
      </c>
      <c r="AA112" s="1" t="s">
        <v>708</v>
      </c>
      <c r="AB112" s="1" t="s">
        <v>708</v>
      </c>
      <c r="AC112" s="1" t="s">
        <v>708</v>
      </c>
      <c r="AD112" t="s">
        <v>708</v>
      </c>
      <c r="AE112" t="s">
        <v>708</v>
      </c>
    </row>
    <row r="113" spans="2:31" ht="409.5" x14ac:dyDescent="0.25">
      <c r="B113" s="4" t="s">
        <v>721</v>
      </c>
      <c r="C113" t="s">
        <v>721</v>
      </c>
      <c r="D113" t="s">
        <v>721</v>
      </c>
      <c r="E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F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G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H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I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J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K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L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M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N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O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P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Q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R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S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T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U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V113" s="6"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W113" s="2"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X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Y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Z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A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B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C113" s="1"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D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c r="AE113" t="str">
        <f>form_block_de!$A1</f>
        <v>&lt;section class="section-intro" id="abonniere"&gt;
&lt;div id="mc_embed_shell"&gt;  
&lt;div id="mc_embed_signup"&gt;
    &lt;form action="https://karmel.us6.list-manage.com/subscribe/post?u=7c9d2aa0ecc1fde64fd44bc67&amp;amp;id=10430a5833&amp;amp;f_id=009254e3f0" method="post" id="mc-embedded-subscribe-form" name="mc-embedded-subscribe-form" class="validate" target="_self" novalidate=""&gt;
        &lt;div id="mc_embed_signup_scroll"&gt;
            &lt;div class="mc-field-group"&gt;&lt;label for="mce-EMAIL"&gt;eMail Adresse&lt;span class="asterisk"&gt;* (erforderlich)&lt;/span&gt;&lt;/label&gt;
              &lt;input type="email" name="EMAIL" class="required email" id="mce-EMAIL" required="" value=""&gt;&lt;/div&gt;
              &lt;div class="mc-field-group"&gt;&lt;label for="mce-FNAME"&gt;Vorname &lt;/label&gt;
                &lt;input type="text" name="FNAME" class=" text" id="mce-FNAME" value=""&gt;&lt;/div&gt;
                &lt;div class="mc-field-group"&gt;&lt;label for="mce-LNAME"&gt;Nachname &lt;/label&gt;
                  &lt;input type="text" name="LNAME" class=" text" id="mce-LNAME" value=""&gt;&lt;/div&gt;
                                        &lt;div class="mc-field-group"&gt;&lt;label for="mce-AUFMERKS01"&gt;Wie sind Sie auf uns aufmerksam geworden? &lt;/label&gt;
                        &lt;select name="AUFMERKS01" class="" id="mce-AUFMERKS01"&gt;
                        &lt;option value="Bitte auswahlen..."&gt;Bitte auswahlen...&lt;/option&gt;
                        &lt;option value="Karmeliten in Wien"&gt;Karmeliten in Wien&lt;/option&gt;
                        &lt;option value="Karmeliten in Linz"&gt;Karmeliten in Linz&lt;/option&gt;
                        &lt;option value="Karmeliten in Graz"&gt;Karmeliten in Graz&lt;/option&gt;
                        &lt;option value="Persönliche Empfehlung"&gt;Persönliche Empfehlung&lt;/option&gt;
                        &lt;option value="Plakat"&gt;Plakat&lt;/option&gt;
                        &lt;option value="Internetsuche"&gt;Internetsuche&lt;/option&gt;
                        &lt;option value="YouTube"&gt;YouTube&lt;/option&gt;
                        &lt;option value="Facebook"&gt;Facebook&lt;/option&gt;
                        &lt;option value="Instagram"&gt;Instagram&lt;/option&gt;
                        &lt;option value="Sonstiges"&gt;Sonstiges&lt;/option&gt;&lt;/select&gt;&lt;/div&gt;
                      &lt;div class="mc-field-group" id="sonstiges-field" style="display:none"&gt;&lt;label for="mce-AUFMERKS02"&gt;Sonstiges&lt;/label&gt;
                        &lt;input type="text" name="AUFMERKS02" class=" text" id="mce-AUFMERKS02" value="" disabled&gt;&lt;span id="mce-AUFMERKS02-HELPERTEXT" class="help-block" hidden&gt;Wenn Sie „Sonstiges“ ausgewählt haben, geben Sie bitte hier &lt;/span&gt;
                      &lt;/div&gt;
                  &lt;div class="mc-field-group"&gt;&lt;label for="mce-LNAME"&gt; &lt;/label&gt;
                  &lt;/div&gt;
                    &lt;div class="mc-field-group input-group"&gt;
                      &lt;details class="interest-details"&gt;
                        &lt;summary&gt;Weitere Angebote der Karmeliten&lt;/summary&gt;
                        &lt;ul class="interest-group" style="text-align: left;"&gt;
                        &lt;li&gt;&lt;input type="checkbox" name="group[16777][64]" id="mce-group[16777]-16777-0" value=""&gt;&lt;label for="mce-group[16777]-16777-0"&gt;alle Veranstaltungen des Karmel in Österreich&lt;/label&gt;&lt;/li&gt;
                          &lt;details class="interest-details" style="padding-left: 1rem"&gt;&lt;summary&gt;Orte und Formate einschränken&lt;/summary&gt;
                            &lt;ul&gt;
                        &lt;li&gt;&lt;input type="checkbox" name="group[16777][512]" id="mce-group[16777]-16777-1" value="" &gt;&lt;label for="mce-group[16777]-16777-1"&gt;in Wien&lt;/label&gt;&lt;/li&gt;
                        &lt;li&gt;&lt;input type="checkbox" name="group[16777][1024]" id="mce-group[16777]-16777-2" value="" &gt;&lt;label for="mce-group[16777]-16777-2"&gt;in Linz&lt;/label&gt;&lt;/li&gt;
                        &lt;li&gt;&lt;input type="checkbox" name="group[16777][2048]" id="mce-group[16777]-16777-3" value="" &gt;&lt;label for="mce-group[16777]-16777-3"&gt;in Graz&lt;/label&gt;&lt;/li&gt;
                        &lt;li&gt;&lt;input type="checkbox" name="group[16777][524288]" id="mce-group[16777]-16777-4" value=""&gt;&lt;label for="mce-group[16777]-16777-4"&gt;online&lt;/label&gt;&lt;/li&gt;
                      &lt;/ul&gt;
                      &lt;/details&gt;
                        &lt;li&gt;&lt;input type="checkbox" name="group[16777][256]" id="mce-group[16777]-16777-5" value=""&gt;&lt;label for="mce-group[16777]-16777-5"&gt;Infos/Veranstaltungen der Edith Stein Gesellschaft&lt;/label&gt;&lt;/li&gt;
                        &lt;details class="interest-details" &gt;&lt;summary&gt;Novenen und Exerzitien auswählen&lt;/summary&gt;
                          &lt;ul&gt;
                        &lt;li&gt;&lt;input type="checkbox" name="group[16777][128]" id="mce-group[16777]-16777-6" value=""&gt;&lt;label for="mce-group[16777]-16777-6"&gt;Friedensgebet/Novene Hl. Edith Stein&lt;/label&gt;&lt;/li&gt;
                        &lt;li style="display:none"&gt;&lt;input type="checkbox" name="group[16777][32]" id="mce-group[16777]-16777-7" value="" checked&gt;&lt;label for="mce-group[16777]-16777-7"&gt;Exerzitien Online in Advent/Fastenzeit&lt;/label&gt;&lt;/li&gt;
                        &lt;li&gt;&lt;input type="checkbox" name="group[16777][16]" id="mce-group[16777]-16777-8" value=""&gt;&lt;label for="mce-group[16777]-16777-8"&gt;Novene Online zum Skapulierfest&lt;/label&gt;&lt;/li&gt;
                        &lt;li&gt;&lt;input type="checkbox" name="group[16777][8192]" id="mce-group[16777]-16777-9" value=""&gt;&lt;label for="mce-group[16777]-16777-9"&gt;33 Schritte mit Maria zu Jesus&lt;/label&gt;&lt;/li&gt;
                        &lt;li&gt;&lt;input type="checkbox" name="group[16777][4096]" id="mce-group[16777]-16777-10" value=""&gt;&lt;label for="mce-group[16777]-16777-10"&gt;Jesus-Gebet&lt;/label&gt;&lt;/li&gt;                      
                          &lt;/ul&gt;
                        &lt;/details&gt;
&lt;!--                                    &lt;div class="card-links"&gt;
              &lt;a href="#angebote-cards"&gt;Mehr Informationen zur Angebote nach unten&lt;/a&gt;
            &lt;/div&gt; --&gt;
                      &lt;/ul&gt;
                      &lt;/details&gt;
                      &lt;div hidden=""&gt;&lt;input type="hidden" name="tags" value="8501"&gt;&lt;/div&gt;
                    &lt;/div&gt;
        &lt;div id="mce-responses" class="clear"&gt;
            &lt;div class="response" id="mce-error-response" style="display: none;"&gt;&lt;/div&gt;
            &lt;div class="response" id="mce-success-response" style="display: none;"&gt;&lt;/div&gt;
        &lt;/div&gt;&lt;div style="position: absolute; left: -5000px;" aria-hidden="true"&gt;&lt;input type="text" name="b_7c9d2aa0ecc1fde64fd44bc67_10430a5833" tabindex="-1" value=""&gt;&lt;/div&gt;
        &lt;div class="clear"&gt;&lt;input type="submit" name="subscribe" id="mc-embedded-subscribe" class="button-signup" value="Anmelden"&gt;&lt;/div&gt;
&lt;/form&gt;
      &lt;/section&gt;
                &lt;/div&gt;
            &lt;/div&gt;
                      &lt;div class="datenschutz-toggle"&gt;
          &lt;a href="#datenschutz-wrap" id="datenschutz-toggle" aria-expanded="false" aria-controls="datenschutz-wrap"&gt;Datenschutz&lt;/a&gt;
                      &lt;div id="datenschutz-wrap" hidden&gt;
          &lt;p style="font-size: 14px;"&gt;Die Karmeliten in Österreich werden die Informationen, die Sie in diesem Formular angeben, dazu verwenden, mit Ihnen in Kontakt zu bleiben und Ihnen Informationen über Internet-Aktivitäten wie Exerzitien Online o.ä. zu übermitteln – je nach Ihrer Auswahl im obigen Formular.
            Sie können Ihre Meinung jederzeit ändern, indem Sie auf den Abbestellungs-Link klicken, den Sie in der Fußzeile jeder E-Mail, die Sie von uns erhalten, finden können, oder indem Sie uns unter online-exerzitien@karmel.at kontaktieren. Wir werden Ihre Informationen mit Sorgfalt und Respekt behandeln. Weitere Informationen zu unseren Datenschutzpraktiken finden Sie auf unserer Website www.karmel.at. Indem Sie unten klicken, erklären Sie sich damit einverstanden, dass wir Ihre Informationen in Übereinstimmung mit diesen Bedingungen verarbeiten dürfen.
          &lt;/p&gt;
          &lt;p style="font-size: 14px;"&gt;
  Wir nutzen Mailchimp als unsere Marketing-Plattform. Mit einem Klick auf den untenstehenden Button zum Abonnieren erklären Sie sich damit einverstanden, dass Ihre Daten zur Verarbeitung an Mailchimp übermittelt werden.&lt;/p&gt;
  &lt;a class="plain-link" href="https://mailchimp.com/legal/terms/" target="_blank" rel="noopener noreferrer" style="display:inline-block; font-size: 14px; font-weight: 200; text-decoration:none;"&gt;
      Mehr über die Datenschutzpraktiken von Mailchimp erfahren Sie hier.
  &lt;/a&gt;&lt;/div&gt;&lt;/div&gt;
          &lt;/div&gt;
        &lt;/div&gt;
      &lt;/section&gt;</v>
      </c>
    </row>
    <row r="114" spans="2:31" x14ac:dyDescent="0.25">
      <c r="B114" s="4" t="s">
        <v>722</v>
      </c>
      <c r="C114" t="s">
        <v>722</v>
      </c>
      <c r="D114" t="s">
        <v>722</v>
      </c>
      <c r="G114" s="1"/>
      <c r="H114" s="1"/>
      <c r="I114" s="1"/>
      <c r="J114" s="1"/>
      <c r="K114" s="1"/>
      <c r="L114" s="1"/>
      <c r="M114" s="1"/>
      <c r="N114" s="1"/>
      <c r="O114" s="1"/>
      <c r="P114" s="1"/>
      <c r="Q114" s="1"/>
      <c r="R114" s="1"/>
      <c r="V114" s="1"/>
      <c r="W114" s="2"/>
      <c r="X114" s="1"/>
      <c r="Y114" s="1"/>
      <c r="Z114" s="1"/>
      <c r="AA114" s="1"/>
      <c r="AB114" s="1"/>
      <c r="AC114" s="1"/>
    </row>
    <row r="115" spans="2:31" x14ac:dyDescent="0.25">
      <c r="B115" s="4" t="s">
        <v>723</v>
      </c>
      <c r="C115" t="s">
        <v>723</v>
      </c>
      <c r="D115" t="s">
        <v>723</v>
      </c>
      <c r="G115" s="1"/>
      <c r="H115" s="1"/>
      <c r="I115" s="1"/>
      <c r="J115" s="1"/>
      <c r="K115" s="1"/>
      <c r="L115" s="1"/>
      <c r="M115" s="1"/>
      <c r="N115" s="1"/>
      <c r="O115" s="1"/>
      <c r="P115" s="1"/>
      <c r="Q115" s="1"/>
      <c r="R115" s="1"/>
      <c r="V115" s="1"/>
      <c r="W115" s="2"/>
      <c r="X115" s="1"/>
      <c r="Y115" s="1"/>
      <c r="Z115" s="1"/>
      <c r="AA115" s="1"/>
      <c r="AB115" s="1"/>
      <c r="AC115" s="1"/>
    </row>
    <row r="116" spans="2:31" x14ac:dyDescent="0.25">
      <c r="B116" s="4" t="s">
        <v>724</v>
      </c>
      <c r="C116" t="s">
        <v>724</v>
      </c>
      <c r="D116" t="s">
        <v>724</v>
      </c>
      <c r="G116" s="1"/>
      <c r="H116" s="1"/>
      <c r="I116" s="1"/>
      <c r="J116" s="1"/>
      <c r="K116" s="1"/>
      <c r="L116" s="1"/>
      <c r="M116" s="1"/>
      <c r="N116" s="1"/>
      <c r="O116" s="1"/>
      <c r="P116" s="1"/>
      <c r="Q116" s="1"/>
      <c r="R116" s="1"/>
      <c r="V116" s="1"/>
      <c r="W116" s="2"/>
      <c r="X116" s="1"/>
      <c r="Y116" s="1"/>
      <c r="Z116" s="1"/>
      <c r="AA116" s="1"/>
      <c r="AB116" s="1"/>
      <c r="AC116" s="1"/>
    </row>
    <row r="117" spans="2:31" x14ac:dyDescent="0.25">
      <c r="B117" s="4" t="s">
        <v>725</v>
      </c>
      <c r="C117" t="s">
        <v>725</v>
      </c>
      <c r="D117" t="s">
        <v>725</v>
      </c>
      <c r="G117" s="1"/>
      <c r="H117" s="1"/>
      <c r="I117" s="1"/>
      <c r="J117" s="1"/>
      <c r="K117" s="1"/>
      <c r="L117" s="1"/>
      <c r="M117" s="1"/>
      <c r="N117" s="1"/>
      <c r="O117" s="1"/>
      <c r="P117" s="1"/>
      <c r="Q117" s="1"/>
      <c r="R117" s="1"/>
      <c r="V117" s="1"/>
      <c r="W117" s="2"/>
      <c r="X117" s="1"/>
      <c r="Y117" s="1"/>
      <c r="Z117" s="1"/>
      <c r="AA117" s="1"/>
      <c r="AB117" s="1"/>
      <c r="AC117" s="1"/>
    </row>
    <row r="118" spans="2:31" x14ac:dyDescent="0.25">
      <c r="B118" s="4" t="s">
        <v>726</v>
      </c>
      <c r="C118" t="s">
        <v>726</v>
      </c>
      <c r="D118" t="s">
        <v>726</v>
      </c>
      <c r="G118" s="1"/>
      <c r="H118" s="1"/>
      <c r="I118" s="1"/>
      <c r="J118" s="1"/>
      <c r="K118" s="1"/>
      <c r="L118" s="1"/>
      <c r="M118" s="1"/>
      <c r="N118" s="1"/>
      <c r="O118" s="1"/>
      <c r="P118" s="1"/>
      <c r="Q118" s="1"/>
      <c r="R118" s="1"/>
      <c r="V118" s="1"/>
      <c r="W118" s="2"/>
      <c r="X118" s="1"/>
      <c r="Y118" s="1"/>
      <c r="Z118" s="1"/>
      <c r="AA118" s="1"/>
      <c r="AB118" s="1"/>
      <c r="AC118" s="1"/>
    </row>
    <row r="119" spans="2:31" x14ac:dyDescent="0.25">
      <c r="B119" s="4" t="s">
        <v>727</v>
      </c>
      <c r="C119" t="s">
        <v>727</v>
      </c>
      <c r="D119" t="s">
        <v>727</v>
      </c>
      <c r="G119" s="1"/>
      <c r="H119" s="1"/>
      <c r="I119" s="1"/>
      <c r="J119" s="1"/>
      <c r="K119" s="1"/>
      <c r="L119" s="1"/>
      <c r="M119" s="1"/>
      <c r="N119" s="1"/>
      <c r="O119" s="1"/>
      <c r="P119" s="1"/>
      <c r="Q119" s="1"/>
      <c r="R119" s="1"/>
      <c r="V119" s="1"/>
      <c r="W119" s="2"/>
      <c r="X119" s="1"/>
      <c r="Y119" s="1"/>
      <c r="Z119" s="1"/>
      <c r="AA119" s="1"/>
      <c r="AB119" s="1"/>
      <c r="AC119" s="1"/>
    </row>
    <row r="120" spans="2:31" x14ac:dyDescent="0.25">
      <c r="B120" s="4" t="s">
        <v>728</v>
      </c>
      <c r="C120" t="s">
        <v>728</v>
      </c>
      <c r="D120" t="s">
        <v>728</v>
      </c>
      <c r="G120" s="1"/>
      <c r="H120" s="1"/>
      <c r="I120" s="1"/>
      <c r="J120" s="1"/>
      <c r="K120" s="1"/>
      <c r="L120" s="1"/>
      <c r="M120" s="1"/>
      <c r="N120" s="1"/>
      <c r="O120" s="1"/>
      <c r="P120" s="1"/>
      <c r="Q120" s="1"/>
      <c r="R120" s="1"/>
      <c r="V120" s="1"/>
      <c r="W120" s="2"/>
      <c r="X120" s="1"/>
      <c r="Y120" s="1"/>
      <c r="Z120" s="1"/>
      <c r="AA120" s="1"/>
      <c r="AB120" s="1"/>
      <c r="AC120" s="1"/>
    </row>
    <row r="121" spans="2:31" x14ac:dyDescent="0.25">
      <c r="B121" s="4" t="s">
        <v>729</v>
      </c>
      <c r="C121" t="s">
        <v>729</v>
      </c>
      <c r="D121" t="s">
        <v>729</v>
      </c>
      <c r="G121" s="1"/>
      <c r="H121" s="1"/>
      <c r="I121" s="1"/>
      <c r="J121" s="1"/>
      <c r="K121" s="1"/>
      <c r="L121" s="1"/>
      <c r="M121" s="1"/>
      <c r="N121" s="1"/>
      <c r="O121" s="1"/>
      <c r="P121" s="1"/>
      <c r="Q121" s="1"/>
      <c r="R121" s="1"/>
      <c r="V121" s="1"/>
      <c r="W121" s="2"/>
      <c r="X121" s="1"/>
      <c r="Y121" s="1"/>
      <c r="Z121" s="1"/>
      <c r="AA121" s="1"/>
      <c r="AB121" s="1"/>
      <c r="AC121" s="1"/>
    </row>
    <row r="122" spans="2:31" x14ac:dyDescent="0.25">
      <c r="B122" s="4" t="s">
        <v>730</v>
      </c>
      <c r="C122" t="s">
        <v>730</v>
      </c>
      <c r="D122" t="s">
        <v>730</v>
      </c>
      <c r="G122" s="1"/>
      <c r="H122" s="1"/>
      <c r="I122" s="1"/>
      <c r="J122" s="1"/>
      <c r="K122" s="1"/>
      <c r="L122" s="1"/>
      <c r="M122" s="1"/>
      <c r="N122" s="1"/>
      <c r="O122" s="1"/>
      <c r="P122" s="1"/>
      <c r="Q122" s="1"/>
      <c r="R122" s="1"/>
      <c r="V122" s="1"/>
      <c r="W122" s="2"/>
      <c r="X122" s="1"/>
      <c r="Y122" s="1"/>
      <c r="Z122" s="1"/>
      <c r="AA122" s="1"/>
      <c r="AB122" s="1"/>
      <c r="AC122" s="1"/>
    </row>
    <row r="123" spans="2:31" x14ac:dyDescent="0.25">
      <c r="B123" s="4" t="s">
        <v>722</v>
      </c>
      <c r="C123" t="s">
        <v>722</v>
      </c>
      <c r="D123" t="s">
        <v>722</v>
      </c>
      <c r="G123" s="1"/>
      <c r="H123" s="1"/>
      <c r="I123" s="1"/>
      <c r="J123" s="1"/>
      <c r="K123" s="1"/>
      <c r="L123" s="1"/>
      <c r="M123" s="1"/>
      <c r="N123" s="1"/>
      <c r="O123" s="1"/>
      <c r="P123" s="1"/>
      <c r="Q123" s="1"/>
      <c r="R123" s="1"/>
      <c r="V123" s="1"/>
      <c r="W123" s="2"/>
      <c r="X123" s="1"/>
      <c r="Y123" s="1"/>
      <c r="Z123" s="1"/>
      <c r="AA123" s="1"/>
      <c r="AB123" s="1"/>
      <c r="AC123" s="1"/>
    </row>
    <row r="124" spans="2:31" x14ac:dyDescent="0.25">
      <c r="B124" s="4" t="s">
        <v>731</v>
      </c>
      <c r="C124" t="s">
        <v>731</v>
      </c>
      <c r="D124" t="s">
        <v>731</v>
      </c>
      <c r="G124" s="1"/>
      <c r="H124" s="1"/>
      <c r="I124" s="1"/>
      <c r="J124" s="1"/>
      <c r="K124" s="1"/>
      <c r="L124" s="1"/>
      <c r="M124" s="1"/>
      <c r="N124" s="1"/>
      <c r="O124" s="1"/>
      <c r="P124" s="1"/>
      <c r="Q124" s="1"/>
      <c r="R124" s="1"/>
      <c r="V124" s="1"/>
      <c r="W124" s="2"/>
      <c r="X124" s="1"/>
      <c r="Y124" s="1"/>
      <c r="Z124" s="1"/>
      <c r="AA124" s="1"/>
      <c r="AB124" s="1"/>
      <c r="AC124" s="1"/>
    </row>
    <row r="125" spans="2:31" x14ac:dyDescent="0.25">
      <c r="B125" s="4" t="s">
        <v>732</v>
      </c>
      <c r="C125" t="s">
        <v>732</v>
      </c>
      <c r="D125" t="s">
        <v>732</v>
      </c>
      <c r="G125" s="1"/>
      <c r="H125" s="1"/>
      <c r="I125" s="1"/>
      <c r="J125" s="1"/>
      <c r="K125" s="1"/>
      <c r="L125" s="1"/>
      <c r="M125" s="1"/>
      <c r="N125" s="1"/>
      <c r="O125" s="1"/>
      <c r="P125" s="1"/>
      <c r="Q125" s="1"/>
      <c r="R125" s="1"/>
      <c r="V125" s="1"/>
      <c r="W125" s="2"/>
      <c r="X125" s="1"/>
      <c r="Y125" s="1"/>
      <c r="Z125" s="1"/>
      <c r="AA125" s="1"/>
      <c r="AB125" s="1"/>
      <c r="AC125" s="1"/>
    </row>
    <row r="126" spans="2:31" x14ac:dyDescent="0.25">
      <c r="B126" s="4" t="s">
        <v>733</v>
      </c>
      <c r="C126" t="s">
        <v>733</v>
      </c>
      <c r="D126" t="s">
        <v>733</v>
      </c>
      <c r="G126" s="1"/>
      <c r="H126" s="1"/>
      <c r="I126" s="1"/>
      <c r="J126" s="1"/>
      <c r="K126" s="1"/>
      <c r="L126" s="1"/>
      <c r="M126" s="1"/>
      <c r="N126" s="1"/>
      <c r="O126" s="1"/>
      <c r="P126" s="1"/>
      <c r="Q126" s="1"/>
      <c r="R126" s="1"/>
      <c r="V126" s="1"/>
      <c r="W126" s="2"/>
      <c r="X126" s="1"/>
      <c r="Y126" s="1"/>
      <c r="Z126" s="1"/>
      <c r="AA126" s="1"/>
      <c r="AB126" s="1"/>
      <c r="AC126" s="1"/>
    </row>
    <row r="127" spans="2:31" x14ac:dyDescent="0.25">
      <c r="B127" s="4" t="s">
        <v>734</v>
      </c>
      <c r="C127" t="s">
        <v>734</v>
      </c>
      <c r="D127" t="s">
        <v>734</v>
      </c>
      <c r="G127" s="1"/>
      <c r="H127" s="1"/>
      <c r="I127" s="1"/>
      <c r="J127" s="1"/>
      <c r="K127" s="1"/>
      <c r="L127" s="1"/>
      <c r="M127" s="1"/>
      <c r="N127" s="1"/>
      <c r="O127" s="1"/>
      <c r="P127" s="1"/>
      <c r="Q127" s="1"/>
      <c r="R127" s="1"/>
      <c r="V127" s="1"/>
      <c r="W127" s="2"/>
      <c r="X127" s="1"/>
      <c r="Y127" s="1"/>
      <c r="Z127" s="1"/>
      <c r="AA127" s="1"/>
      <c r="AB127" s="1"/>
      <c r="AC127" s="1"/>
    </row>
    <row r="128" spans="2:31" x14ac:dyDescent="0.25">
      <c r="B128" s="4" t="s">
        <v>735</v>
      </c>
      <c r="C128" t="s">
        <v>735</v>
      </c>
      <c r="D128" t="s">
        <v>735</v>
      </c>
      <c r="G128" s="1"/>
      <c r="H128" s="1"/>
      <c r="I128" s="1"/>
      <c r="J128" s="1"/>
      <c r="K128" s="1"/>
      <c r="L128" s="1"/>
      <c r="M128" s="1"/>
      <c r="N128" s="1"/>
      <c r="O128" s="1"/>
      <c r="P128" s="1"/>
      <c r="Q128" s="1"/>
      <c r="R128" s="1"/>
      <c r="V128" s="1"/>
      <c r="W128" s="2"/>
      <c r="X128" s="1"/>
      <c r="Y128" s="1"/>
      <c r="Z128" s="1"/>
      <c r="AA128" s="1"/>
      <c r="AB128" s="1"/>
      <c r="AC128" s="1"/>
    </row>
    <row r="129" spans="2:29" x14ac:dyDescent="0.25">
      <c r="B129" s="4" t="s">
        <v>727</v>
      </c>
      <c r="C129" t="s">
        <v>727</v>
      </c>
      <c r="D129" t="s">
        <v>727</v>
      </c>
      <c r="G129" s="1"/>
      <c r="H129" s="1"/>
      <c r="I129" s="1"/>
      <c r="J129" s="1"/>
      <c r="K129" s="1"/>
      <c r="L129" s="1"/>
      <c r="M129" s="1"/>
      <c r="N129" s="1"/>
      <c r="O129" s="1"/>
      <c r="P129" s="1"/>
      <c r="Q129" s="1"/>
      <c r="R129" s="1"/>
      <c r="V129" s="1"/>
      <c r="W129" s="2"/>
      <c r="X129" s="1"/>
      <c r="Y129" s="1"/>
      <c r="Z129" s="1"/>
      <c r="AA129" s="1"/>
      <c r="AB129" s="1"/>
      <c r="AC129" s="1"/>
    </row>
    <row r="130" spans="2:29" x14ac:dyDescent="0.25">
      <c r="B130" s="4" t="s">
        <v>728</v>
      </c>
      <c r="C130" t="s">
        <v>728</v>
      </c>
      <c r="D130" t="s">
        <v>728</v>
      </c>
      <c r="G130" s="1"/>
      <c r="H130" s="1"/>
      <c r="I130" s="1"/>
      <c r="J130" s="1"/>
      <c r="K130" s="1"/>
      <c r="L130" s="1"/>
      <c r="M130" s="1"/>
      <c r="N130" s="1"/>
      <c r="O130" s="1"/>
      <c r="P130" s="1"/>
      <c r="Q130" s="1"/>
      <c r="R130" s="1"/>
      <c r="V130" s="1"/>
      <c r="W130" s="2"/>
      <c r="X130" s="1"/>
      <c r="Y130" s="1"/>
      <c r="Z130" s="1"/>
      <c r="AA130" s="1"/>
      <c r="AB130" s="1"/>
      <c r="AC130" s="1"/>
    </row>
    <row r="131" spans="2:29" x14ac:dyDescent="0.25">
      <c r="B131" s="8" t="s">
        <v>736</v>
      </c>
      <c r="C131" t="s">
        <v>736</v>
      </c>
      <c r="D131" t="s">
        <v>736</v>
      </c>
      <c r="G131" s="1"/>
      <c r="H131" s="1"/>
      <c r="I131" s="1"/>
      <c r="J131" s="1"/>
      <c r="K131" s="1"/>
      <c r="L131" s="1"/>
      <c r="M131" s="1"/>
      <c r="N131" s="1"/>
      <c r="O131" s="1"/>
      <c r="P131" s="1"/>
      <c r="Q131" s="1"/>
      <c r="R131" s="1"/>
      <c r="V131" s="1"/>
      <c r="W131" s="2"/>
      <c r="X131" s="1"/>
      <c r="Y131" s="1"/>
      <c r="Z131" s="1"/>
      <c r="AA131" s="1"/>
      <c r="AB131" s="1"/>
      <c r="AC131" s="1"/>
    </row>
    <row r="132" spans="2:29" x14ac:dyDescent="0.25">
      <c r="B132" s="8" t="s">
        <v>737</v>
      </c>
      <c r="C132" t="s">
        <v>737</v>
      </c>
      <c r="D132" t="s">
        <v>737</v>
      </c>
      <c r="G132" s="1"/>
      <c r="H132" s="1"/>
      <c r="I132" s="1"/>
      <c r="J132" s="1"/>
      <c r="K132" s="1"/>
      <c r="L132" s="1"/>
      <c r="M132" s="1"/>
      <c r="N132" s="1"/>
      <c r="O132" s="1"/>
      <c r="P132" s="1"/>
      <c r="Q132" s="1"/>
      <c r="R132" s="1"/>
      <c r="V132" s="1"/>
      <c r="W132" s="2"/>
      <c r="X132" s="1"/>
      <c r="Y132" s="1"/>
      <c r="Z132" s="1"/>
      <c r="AA132" s="1"/>
      <c r="AB132" s="1"/>
      <c r="AC132" s="1"/>
    </row>
    <row r="133" spans="2:29" x14ac:dyDescent="0.25">
      <c r="B133" s="8" t="s">
        <v>738</v>
      </c>
      <c r="C133" t="s">
        <v>738</v>
      </c>
      <c r="D133" t="s">
        <v>738</v>
      </c>
      <c r="G133" s="1"/>
      <c r="H133" s="1"/>
      <c r="I133" s="1"/>
      <c r="J133" s="1"/>
      <c r="K133" s="1"/>
      <c r="L133" s="1"/>
      <c r="M133" s="1"/>
      <c r="N133" s="1"/>
      <c r="O133" s="1"/>
      <c r="P133" s="1"/>
      <c r="Q133" s="1"/>
      <c r="R133" s="1"/>
      <c r="V133" s="1"/>
      <c r="W133" s="2"/>
      <c r="X133" s="1"/>
      <c r="Y133" s="1"/>
      <c r="Z133" s="1"/>
      <c r="AA133" s="1"/>
      <c r="AB133" s="1"/>
      <c r="AC133" s="1"/>
    </row>
    <row r="134" spans="2:29" x14ac:dyDescent="0.25">
      <c r="B134" s="4" t="s">
        <v>727</v>
      </c>
      <c r="C134" t="s">
        <v>727</v>
      </c>
      <c r="D134" t="s">
        <v>727</v>
      </c>
      <c r="G134" s="1"/>
      <c r="H134" s="1"/>
      <c r="I134" s="1"/>
      <c r="J134" s="1"/>
      <c r="K134" s="1"/>
      <c r="L134" s="1"/>
      <c r="M134" s="1"/>
      <c r="N134" s="1"/>
      <c r="O134" s="1"/>
      <c r="P134" s="1"/>
      <c r="Q134" s="1"/>
      <c r="R134" s="1"/>
      <c r="V134" s="1"/>
      <c r="W134" s="2"/>
      <c r="X134" s="1"/>
      <c r="Y134" s="1"/>
      <c r="Z134" s="1"/>
      <c r="AA134" s="1"/>
      <c r="AB134" s="1"/>
      <c r="AC134" s="1"/>
    </row>
    <row r="135" spans="2:29" x14ac:dyDescent="0.25">
      <c r="B135" s="4" t="s">
        <v>739</v>
      </c>
      <c r="C135" t="s">
        <v>739</v>
      </c>
      <c r="D135" t="s">
        <v>739</v>
      </c>
      <c r="G135" s="1"/>
      <c r="H135" s="1"/>
      <c r="I135" s="1"/>
      <c r="J135" s="1"/>
      <c r="K135" s="1"/>
      <c r="L135" s="1"/>
      <c r="M135" s="1"/>
      <c r="N135" s="1"/>
      <c r="O135" s="1"/>
      <c r="P135" s="1"/>
      <c r="Q135" s="1"/>
      <c r="R135" s="1"/>
      <c r="V135" s="1"/>
      <c r="W135" s="2"/>
      <c r="X135" s="1"/>
      <c r="Y135" s="1"/>
      <c r="Z135" s="1"/>
      <c r="AA135" s="1"/>
      <c r="AB135" s="1"/>
      <c r="AC135" s="1"/>
    </row>
    <row r="136" spans="2:29" x14ac:dyDescent="0.25">
      <c r="B136" s="4" t="s">
        <v>117</v>
      </c>
      <c r="C136" t="s">
        <v>117</v>
      </c>
      <c r="D136" t="s">
        <v>117</v>
      </c>
      <c r="G136" s="1"/>
      <c r="H136" s="1"/>
      <c r="I136" s="1"/>
      <c r="J136" s="1"/>
      <c r="K136" s="1"/>
      <c r="L136" s="1"/>
      <c r="M136" s="1"/>
      <c r="N136" s="1"/>
      <c r="O136" s="1"/>
      <c r="P136" s="1"/>
      <c r="Q136" s="1"/>
      <c r="R136" s="1"/>
      <c r="V136" s="1"/>
      <c r="W136" s="2"/>
      <c r="X136" s="1"/>
      <c r="Y136" s="1"/>
      <c r="Z136" s="1"/>
      <c r="AA136" s="1"/>
      <c r="AB136" s="1"/>
      <c r="AC136" s="1"/>
    </row>
    <row r="137" spans="2:29" x14ac:dyDescent="0.25">
      <c r="B137" s="4" t="s">
        <v>740</v>
      </c>
      <c r="C137" t="s">
        <v>740</v>
      </c>
      <c r="D137" t="s">
        <v>740</v>
      </c>
      <c r="G137" s="1"/>
      <c r="H137" s="1"/>
      <c r="I137" s="1"/>
      <c r="J137" s="1"/>
      <c r="K137" s="1"/>
      <c r="L137" s="1"/>
      <c r="M137" s="1"/>
      <c r="N137" s="1"/>
      <c r="O137" s="1"/>
      <c r="P137" s="1"/>
      <c r="Q137" s="1"/>
      <c r="R137" s="1"/>
      <c r="V137" s="1"/>
      <c r="W137" s="2"/>
      <c r="X137" s="1"/>
      <c r="Y137" s="1"/>
      <c r="Z137" s="1"/>
      <c r="AA137" s="1"/>
      <c r="AB137" s="1"/>
      <c r="AC137" s="1"/>
    </row>
    <row r="138" spans="2:29" x14ac:dyDescent="0.25">
      <c r="B138" s="4" t="s">
        <v>741</v>
      </c>
      <c r="C138" t="s">
        <v>741</v>
      </c>
      <c r="D138" t="s">
        <v>741</v>
      </c>
      <c r="G138" s="1"/>
      <c r="H138" s="1"/>
      <c r="I138" s="1"/>
      <c r="J138" s="1"/>
      <c r="K138" s="1"/>
      <c r="L138" s="1"/>
      <c r="M138" s="1"/>
      <c r="N138" s="1"/>
      <c r="O138" s="1"/>
      <c r="P138" s="1"/>
      <c r="Q138" s="1"/>
      <c r="R138" s="1"/>
      <c r="V138" s="1"/>
      <c r="W138" s="2"/>
      <c r="X138" s="1"/>
      <c r="Y138" s="1"/>
      <c r="Z138" s="1"/>
      <c r="AA138" s="1"/>
      <c r="AB138" s="1"/>
      <c r="AC138" s="1"/>
    </row>
    <row r="139" spans="2:29" x14ac:dyDescent="0.25">
      <c r="B139" s="4" t="s">
        <v>742</v>
      </c>
      <c r="C139" t="s">
        <v>742</v>
      </c>
      <c r="D139" t="s">
        <v>742</v>
      </c>
      <c r="G139" s="1"/>
      <c r="H139" s="1"/>
      <c r="I139" s="1"/>
      <c r="J139" s="1"/>
      <c r="K139" s="1"/>
      <c r="L139" s="1"/>
      <c r="M139" s="1"/>
      <c r="N139" s="1"/>
      <c r="O139" s="1"/>
      <c r="P139" s="1"/>
      <c r="Q139" s="1"/>
      <c r="R139" s="1"/>
      <c r="V139" s="1"/>
      <c r="W139" s="2"/>
      <c r="X139" s="1"/>
      <c r="Y139" s="1"/>
      <c r="Z139" s="1"/>
      <c r="AA139" s="1"/>
      <c r="AB139" s="1"/>
      <c r="AC139" s="1"/>
    </row>
    <row r="140" spans="2:29" x14ac:dyDescent="0.25">
      <c r="B140" s="4" t="s">
        <v>743</v>
      </c>
      <c r="C140" t="s">
        <v>743</v>
      </c>
      <c r="D140" t="s">
        <v>743</v>
      </c>
      <c r="G140" s="1"/>
      <c r="H140" s="1"/>
      <c r="I140" s="1"/>
      <c r="J140" s="1"/>
      <c r="K140" s="1"/>
      <c r="L140" s="1"/>
      <c r="M140" s="1"/>
      <c r="N140" s="1"/>
      <c r="O140" s="1"/>
      <c r="P140" s="1"/>
      <c r="Q140" s="1"/>
      <c r="R140" s="1"/>
      <c r="V140" s="1"/>
      <c r="W140" s="2"/>
      <c r="X140" s="1"/>
      <c r="Y140" s="1"/>
      <c r="Z140" s="1"/>
      <c r="AA140" s="1"/>
      <c r="AB140" s="1"/>
      <c r="AC140" s="1"/>
    </row>
    <row r="141" spans="2:29" x14ac:dyDescent="0.25">
      <c r="B141" s="4" t="s">
        <v>744</v>
      </c>
      <c r="C141" t="s">
        <v>744</v>
      </c>
      <c r="D141" t="s">
        <v>744</v>
      </c>
      <c r="G141" s="1"/>
      <c r="H141" s="1"/>
      <c r="I141" s="1"/>
      <c r="J141" s="1"/>
      <c r="K141" s="1"/>
      <c r="L141" s="1"/>
      <c r="M141" s="1"/>
      <c r="N141" s="1"/>
      <c r="O141" s="1"/>
      <c r="P141" s="1"/>
      <c r="Q141" s="1"/>
      <c r="R141" s="1"/>
      <c r="V141" s="1"/>
      <c r="W141" s="2"/>
      <c r="X141" s="1"/>
      <c r="Y141" s="1"/>
      <c r="Z141" s="1"/>
      <c r="AA141" s="1"/>
      <c r="AB141" s="1"/>
      <c r="AC141" s="1"/>
    </row>
    <row r="142" spans="2:29" x14ac:dyDescent="0.25">
      <c r="B142" s="4" t="s">
        <v>745</v>
      </c>
      <c r="C142" t="s">
        <v>745</v>
      </c>
      <c r="D142" t="s">
        <v>745</v>
      </c>
      <c r="G142" s="1"/>
      <c r="H142" s="1"/>
      <c r="I142" s="1"/>
      <c r="J142" s="1"/>
      <c r="K142" s="1"/>
      <c r="L142" s="1"/>
      <c r="M142" s="1"/>
      <c r="N142" s="1"/>
      <c r="O142" s="1"/>
      <c r="P142" s="1"/>
      <c r="Q142" s="1"/>
      <c r="R142" s="1"/>
      <c r="V142" s="1"/>
      <c r="W142" s="2"/>
      <c r="X142" s="1"/>
      <c r="Y142" s="1"/>
      <c r="Z142" s="1"/>
      <c r="AA142" s="1"/>
      <c r="AB142" s="1"/>
      <c r="AC142" s="1"/>
    </row>
    <row r="143" spans="2:29" x14ac:dyDescent="0.25">
      <c r="B143" s="4" t="s">
        <v>746</v>
      </c>
      <c r="C143" t="s">
        <v>746</v>
      </c>
      <c r="D143" t="s">
        <v>746</v>
      </c>
      <c r="G143" s="1"/>
      <c r="H143" s="1"/>
      <c r="I143" s="1"/>
      <c r="J143" s="1"/>
      <c r="K143" s="1"/>
      <c r="L143" s="1"/>
      <c r="M143" s="1"/>
      <c r="N143" s="1"/>
      <c r="O143" s="1"/>
      <c r="P143" s="1"/>
      <c r="Q143" s="1"/>
      <c r="R143" s="1"/>
      <c r="V143" s="1"/>
      <c r="W143" s="2"/>
      <c r="X143" s="1"/>
      <c r="Y143" s="1"/>
      <c r="Z143" s="1"/>
      <c r="AA143" s="1"/>
      <c r="AB143" s="1"/>
      <c r="AC143" s="1"/>
    </row>
    <row r="144" spans="2:29" x14ac:dyDescent="0.25">
      <c r="B144" s="4" t="s">
        <v>747</v>
      </c>
      <c r="C144" t="s">
        <v>747</v>
      </c>
      <c r="D144" t="s">
        <v>747</v>
      </c>
      <c r="G144" s="1"/>
      <c r="H144" s="1"/>
      <c r="I144" s="1"/>
      <c r="J144" s="1"/>
      <c r="K144" s="1"/>
      <c r="L144" s="1"/>
      <c r="M144" s="1"/>
      <c r="N144" s="1"/>
      <c r="O144" s="1"/>
      <c r="P144" s="1"/>
      <c r="Q144" s="1"/>
      <c r="R144" s="1"/>
      <c r="V144" s="1"/>
      <c r="W144" s="2"/>
      <c r="X144" s="1"/>
      <c r="Y144" s="1"/>
      <c r="Z144" s="1"/>
      <c r="AA144" s="1"/>
      <c r="AB144" s="1"/>
      <c r="AC144" s="1"/>
    </row>
    <row r="145" spans="2:29" x14ac:dyDescent="0.25">
      <c r="B145" s="4" t="s">
        <v>748</v>
      </c>
      <c r="C145" t="s">
        <v>748</v>
      </c>
      <c r="D145" t="s">
        <v>748</v>
      </c>
      <c r="G145" s="1"/>
      <c r="H145" s="1"/>
      <c r="I145" s="1"/>
      <c r="J145" s="1"/>
      <c r="K145" s="1"/>
      <c r="L145" s="1"/>
      <c r="M145" s="1"/>
      <c r="N145" s="1"/>
      <c r="O145" s="1"/>
      <c r="P145" s="1"/>
      <c r="Q145" s="1"/>
      <c r="R145" s="1"/>
      <c r="V145" s="1"/>
      <c r="W145" s="2"/>
      <c r="X145" s="1"/>
      <c r="Y145" s="1"/>
      <c r="Z145" s="1"/>
      <c r="AA145" s="1"/>
      <c r="AB145" s="1"/>
      <c r="AC145" s="1"/>
    </row>
    <row r="146" spans="2:29" x14ac:dyDescent="0.25">
      <c r="B146" s="4" t="s">
        <v>749</v>
      </c>
      <c r="C146" t="s">
        <v>749</v>
      </c>
      <c r="D146" t="s">
        <v>749</v>
      </c>
      <c r="G146" s="1"/>
      <c r="H146" s="1"/>
      <c r="I146" s="1"/>
      <c r="J146" s="1"/>
      <c r="K146" s="1"/>
      <c r="L146" s="1"/>
      <c r="M146" s="1"/>
      <c r="N146" s="1"/>
      <c r="O146" s="1"/>
      <c r="P146" s="1"/>
      <c r="Q146" s="1"/>
      <c r="R146" s="1"/>
      <c r="V146" s="1"/>
      <c r="W146" s="2"/>
      <c r="X146" s="1"/>
      <c r="Y146" s="1"/>
      <c r="Z146" s="1"/>
      <c r="AA146" s="1"/>
      <c r="AB146" s="1"/>
      <c r="AC146" s="1"/>
    </row>
    <row r="147" spans="2:29" x14ac:dyDescent="0.25">
      <c r="B147" s="4" t="s">
        <v>750</v>
      </c>
      <c r="C147" t="s">
        <v>750</v>
      </c>
      <c r="D147" t="s">
        <v>750</v>
      </c>
      <c r="G147" s="1"/>
      <c r="H147" s="1"/>
      <c r="I147" s="1"/>
      <c r="J147" s="1"/>
      <c r="K147" s="1"/>
      <c r="L147" s="1"/>
      <c r="M147" s="1"/>
      <c r="N147" s="1"/>
      <c r="O147" s="1"/>
      <c r="P147" s="1"/>
      <c r="Q147" s="1"/>
      <c r="R147" s="1"/>
      <c r="V147" s="1"/>
      <c r="W147" s="2"/>
      <c r="X147" s="1"/>
      <c r="Y147" s="1"/>
      <c r="Z147" s="1"/>
      <c r="AA147" s="1"/>
      <c r="AB147" s="1"/>
      <c r="AC147" s="1"/>
    </row>
    <row r="148" spans="2:29" x14ac:dyDescent="0.25">
      <c r="B148" s="4" t="s">
        <v>751</v>
      </c>
      <c r="C148" t="s">
        <v>751</v>
      </c>
      <c r="D148" t="s">
        <v>751</v>
      </c>
      <c r="G148" s="1"/>
      <c r="H148" s="1"/>
      <c r="I148" s="1"/>
      <c r="J148" s="1"/>
      <c r="K148" s="1"/>
      <c r="L148" s="1"/>
      <c r="M148" s="1"/>
      <c r="N148" s="1"/>
      <c r="O148" s="1"/>
      <c r="P148" s="1"/>
      <c r="Q148" s="1"/>
      <c r="R148" s="1"/>
      <c r="V148" s="1"/>
      <c r="W148" s="2"/>
      <c r="X148" s="1"/>
      <c r="Y148" s="1"/>
      <c r="Z148" s="1"/>
      <c r="AA148" s="1"/>
      <c r="AB148" s="1"/>
      <c r="AC148" s="1"/>
    </row>
    <row r="149" spans="2:29" x14ac:dyDescent="0.25">
      <c r="B149" s="4" t="s">
        <v>752</v>
      </c>
      <c r="C149" t="s">
        <v>752</v>
      </c>
      <c r="D149" t="s">
        <v>752</v>
      </c>
      <c r="G149" s="1"/>
      <c r="H149" s="1"/>
      <c r="I149" s="1"/>
      <c r="J149" s="1"/>
      <c r="K149" s="1"/>
      <c r="L149" s="1"/>
      <c r="M149" s="1"/>
      <c r="N149" s="1"/>
      <c r="O149" s="1"/>
      <c r="P149" s="1"/>
      <c r="Q149" s="1"/>
      <c r="R149" s="1"/>
      <c r="V149" s="1"/>
      <c r="W149" s="2"/>
      <c r="X149" s="1"/>
      <c r="Y149" s="1"/>
      <c r="Z149" s="1"/>
      <c r="AA149" s="1"/>
      <c r="AB149" s="1"/>
      <c r="AC149" s="1"/>
    </row>
    <row r="150" spans="2:29" x14ac:dyDescent="0.25">
      <c r="B150" s="4" t="s">
        <v>753</v>
      </c>
      <c r="C150" t="s">
        <v>753</v>
      </c>
      <c r="D150" t="s">
        <v>753</v>
      </c>
      <c r="G150" s="1"/>
      <c r="H150" s="1"/>
      <c r="I150" s="1"/>
      <c r="J150" s="1"/>
      <c r="K150" s="1"/>
      <c r="L150" s="1"/>
      <c r="M150" s="1"/>
      <c r="N150" s="1"/>
      <c r="O150" s="1"/>
      <c r="P150" s="1"/>
      <c r="Q150" s="1"/>
      <c r="R150" s="1"/>
      <c r="V150" s="1"/>
      <c r="W150" s="2"/>
      <c r="X150" s="1"/>
      <c r="Y150" s="1"/>
      <c r="Z150" s="1"/>
      <c r="AA150" s="1"/>
      <c r="AB150" s="1"/>
      <c r="AC150" s="1"/>
    </row>
    <row r="151" spans="2:29" x14ac:dyDescent="0.25">
      <c r="B151" s="4" t="s">
        <v>754</v>
      </c>
      <c r="C151" t="s">
        <v>754</v>
      </c>
      <c r="D151" t="s">
        <v>754</v>
      </c>
      <c r="G151" s="1"/>
      <c r="H151" s="1"/>
      <c r="I151" s="1"/>
      <c r="J151" s="1"/>
      <c r="K151" s="1"/>
      <c r="L151" s="1"/>
      <c r="M151" s="1"/>
      <c r="N151" s="1"/>
      <c r="O151" s="1"/>
      <c r="P151" s="1"/>
      <c r="Q151" s="1"/>
      <c r="R151" s="1"/>
      <c r="V151" s="1"/>
      <c r="W151" s="2"/>
      <c r="X151" s="1"/>
      <c r="Y151" s="1"/>
      <c r="Z151" s="1"/>
      <c r="AA151" s="1"/>
      <c r="AB151" s="1"/>
      <c r="AC151" s="1"/>
    </row>
    <row r="152" spans="2:29" x14ac:dyDescent="0.25">
      <c r="B152" s="4" t="s">
        <v>117</v>
      </c>
      <c r="C152" t="s">
        <v>117</v>
      </c>
      <c r="D152" t="s">
        <v>117</v>
      </c>
      <c r="G152" s="1"/>
      <c r="H152" s="1"/>
      <c r="I152" s="1"/>
      <c r="J152" s="1"/>
      <c r="K152" s="1"/>
      <c r="L152" s="1"/>
      <c r="M152" s="1"/>
      <c r="N152" s="1"/>
      <c r="O152" s="1"/>
      <c r="P152" s="1"/>
      <c r="Q152" s="1"/>
      <c r="R152" s="1"/>
      <c r="V152" s="1"/>
      <c r="W152" s="2"/>
      <c r="X152" s="1"/>
      <c r="Y152" s="1"/>
      <c r="Z152" s="1"/>
      <c r="AA152" s="1"/>
      <c r="AB152" s="1"/>
      <c r="AC152" s="1"/>
    </row>
    <row r="153" spans="2:29" x14ac:dyDescent="0.25">
      <c r="B153" s="4" t="s">
        <v>755</v>
      </c>
      <c r="C153" t="s">
        <v>755</v>
      </c>
      <c r="D153" t="s">
        <v>755</v>
      </c>
      <c r="G153" s="1"/>
      <c r="H153" s="1"/>
      <c r="I153" s="1"/>
      <c r="J153" s="1"/>
      <c r="K153" s="1"/>
      <c r="L153" s="1"/>
      <c r="M153" s="1"/>
      <c r="N153" s="1"/>
      <c r="O153" s="1"/>
      <c r="P153" s="1"/>
      <c r="Q153" s="1"/>
      <c r="R153" s="1"/>
      <c r="V153" s="1"/>
      <c r="W153" s="2"/>
      <c r="X153" s="1"/>
      <c r="Y153" s="1"/>
      <c r="Z153" s="1"/>
      <c r="AA153" s="1"/>
      <c r="AB153" s="1"/>
      <c r="AC153" s="1"/>
    </row>
    <row r="154" spans="2:29" x14ac:dyDescent="0.25">
      <c r="B154" s="4" t="s">
        <v>756</v>
      </c>
      <c r="C154" t="s">
        <v>756</v>
      </c>
      <c r="D154" t="s">
        <v>756</v>
      </c>
      <c r="G154" s="1"/>
      <c r="H154" s="1"/>
      <c r="I154" s="1"/>
      <c r="J154" s="1"/>
      <c r="K154" s="1"/>
      <c r="L154" s="1"/>
      <c r="M154" s="1"/>
      <c r="N154" s="1"/>
      <c r="O154" s="1"/>
      <c r="P154" s="1"/>
      <c r="Q154" s="1"/>
      <c r="R154" s="1"/>
      <c r="V154" s="1"/>
      <c r="W154" s="2"/>
      <c r="X154" s="1"/>
      <c r="Y154" s="1"/>
      <c r="Z154" s="1"/>
      <c r="AA154" s="1"/>
      <c r="AB154" s="1"/>
      <c r="AC154" s="1"/>
    </row>
    <row r="155" spans="2:29" x14ac:dyDescent="0.25">
      <c r="B155" s="4" t="s">
        <v>757</v>
      </c>
      <c r="C155" t="s">
        <v>757</v>
      </c>
      <c r="D155" t="s">
        <v>757</v>
      </c>
      <c r="G155" s="1"/>
      <c r="H155" s="1"/>
      <c r="I155" s="1"/>
      <c r="J155" s="1"/>
      <c r="K155" s="1"/>
      <c r="L155" s="1"/>
      <c r="M155" s="1"/>
      <c r="N155" s="1"/>
      <c r="O155" s="1"/>
      <c r="P155" s="1"/>
      <c r="Q155" s="1"/>
      <c r="R155" s="1"/>
      <c r="V155" s="1"/>
      <c r="W155" s="2"/>
      <c r="X155" s="1"/>
      <c r="Y155" s="1"/>
      <c r="Z155" s="1"/>
      <c r="AA155" s="1"/>
      <c r="AB155" s="1"/>
      <c r="AC155" s="1"/>
    </row>
    <row r="156" spans="2:29" x14ac:dyDescent="0.25">
      <c r="B156" s="4" t="s">
        <v>758</v>
      </c>
      <c r="C156" t="s">
        <v>758</v>
      </c>
      <c r="D156" t="s">
        <v>758</v>
      </c>
      <c r="G156" s="1"/>
      <c r="H156" s="1"/>
      <c r="I156" s="1"/>
      <c r="J156" s="1"/>
      <c r="K156" s="1"/>
      <c r="L156" s="1"/>
      <c r="M156" s="1"/>
      <c r="N156" s="1"/>
      <c r="O156" s="1"/>
      <c r="P156" s="1"/>
      <c r="Q156" s="1"/>
      <c r="R156" s="1"/>
      <c r="V156" s="1"/>
      <c r="W156" s="2"/>
      <c r="X156" s="1"/>
      <c r="Y156" s="1"/>
      <c r="Z156" s="1"/>
      <c r="AA156" s="1"/>
      <c r="AB156" s="1"/>
      <c r="AC156" s="1"/>
    </row>
    <row r="157" spans="2:29" x14ac:dyDescent="0.25">
      <c r="B157" s="4" t="s">
        <v>759</v>
      </c>
      <c r="C157" t="s">
        <v>759</v>
      </c>
      <c r="D157" t="s">
        <v>759</v>
      </c>
      <c r="G157" s="1"/>
      <c r="H157" s="1"/>
      <c r="I157" s="1"/>
      <c r="J157" s="1"/>
      <c r="K157" s="1"/>
      <c r="L157" s="1"/>
      <c r="M157" s="1"/>
      <c r="N157" s="1"/>
      <c r="O157" s="1"/>
      <c r="P157" s="1"/>
      <c r="Q157" s="1"/>
      <c r="R157" s="1"/>
      <c r="V157" s="1"/>
      <c r="W157" s="2"/>
      <c r="X157" s="1"/>
      <c r="Y157" s="1"/>
      <c r="Z157" s="1"/>
      <c r="AA157" s="1"/>
      <c r="AB157" s="1"/>
      <c r="AC157" s="1"/>
    </row>
    <row r="158" spans="2:29" x14ac:dyDescent="0.25">
      <c r="B158" s="4"/>
      <c r="G158" s="1"/>
      <c r="H158" s="1"/>
      <c r="I158" s="1"/>
      <c r="J158" s="1"/>
      <c r="K158" s="1"/>
      <c r="L158" s="1"/>
      <c r="M158" s="1"/>
      <c r="N158" s="1"/>
      <c r="O158" s="1"/>
      <c r="P158" s="1"/>
      <c r="Q158" s="1"/>
      <c r="R158" s="1"/>
      <c r="V158" s="1"/>
      <c r="W158" s="2"/>
      <c r="X158" s="1"/>
      <c r="Y158" s="1"/>
      <c r="Z158" s="1"/>
      <c r="AA158" s="1"/>
      <c r="AB158" s="1"/>
      <c r="AC158" s="1"/>
    </row>
    <row r="159" spans="2:29" x14ac:dyDescent="0.25">
      <c r="B159" s="4"/>
      <c r="G159" s="1"/>
      <c r="H159" s="1"/>
      <c r="I159" s="1"/>
      <c r="J159" s="1"/>
      <c r="K159" s="1"/>
      <c r="L159" s="1"/>
      <c r="M159" s="1"/>
      <c r="N159" s="1"/>
      <c r="O159" s="1"/>
      <c r="P159" s="1"/>
      <c r="Q159" s="1"/>
      <c r="R159" s="1"/>
      <c r="V159" s="1"/>
      <c r="W159" s="2"/>
      <c r="X159" s="1"/>
      <c r="Y159" s="1"/>
      <c r="Z159" s="1"/>
      <c r="AA159" s="1"/>
      <c r="AB159" s="1"/>
      <c r="AC159" s="1"/>
    </row>
    <row r="160" spans="2:29" x14ac:dyDescent="0.25">
      <c r="B160" s="4" t="s">
        <v>760</v>
      </c>
      <c r="C160" t="s">
        <v>760</v>
      </c>
      <c r="D160" t="s">
        <v>760</v>
      </c>
      <c r="G160" s="1"/>
      <c r="H160" s="1"/>
      <c r="I160" s="1"/>
      <c r="J160" s="1"/>
      <c r="K160" s="1"/>
      <c r="L160" s="1"/>
      <c r="M160" s="1"/>
      <c r="N160" s="1"/>
      <c r="O160" s="1"/>
      <c r="P160" s="1"/>
      <c r="Q160" s="1"/>
      <c r="R160" s="1"/>
      <c r="V160" s="1"/>
      <c r="W160" s="2"/>
      <c r="X160" s="1"/>
      <c r="Y160" s="1"/>
      <c r="Z160" s="1"/>
      <c r="AA160" s="1"/>
      <c r="AB160" s="1"/>
      <c r="AC160" s="1"/>
    </row>
    <row r="161" spans="2:29" x14ac:dyDescent="0.25">
      <c r="B161" s="4" t="s">
        <v>761</v>
      </c>
      <c r="C161" t="s">
        <v>761</v>
      </c>
      <c r="D161" t="s">
        <v>761</v>
      </c>
      <c r="G161" s="1"/>
      <c r="H161" s="1"/>
      <c r="I161" s="1"/>
      <c r="J161" s="1"/>
      <c r="K161" s="1"/>
      <c r="L161" s="1"/>
      <c r="M161" s="1"/>
      <c r="N161" s="1"/>
      <c r="O161" s="1"/>
      <c r="P161" s="1"/>
      <c r="Q161" s="1"/>
      <c r="R161" s="1"/>
      <c r="V161" s="1"/>
      <c r="W161" s="2"/>
      <c r="X161" s="1"/>
      <c r="Y161" s="1"/>
      <c r="Z161" s="1"/>
      <c r="AA161" s="1"/>
      <c r="AB161" s="1"/>
      <c r="AC161" s="1"/>
    </row>
    <row r="162" spans="2:29" x14ac:dyDescent="0.25">
      <c r="B162" s="4" t="s">
        <v>762</v>
      </c>
      <c r="C162" t="s">
        <v>762</v>
      </c>
      <c r="D162" t="s">
        <v>762</v>
      </c>
      <c r="G162" s="1"/>
      <c r="H162" s="1"/>
      <c r="I162" s="1"/>
      <c r="J162" s="1"/>
      <c r="K162" s="1"/>
      <c r="L162" s="1"/>
      <c r="M162" s="1"/>
      <c r="N162" s="1"/>
      <c r="O162" s="1"/>
      <c r="P162" s="1"/>
      <c r="Q162" s="1"/>
      <c r="R162" s="1"/>
      <c r="V162" s="1"/>
      <c r="W162" s="2"/>
      <c r="X162" s="1"/>
      <c r="Y162" s="1"/>
      <c r="Z162" s="1"/>
      <c r="AA162" s="1"/>
      <c r="AB162" s="1"/>
      <c r="AC162" s="1"/>
    </row>
    <row r="163" spans="2:29" x14ac:dyDescent="0.25">
      <c r="B163" s="4" t="s">
        <v>763</v>
      </c>
      <c r="C163" t="s">
        <v>763</v>
      </c>
      <c r="D163" t="s">
        <v>763</v>
      </c>
      <c r="G163" s="1"/>
      <c r="H163" s="1"/>
      <c r="I163" s="1"/>
      <c r="J163" s="1"/>
      <c r="K163" s="1"/>
      <c r="L163" s="1"/>
      <c r="M163" s="1"/>
      <c r="N163" s="1"/>
      <c r="O163" s="1"/>
      <c r="P163" s="1"/>
      <c r="Q163" s="1"/>
      <c r="R163" s="1"/>
      <c r="V163" s="1"/>
      <c r="W163" s="2"/>
      <c r="X163" s="1"/>
      <c r="Y163" s="1"/>
      <c r="Z163" s="1"/>
      <c r="AA163" s="1"/>
      <c r="AB163" s="1"/>
      <c r="AC163" s="1"/>
    </row>
    <row r="164" spans="2:29" x14ac:dyDescent="0.25">
      <c r="B164" s="4" t="s">
        <v>764</v>
      </c>
      <c r="C164" t="s">
        <v>764</v>
      </c>
      <c r="D164" t="s">
        <v>764</v>
      </c>
      <c r="G164" s="1"/>
      <c r="H164" s="1"/>
      <c r="I164" s="1"/>
      <c r="J164" s="1"/>
      <c r="K164" s="1"/>
      <c r="L164" s="1"/>
      <c r="M164" s="1"/>
      <c r="N164" s="1"/>
      <c r="O164" s="1"/>
      <c r="P164" s="1"/>
      <c r="Q164" s="1"/>
      <c r="R164" s="1"/>
      <c r="V164" s="1"/>
      <c r="W164" s="2"/>
      <c r="X164" s="1"/>
      <c r="Y164" s="1"/>
      <c r="Z164" s="1"/>
      <c r="AA164" s="1"/>
      <c r="AB164" s="1"/>
      <c r="AC164" s="1"/>
    </row>
    <row r="165" spans="2:29" x14ac:dyDescent="0.25">
      <c r="B165" s="4" t="s">
        <v>765</v>
      </c>
      <c r="C165" t="s">
        <v>765</v>
      </c>
      <c r="D165" t="s">
        <v>765</v>
      </c>
      <c r="G165" s="1"/>
      <c r="H165" s="1"/>
      <c r="I165" s="1"/>
      <c r="J165" s="1"/>
      <c r="K165" s="1"/>
      <c r="L165" s="1"/>
      <c r="M165" s="1"/>
      <c r="N165" s="1"/>
      <c r="O165" s="1"/>
      <c r="P165" s="1"/>
      <c r="Q165" s="1"/>
      <c r="R165" s="1"/>
      <c r="V165" s="1"/>
      <c r="W165" s="2"/>
      <c r="X165" s="1"/>
      <c r="Y165" s="1"/>
      <c r="Z165" s="1"/>
      <c r="AA165" s="1"/>
      <c r="AB165" s="1"/>
      <c r="AC165" s="1"/>
    </row>
    <row r="166" spans="2:29" x14ac:dyDescent="0.25">
      <c r="B166" s="4" t="s">
        <v>317</v>
      </c>
      <c r="C166" t="s">
        <v>317</v>
      </c>
      <c r="D166" t="s">
        <v>317</v>
      </c>
      <c r="G166" s="1"/>
      <c r="H166" s="1"/>
      <c r="I166" s="1"/>
      <c r="J166" s="1"/>
      <c r="K166" s="1"/>
      <c r="L166" s="1"/>
      <c r="M166" s="1"/>
      <c r="N166" s="1"/>
      <c r="O166" s="1"/>
      <c r="P166" s="1"/>
      <c r="Q166" s="1"/>
      <c r="R166" s="1"/>
      <c r="V166" s="1"/>
      <c r="W166" s="2"/>
      <c r="X166" s="1"/>
      <c r="Y166" s="1"/>
      <c r="Z166" s="1"/>
      <c r="AA166" s="1"/>
      <c r="AB166" s="1"/>
      <c r="AC166" s="1"/>
    </row>
    <row r="167" spans="2:29" x14ac:dyDescent="0.25">
      <c r="B167" s="4" t="s">
        <v>766</v>
      </c>
      <c r="C167" t="s">
        <v>766</v>
      </c>
      <c r="D167" t="s">
        <v>766</v>
      </c>
      <c r="G167" s="1"/>
      <c r="H167" s="1"/>
      <c r="I167" s="1"/>
      <c r="J167" s="1"/>
      <c r="K167" s="1"/>
      <c r="L167" s="1"/>
      <c r="M167" s="1"/>
      <c r="N167" s="1"/>
      <c r="O167" s="1"/>
      <c r="P167" s="1"/>
      <c r="Q167" s="1"/>
      <c r="R167" s="1"/>
      <c r="V167" s="1"/>
      <c r="W167" s="2"/>
      <c r="X167" s="1"/>
      <c r="Y167" s="1"/>
      <c r="Z167" s="1"/>
      <c r="AA167" s="1"/>
      <c r="AB167" s="1"/>
      <c r="AC167" s="1"/>
    </row>
    <row r="168" spans="2:29" x14ac:dyDescent="0.25">
      <c r="B168" s="4" t="s">
        <v>767</v>
      </c>
      <c r="C168" t="s">
        <v>767</v>
      </c>
      <c r="D168" t="s">
        <v>767</v>
      </c>
      <c r="G168" s="1"/>
      <c r="H168" s="1"/>
      <c r="I168" s="1"/>
      <c r="J168" s="1"/>
      <c r="K168" s="1"/>
      <c r="L168" s="1"/>
      <c r="M168" s="1"/>
      <c r="N168" s="1"/>
      <c r="O168" s="1"/>
      <c r="P168" s="1"/>
      <c r="Q168" s="1"/>
      <c r="R168" s="1"/>
      <c r="V168" s="1"/>
      <c r="W168" s="2"/>
      <c r="X168" s="1"/>
      <c r="Y168" s="1"/>
      <c r="Z168" s="1"/>
      <c r="AA168" s="1"/>
      <c r="AB168" s="1"/>
      <c r="AC168" s="1"/>
    </row>
    <row r="169" spans="2:29" x14ac:dyDescent="0.25">
      <c r="B169" s="4" t="s">
        <v>768</v>
      </c>
      <c r="C169" t="s">
        <v>768</v>
      </c>
      <c r="D169" t="s">
        <v>768</v>
      </c>
      <c r="G169" s="1"/>
      <c r="H169" s="1"/>
      <c r="I169" s="1"/>
      <c r="J169" s="1"/>
      <c r="K169" s="1"/>
      <c r="L169" s="1"/>
      <c r="M169" s="1"/>
      <c r="N169" s="1"/>
      <c r="O169" s="1"/>
      <c r="P169" s="1"/>
      <c r="Q169" s="1"/>
      <c r="R169" s="1"/>
      <c r="V169" s="1"/>
      <c r="W169" s="2"/>
      <c r="X169" s="1"/>
      <c r="Y169" s="1"/>
      <c r="Z169" s="1"/>
      <c r="AA169" s="1"/>
      <c r="AB169" s="1"/>
      <c r="AC169" s="1"/>
    </row>
    <row r="170" spans="2:29" x14ac:dyDescent="0.25">
      <c r="B170" s="4" t="s">
        <v>769</v>
      </c>
      <c r="C170" t="s">
        <v>769</v>
      </c>
      <c r="D170" t="s">
        <v>769</v>
      </c>
      <c r="G170" s="1"/>
      <c r="H170" s="1"/>
      <c r="I170" s="1"/>
      <c r="J170" s="1"/>
      <c r="K170" s="1"/>
      <c r="L170" s="1"/>
      <c r="M170" s="1"/>
      <c r="N170" s="1"/>
      <c r="O170" s="1"/>
      <c r="P170" s="1"/>
      <c r="Q170" s="1"/>
      <c r="R170" s="1"/>
      <c r="V170" s="1"/>
      <c r="W170" s="2"/>
      <c r="X170" s="1"/>
      <c r="Y170" s="1"/>
      <c r="Z170" s="1"/>
      <c r="AA170" s="1"/>
      <c r="AB170" s="1"/>
      <c r="AC170" s="1"/>
    </row>
    <row r="171" spans="2:29" x14ac:dyDescent="0.25">
      <c r="B171" s="4" t="s">
        <v>770</v>
      </c>
      <c r="C171" t="s">
        <v>770</v>
      </c>
      <c r="D171" t="s">
        <v>770</v>
      </c>
      <c r="G171" s="1"/>
      <c r="H171" s="1"/>
      <c r="I171" s="1"/>
      <c r="J171" s="1"/>
      <c r="K171" s="1"/>
      <c r="L171" s="1"/>
      <c r="M171" s="1"/>
      <c r="N171" s="1"/>
      <c r="O171" s="1"/>
      <c r="P171" s="1"/>
      <c r="Q171" s="1"/>
      <c r="R171" s="1"/>
      <c r="V171" s="1"/>
      <c r="W171" s="2"/>
      <c r="X171" s="1"/>
      <c r="Y171" s="1"/>
      <c r="Z171" s="1"/>
      <c r="AA171" s="1"/>
      <c r="AB171" s="1"/>
      <c r="AC171" s="1"/>
    </row>
    <row r="172" spans="2:29" x14ac:dyDescent="0.25">
      <c r="B172" s="3" t="s">
        <v>303</v>
      </c>
      <c r="C172" t="s">
        <v>304</v>
      </c>
      <c r="D172" t="s">
        <v>304</v>
      </c>
      <c r="G172" s="1"/>
      <c r="H172" s="1"/>
      <c r="I172" s="1"/>
      <c r="J172" s="1"/>
      <c r="K172" s="1"/>
      <c r="L172" s="1"/>
      <c r="M172" s="1"/>
      <c r="N172" s="1"/>
      <c r="O172" s="1"/>
      <c r="P172" s="1"/>
      <c r="Q172" s="1"/>
      <c r="R172" s="1"/>
      <c r="V172" s="1"/>
      <c r="W172" s="2"/>
      <c r="X172" s="1"/>
      <c r="Y172" s="1"/>
      <c r="Z172" s="1"/>
      <c r="AA172" s="1"/>
      <c r="AB172" s="1"/>
      <c r="AC172" s="1"/>
    </row>
    <row r="173" spans="2:29" x14ac:dyDescent="0.25">
      <c r="B173" s="3" t="s">
        <v>305</v>
      </c>
      <c r="C173" t="s">
        <v>306</v>
      </c>
      <c r="D173" t="s">
        <v>306</v>
      </c>
      <c r="G173" s="1"/>
      <c r="H173" s="1"/>
      <c r="I173" s="1"/>
      <c r="J173" s="1"/>
      <c r="K173" s="1"/>
      <c r="L173" s="1"/>
      <c r="M173" s="1"/>
      <c r="N173" s="1"/>
      <c r="O173" s="1"/>
      <c r="P173" s="1"/>
      <c r="Q173" s="1"/>
      <c r="R173" s="1"/>
      <c r="V173" s="1"/>
      <c r="W173" s="2"/>
      <c r="X173" s="1"/>
      <c r="Y173" s="1"/>
      <c r="Z173" s="1"/>
      <c r="AA173" s="1"/>
      <c r="AB173" s="1"/>
      <c r="AC173" s="1"/>
    </row>
    <row r="174" spans="2:29" x14ac:dyDescent="0.25">
      <c r="B174" s="4" t="s">
        <v>771</v>
      </c>
      <c r="C174" t="s">
        <v>771</v>
      </c>
      <c r="D174" t="s">
        <v>771</v>
      </c>
      <c r="G174" s="1"/>
      <c r="H174" s="1"/>
      <c r="I174" s="1"/>
      <c r="J174" s="1"/>
      <c r="K174" s="1"/>
      <c r="L174" s="1"/>
      <c r="M174" s="1"/>
      <c r="N174" s="1"/>
      <c r="O174" s="1"/>
      <c r="P174" s="1"/>
      <c r="Q174" s="1"/>
      <c r="R174" s="1"/>
      <c r="V174" s="1"/>
      <c r="W174" s="2"/>
      <c r="X174" s="1"/>
      <c r="Y174" s="1"/>
      <c r="Z174" s="1"/>
      <c r="AA174" s="1"/>
      <c r="AB174" s="1"/>
      <c r="AC174" s="1"/>
    </row>
    <row r="175" spans="2:29" x14ac:dyDescent="0.25">
      <c r="B175" s="4" t="s">
        <v>772</v>
      </c>
      <c r="C175" t="s">
        <v>772</v>
      </c>
      <c r="D175" t="s">
        <v>772</v>
      </c>
      <c r="G175" s="1"/>
      <c r="H175" s="1"/>
      <c r="I175" s="1"/>
      <c r="J175" s="1"/>
      <c r="K175" s="1"/>
      <c r="L175" s="1"/>
      <c r="M175" s="1"/>
      <c r="N175" s="1"/>
      <c r="O175" s="1"/>
      <c r="P175" s="1"/>
      <c r="Q175" s="1"/>
      <c r="R175" s="1"/>
      <c r="V175" s="1"/>
      <c r="W175" s="2"/>
      <c r="X175" s="1"/>
      <c r="Y175" s="1"/>
      <c r="Z175" s="1"/>
      <c r="AA175" s="1"/>
      <c r="AB175" s="1"/>
      <c r="AC175" s="1"/>
    </row>
    <row r="176" spans="2:29" x14ac:dyDescent="0.25">
      <c r="B176" s="4" t="s">
        <v>773</v>
      </c>
      <c r="C176" t="s">
        <v>773</v>
      </c>
      <c r="D176" t="s">
        <v>773</v>
      </c>
      <c r="G176" s="1"/>
      <c r="H176" s="1"/>
      <c r="I176" s="1"/>
      <c r="J176" s="1"/>
      <c r="K176" s="1"/>
      <c r="L176" s="1"/>
      <c r="M176" s="1"/>
      <c r="N176" s="1"/>
      <c r="O176" s="1"/>
      <c r="P176" s="1"/>
      <c r="Q176" s="1"/>
      <c r="R176" s="1"/>
      <c r="V176" s="1"/>
      <c r="W176" s="2"/>
      <c r="X176" s="1"/>
      <c r="Y176" s="1"/>
      <c r="Z176" s="1"/>
      <c r="AA176" s="1"/>
      <c r="AB176" s="1"/>
      <c r="AC176" s="1"/>
    </row>
    <row r="177" spans="2:29" x14ac:dyDescent="0.25">
      <c r="B177" s="4" t="s">
        <v>774</v>
      </c>
      <c r="C177" t="s">
        <v>774</v>
      </c>
      <c r="D177" t="s">
        <v>774</v>
      </c>
      <c r="G177" s="1"/>
      <c r="H177" s="1"/>
      <c r="I177" s="1"/>
      <c r="J177" s="1"/>
      <c r="K177" s="1"/>
      <c r="L177" s="1"/>
      <c r="M177" s="1"/>
      <c r="N177" s="1"/>
      <c r="O177" s="1"/>
      <c r="P177" s="1"/>
      <c r="Q177" s="1"/>
      <c r="R177" s="1"/>
      <c r="V177" s="1"/>
      <c r="W177" s="2"/>
      <c r="X177" s="1"/>
      <c r="Y177" s="1"/>
      <c r="Z177" s="1"/>
      <c r="AA177" s="1"/>
      <c r="AB177" s="1"/>
      <c r="AC177" s="1"/>
    </row>
    <row r="178" spans="2:29" x14ac:dyDescent="0.25">
      <c r="B178" s="3" t="s">
        <v>316</v>
      </c>
      <c r="C178" t="s">
        <v>317</v>
      </c>
      <c r="D178" t="s">
        <v>317</v>
      </c>
      <c r="G178" s="1"/>
      <c r="H178" s="1"/>
      <c r="I178" s="1"/>
      <c r="J178" s="1"/>
      <c r="K178" s="1"/>
      <c r="L178" s="1"/>
      <c r="M178" s="1"/>
      <c r="N178" s="1"/>
      <c r="O178" s="1"/>
      <c r="P178" s="1"/>
      <c r="Q178" s="1"/>
      <c r="R178" s="1"/>
      <c r="V178" s="1"/>
      <c r="W178" s="2"/>
      <c r="X178" s="1"/>
      <c r="Y178" s="1"/>
      <c r="Z178" s="1"/>
      <c r="AA178" s="1"/>
      <c r="AB178" s="1"/>
      <c r="AC178" s="1"/>
    </row>
    <row r="179" spans="2:29" x14ac:dyDescent="0.25">
      <c r="B179" s="3" t="s">
        <v>116</v>
      </c>
      <c r="C179" t="s">
        <v>117</v>
      </c>
      <c r="D179" t="s">
        <v>117</v>
      </c>
      <c r="G179" s="1"/>
      <c r="H179" s="1"/>
      <c r="I179" s="1"/>
      <c r="J179" s="1"/>
      <c r="K179" s="1"/>
      <c r="L179" s="1"/>
      <c r="M179" s="1"/>
      <c r="N179" s="1"/>
      <c r="O179" s="1"/>
      <c r="P179" s="1"/>
      <c r="Q179" s="1"/>
      <c r="R179" s="1"/>
      <c r="V179" s="1"/>
      <c r="W179" s="2"/>
      <c r="X179" s="1"/>
      <c r="Y179" s="1"/>
      <c r="Z179" s="1"/>
      <c r="AA179" s="1"/>
      <c r="AB179" s="1"/>
      <c r="AC179" s="1"/>
    </row>
    <row r="180" spans="2:29" x14ac:dyDescent="0.25">
      <c r="B180" s="4" t="s">
        <v>689</v>
      </c>
      <c r="C180" t="s">
        <v>689</v>
      </c>
      <c r="D180" t="s">
        <v>689</v>
      </c>
      <c r="G180" s="1"/>
      <c r="H180" s="1"/>
      <c r="I180" s="1"/>
      <c r="J180" s="1"/>
      <c r="K180" s="1"/>
      <c r="L180" s="1"/>
      <c r="M180" s="1"/>
      <c r="N180" s="1"/>
      <c r="O180" s="1"/>
      <c r="P180" s="1"/>
      <c r="Q180" s="1"/>
      <c r="R180" s="1"/>
      <c r="V180" s="1"/>
      <c r="W180" s="2"/>
      <c r="X180" s="1"/>
      <c r="Y180" s="1"/>
      <c r="Z180" s="1"/>
      <c r="AA180" s="1"/>
      <c r="AB180" s="1"/>
      <c r="AC180" s="1"/>
    </row>
    <row r="181" spans="2:29" x14ac:dyDescent="0.25">
      <c r="B181" s="4" t="s">
        <v>117</v>
      </c>
      <c r="C181" t="s">
        <v>117</v>
      </c>
      <c r="D181" t="s">
        <v>117</v>
      </c>
      <c r="G181" s="1"/>
      <c r="H181" s="1"/>
      <c r="I181" s="1"/>
      <c r="J181" s="1"/>
      <c r="K181" s="1"/>
      <c r="L181" s="1"/>
      <c r="M181" s="1"/>
      <c r="N181" s="1"/>
      <c r="O181" s="1"/>
      <c r="P181" s="1"/>
      <c r="Q181" s="1"/>
      <c r="R181" s="1"/>
      <c r="V181" s="1"/>
      <c r="W181" s="2"/>
      <c r="X181" s="1"/>
      <c r="Y181" s="1"/>
      <c r="Z181" s="1"/>
      <c r="AA181" s="1"/>
      <c r="AB181" s="1"/>
      <c r="AC181" s="1"/>
    </row>
    <row r="182" spans="2:29" x14ac:dyDescent="0.25">
      <c r="B182" s="4"/>
      <c r="G182" s="1"/>
      <c r="H182" s="1"/>
      <c r="I182" s="1"/>
      <c r="J182" s="1"/>
      <c r="K182" s="1"/>
      <c r="L182" s="1"/>
      <c r="M182" s="1"/>
      <c r="N182" s="1"/>
      <c r="O182" s="1"/>
      <c r="P182" s="1"/>
      <c r="Q182" s="1"/>
      <c r="R182" s="1"/>
      <c r="V182" s="1"/>
      <c r="W182" s="2"/>
      <c r="X182" s="1"/>
      <c r="Y182" s="1"/>
      <c r="Z182" s="1"/>
      <c r="AA182" s="1"/>
      <c r="AB182" s="1"/>
      <c r="AC182" s="1"/>
    </row>
    <row r="183" spans="2:29" x14ac:dyDescent="0.25">
      <c r="B183" s="4" t="s">
        <v>117</v>
      </c>
      <c r="C183" t="s">
        <v>117</v>
      </c>
      <c r="D183" t="s">
        <v>117</v>
      </c>
      <c r="G183" s="1"/>
      <c r="H183" s="1"/>
      <c r="I183" s="1"/>
      <c r="J183" s="1"/>
      <c r="K183" s="1"/>
      <c r="L183" s="1"/>
      <c r="M183" s="1"/>
      <c r="N183" s="1"/>
      <c r="O183" s="1"/>
      <c r="P183" s="1"/>
      <c r="Q183" s="1"/>
      <c r="R183" s="1"/>
      <c r="V183" s="1"/>
      <c r="W183" s="2"/>
      <c r="X183" s="1"/>
      <c r="Y183" s="1"/>
      <c r="Z183" s="1"/>
      <c r="AA183" s="1"/>
      <c r="AB183" s="1"/>
      <c r="AC183" s="1"/>
    </row>
    <row r="184" spans="2:29" x14ac:dyDescent="0.25">
      <c r="B184" s="4" t="s">
        <v>117</v>
      </c>
      <c r="C184" t="s">
        <v>117</v>
      </c>
      <c r="D184" t="s">
        <v>117</v>
      </c>
      <c r="G184" s="1"/>
      <c r="H184" s="1"/>
      <c r="I184" s="1"/>
      <c r="J184" s="1"/>
      <c r="K184" s="1"/>
      <c r="L184" s="1"/>
      <c r="M184" s="1"/>
      <c r="N184" s="1"/>
      <c r="O184" s="1"/>
      <c r="P184" s="1"/>
      <c r="Q184" s="1"/>
      <c r="R184" s="1"/>
      <c r="V184" s="1"/>
      <c r="W184" s="2"/>
      <c r="X184" s="1"/>
      <c r="Y184" s="1"/>
      <c r="Z184" s="1"/>
      <c r="AA184" s="1"/>
      <c r="AB184" s="1"/>
      <c r="AC184" s="1"/>
    </row>
    <row r="185" spans="2:29" x14ac:dyDescent="0.25">
      <c r="B185" s="4" t="s">
        <v>117</v>
      </c>
      <c r="C185" t="s">
        <v>117</v>
      </c>
      <c r="D185" t="s">
        <v>117</v>
      </c>
      <c r="G185" s="1"/>
      <c r="H185" s="1"/>
      <c r="I185" s="1"/>
      <c r="J185" s="1"/>
      <c r="K185" s="1"/>
      <c r="L185" s="1"/>
      <c r="M185" s="1"/>
      <c r="N185" s="1"/>
      <c r="O185" s="1"/>
      <c r="P185" s="1"/>
      <c r="Q185" s="1"/>
      <c r="R185" s="1"/>
      <c r="V185" s="1"/>
      <c r="W185" s="2"/>
      <c r="X185" s="1"/>
      <c r="Y185" s="1"/>
      <c r="Z185" s="1"/>
      <c r="AA185" s="1"/>
      <c r="AB185" s="1"/>
      <c r="AC185" s="1"/>
    </row>
    <row r="186" spans="2:29" x14ac:dyDescent="0.25">
      <c r="B186" s="4" t="s">
        <v>689</v>
      </c>
      <c r="C186" t="s">
        <v>689</v>
      </c>
      <c r="D186" t="s">
        <v>689</v>
      </c>
      <c r="G186" s="1"/>
      <c r="H186" s="1"/>
      <c r="I186" s="1"/>
      <c r="J186" s="1"/>
      <c r="K186" s="1"/>
      <c r="L186" s="1"/>
      <c r="M186" s="1"/>
      <c r="N186" s="1"/>
      <c r="O186" s="1"/>
      <c r="P186" s="1"/>
      <c r="Q186" s="1"/>
      <c r="R186" s="1"/>
      <c r="V186" s="1"/>
      <c r="W186" s="2"/>
      <c r="X186" s="1"/>
      <c r="Y186" s="1"/>
      <c r="Z186" s="1"/>
      <c r="AA186" s="1"/>
      <c r="AB186" s="1"/>
      <c r="AC186" s="1"/>
    </row>
    <row r="187" spans="2:29" x14ac:dyDescent="0.25">
      <c r="B187" s="5"/>
      <c r="G187" s="1"/>
      <c r="H187" s="1"/>
      <c r="I187" s="1"/>
      <c r="J187" s="1"/>
      <c r="K187" s="1"/>
      <c r="L187" s="1"/>
      <c r="M187" s="1"/>
      <c r="N187" s="1"/>
      <c r="O187" s="1"/>
      <c r="P187" s="1"/>
      <c r="Q187" s="1"/>
      <c r="R187" s="1"/>
      <c r="V187" s="1"/>
      <c r="W187" s="2"/>
      <c r="X187" s="1"/>
      <c r="Y187" s="1"/>
      <c r="Z187" s="1"/>
      <c r="AA187" s="1"/>
      <c r="AB187" s="1"/>
      <c r="AC187" s="1"/>
    </row>
    <row r="188" spans="2:29" x14ac:dyDescent="0.25">
      <c r="B188" s="4" t="s">
        <v>775</v>
      </c>
      <c r="C188" t="s">
        <v>775</v>
      </c>
      <c r="D188" t="s">
        <v>775</v>
      </c>
      <c r="G188" s="1"/>
      <c r="H188" s="1"/>
      <c r="I188" s="1"/>
      <c r="J188" s="1"/>
      <c r="K188" s="1"/>
      <c r="L188" s="1"/>
      <c r="M188" s="1"/>
      <c r="N188" s="1"/>
      <c r="O188" s="1"/>
      <c r="P188" s="1"/>
      <c r="Q188" s="1"/>
      <c r="R188" s="1"/>
      <c r="V188" s="1"/>
      <c r="W188" s="2"/>
      <c r="X188" s="1"/>
      <c r="Y188" s="1"/>
      <c r="Z188" s="1"/>
      <c r="AA188" s="1"/>
      <c r="AB188" s="1"/>
      <c r="AC188" s="1"/>
    </row>
    <row r="189" spans="2:29" x14ac:dyDescent="0.25">
      <c r="B189" s="4" t="s">
        <v>693</v>
      </c>
      <c r="C189" t="s">
        <v>693</v>
      </c>
      <c r="D189" t="s">
        <v>693</v>
      </c>
      <c r="G189" s="1"/>
      <c r="H189" s="1"/>
      <c r="I189" s="1"/>
      <c r="J189" s="1"/>
      <c r="K189" s="1"/>
      <c r="L189" s="1"/>
      <c r="M189" s="1"/>
      <c r="N189" s="1"/>
      <c r="O189" s="1"/>
      <c r="P189" s="1"/>
      <c r="Q189" s="1"/>
      <c r="R189" s="1"/>
      <c r="V189" s="1"/>
      <c r="W189" s="2"/>
      <c r="X189" s="1"/>
      <c r="Y189" s="1"/>
      <c r="Z189" s="1"/>
      <c r="AA189" s="1"/>
      <c r="AB189" s="1"/>
      <c r="AC189" s="1"/>
    </row>
    <row r="190" spans="2:29" x14ac:dyDescent="0.25">
      <c r="B190" s="4" t="s">
        <v>776</v>
      </c>
      <c r="C190" t="s">
        <v>776</v>
      </c>
      <c r="D190" t="s">
        <v>776</v>
      </c>
      <c r="G190" s="1"/>
      <c r="H190" s="1"/>
      <c r="I190" s="1"/>
      <c r="J190" s="1"/>
      <c r="K190" s="1"/>
      <c r="L190" s="1"/>
      <c r="M190" s="1"/>
      <c r="N190" s="1"/>
      <c r="O190" s="1"/>
      <c r="P190" s="1"/>
      <c r="Q190" s="1"/>
      <c r="R190" s="1"/>
      <c r="V190" s="1"/>
      <c r="W190" s="2"/>
      <c r="X190" s="1"/>
      <c r="Y190" s="1"/>
      <c r="Z190" s="1"/>
      <c r="AA190" s="1"/>
      <c r="AB190" s="1"/>
      <c r="AC190" s="1"/>
    </row>
    <row r="191" spans="2:29" x14ac:dyDescent="0.25">
      <c r="B191" s="3" t="s">
        <v>328</v>
      </c>
      <c r="C191" t="s">
        <v>329</v>
      </c>
      <c r="D191" t="s">
        <v>329</v>
      </c>
      <c r="G191" s="1"/>
      <c r="H191" s="1"/>
      <c r="I191" s="1"/>
      <c r="J191" s="1"/>
      <c r="K191" s="1"/>
      <c r="L191" s="1"/>
      <c r="M191" s="1"/>
      <c r="N191" s="1"/>
      <c r="O191" s="1"/>
      <c r="P191" s="1"/>
      <c r="Q191" s="1"/>
      <c r="R191" s="1"/>
      <c r="V191" s="1"/>
      <c r="W191" s="2"/>
      <c r="X191" s="1"/>
      <c r="Y191" s="1"/>
      <c r="Z191" s="1"/>
      <c r="AA191" s="1"/>
      <c r="AB191" s="1"/>
      <c r="AC191" s="1"/>
    </row>
    <row r="192" spans="2:29" x14ac:dyDescent="0.25">
      <c r="B192" s="4" t="s">
        <v>777</v>
      </c>
      <c r="C192" t="s">
        <v>777</v>
      </c>
      <c r="D192" t="s">
        <v>777</v>
      </c>
      <c r="G192" s="1"/>
      <c r="H192" s="1"/>
      <c r="I192" s="1"/>
      <c r="J192" s="1"/>
      <c r="K192" s="1"/>
      <c r="L192" s="1"/>
      <c r="M192" s="1"/>
      <c r="N192" s="1"/>
      <c r="O192" s="1"/>
      <c r="P192" s="1"/>
      <c r="Q192" s="1"/>
      <c r="R192" s="1"/>
      <c r="V192" s="1"/>
      <c r="W192" s="2"/>
      <c r="X192" s="1"/>
      <c r="Y192" s="1"/>
      <c r="Z192" s="1"/>
      <c r="AA192" s="1"/>
      <c r="AB192" s="1"/>
      <c r="AC192" s="1"/>
    </row>
    <row r="193" spans="2:31" x14ac:dyDescent="0.25">
      <c r="B193" s="4" t="s">
        <v>778</v>
      </c>
      <c r="C193" t="s">
        <v>778</v>
      </c>
      <c r="D193" t="s">
        <v>778</v>
      </c>
      <c r="G193" s="1"/>
      <c r="H193" s="1"/>
      <c r="I193" s="1"/>
      <c r="J193" s="1"/>
      <c r="K193" s="1"/>
      <c r="L193" s="1"/>
      <c r="M193" s="1"/>
      <c r="N193" s="1"/>
      <c r="O193" s="1"/>
      <c r="P193" s="1"/>
      <c r="Q193" s="1"/>
      <c r="R193" s="1"/>
      <c r="V193" s="1"/>
      <c r="W193" s="2"/>
      <c r="X193" s="1"/>
      <c r="Y193" s="1"/>
      <c r="Z193" s="1"/>
      <c r="AA193" s="1"/>
      <c r="AB193" s="1"/>
      <c r="AC193" s="1"/>
    </row>
    <row r="194" spans="2:31" x14ac:dyDescent="0.25">
      <c r="B194" s="4" t="s">
        <v>779</v>
      </c>
      <c r="C194" t="s">
        <v>779</v>
      </c>
      <c r="D194" t="s">
        <v>779</v>
      </c>
      <c r="G194" s="1"/>
      <c r="H194" s="1"/>
      <c r="I194" s="1"/>
      <c r="J194" s="1"/>
      <c r="K194" s="1"/>
      <c r="L194" s="1"/>
      <c r="M194" s="1"/>
      <c r="N194" s="1"/>
      <c r="O194" s="1"/>
      <c r="P194" s="1"/>
      <c r="Q194" s="1"/>
      <c r="R194" s="1"/>
      <c r="V194" s="1"/>
      <c r="W194" s="2"/>
      <c r="X194" s="1"/>
      <c r="Y194" s="1"/>
      <c r="Z194" s="1"/>
      <c r="AA194" s="1"/>
      <c r="AB194" s="1"/>
      <c r="AC194" s="1"/>
    </row>
    <row r="195" spans="2:31" x14ac:dyDescent="0.25">
      <c r="B195" s="4" t="s">
        <v>780</v>
      </c>
      <c r="C195" t="s">
        <v>780</v>
      </c>
      <c r="D195" t="s">
        <v>780</v>
      </c>
      <c r="G195" s="1"/>
      <c r="H195" s="1"/>
      <c r="I195" s="1"/>
      <c r="J195" s="1"/>
      <c r="K195" s="1"/>
      <c r="L195" s="1"/>
      <c r="M195" s="1"/>
      <c r="N195" s="1"/>
      <c r="O195" s="1"/>
      <c r="P195" s="1"/>
      <c r="Q195" s="1"/>
      <c r="R195" s="1"/>
      <c r="V195" s="1"/>
      <c r="W195" s="2"/>
      <c r="X195" s="1"/>
      <c r="Y195" s="1"/>
      <c r="Z195" s="1"/>
      <c r="AA195" s="1"/>
      <c r="AB195" s="1"/>
      <c r="AC195" s="1"/>
    </row>
    <row r="196" spans="2:31" x14ac:dyDescent="0.25">
      <c r="B196" s="4" t="s">
        <v>781</v>
      </c>
      <c r="C196" t="s">
        <v>781</v>
      </c>
      <c r="D196" t="s">
        <v>781</v>
      </c>
      <c r="G196" s="1"/>
      <c r="H196" s="1"/>
      <c r="I196" s="1"/>
      <c r="J196" s="1"/>
      <c r="K196" s="1"/>
      <c r="L196" s="1"/>
      <c r="M196" s="1"/>
      <c r="N196" s="1"/>
      <c r="O196" s="1"/>
      <c r="P196" s="1"/>
      <c r="Q196" s="1"/>
      <c r="R196" s="1"/>
      <c r="V196" s="1"/>
      <c r="W196" s="2"/>
      <c r="X196" s="1"/>
      <c r="Y196" s="1"/>
      <c r="Z196" s="1"/>
      <c r="AA196" s="1"/>
      <c r="AB196" s="1"/>
      <c r="AC196" s="1"/>
    </row>
    <row r="197" spans="2:31" x14ac:dyDescent="0.25">
      <c r="B197" s="5"/>
      <c r="G197" s="1"/>
      <c r="H197" s="1"/>
      <c r="I197" s="1"/>
      <c r="J197" s="1"/>
      <c r="K197" s="1"/>
      <c r="L197" s="1"/>
      <c r="M197" s="1"/>
      <c r="N197" s="1"/>
      <c r="O197" s="1"/>
      <c r="P197" s="1"/>
      <c r="Q197" s="1"/>
      <c r="R197" s="1"/>
      <c r="V197" s="1"/>
      <c r="W197" s="2"/>
      <c r="X197" s="1"/>
      <c r="Y197" s="1"/>
      <c r="Z197" s="1"/>
      <c r="AA197" s="1"/>
      <c r="AB197" s="1"/>
      <c r="AC197" s="1"/>
    </row>
    <row r="198" spans="2:31" x14ac:dyDescent="0.25">
      <c r="B198" s="4" t="s">
        <v>778</v>
      </c>
      <c r="C198" t="s">
        <v>778</v>
      </c>
      <c r="D198" t="s">
        <v>778</v>
      </c>
      <c r="G198" s="1"/>
      <c r="H198" s="1"/>
      <c r="I198" s="1"/>
      <c r="J198" s="1"/>
      <c r="K198" s="1"/>
      <c r="L198" s="1"/>
      <c r="M198" s="1"/>
      <c r="N198" s="1"/>
      <c r="O198" s="1"/>
      <c r="P198" s="1"/>
      <c r="Q198" s="1"/>
      <c r="R198" s="1"/>
      <c r="V198" s="1"/>
      <c r="W198" s="2"/>
      <c r="X198" s="1"/>
      <c r="Y198" s="1"/>
      <c r="Z198" s="1"/>
      <c r="AA198" s="1"/>
      <c r="AB198" s="1"/>
      <c r="AC198" s="1"/>
    </row>
    <row r="199" spans="2:31" x14ac:dyDescent="0.25">
      <c r="B199" s="4" t="s">
        <v>782</v>
      </c>
      <c r="C199" t="s">
        <v>782</v>
      </c>
      <c r="D199" t="s">
        <v>782</v>
      </c>
      <c r="G199" s="1"/>
      <c r="H199" s="1"/>
      <c r="I199" s="1"/>
      <c r="J199" s="1"/>
      <c r="K199" s="1"/>
      <c r="L199" s="1"/>
      <c r="M199" s="1"/>
      <c r="N199" s="1"/>
      <c r="O199" s="1"/>
      <c r="P199" s="1"/>
      <c r="Q199" s="1"/>
      <c r="R199" s="1"/>
      <c r="V199" s="1"/>
      <c r="W199" s="2"/>
      <c r="X199" s="1"/>
      <c r="Y199" s="1"/>
      <c r="Z199" s="1"/>
      <c r="AA199" s="1"/>
      <c r="AB199" s="1"/>
      <c r="AC199" s="1"/>
    </row>
    <row r="200" spans="2:31" x14ac:dyDescent="0.25">
      <c r="B200" s="4" t="s">
        <v>783</v>
      </c>
      <c r="C200" t="s">
        <v>783</v>
      </c>
      <c r="D200" t="s">
        <v>783</v>
      </c>
      <c r="G200" s="1"/>
      <c r="H200" s="1"/>
      <c r="I200" s="1"/>
      <c r="J200" s="1"/>
      <c r="K200" s="1"/>
      <c r="L200" s="1"/>
      <c r="M200" s="1"/>
      <c r="N200" s="1"/>
      <c r="O200" s="1"/>
      <c r="P200" s="1"/>
      <c r="Q200" s="1"/>
      <c r="R200" s="1"/>
      <c r="V200" s="1"/>
      <c r="W200" s="2"/>
      <c r="X200" s="1"/>
      <c r="Y200" s="1"/>
      <c r="Z200" s="1"/>
      <c r="AA200" s="1"/>
      <c r="AB200" s="1"/>
      <c r="AC200" s="1"/>
    </row>
    <row r="201" spans="2:31" x14ac:dyDescent="0.25">
      <c r="B201" s="4" t="s">
        <v>781</v>
      </c>
      <c r="C201" t="s">
        <v>781</v>
      </c>
      <c r="D201" t="s">
        <v>781</v>
      </c>
      <c r="G201" s="1"/>
      <c r="H201" s="1"/>
      <c r="I201" s="1"/>
      <c r="J201" s="1"/>
      <c r="K201" s="1"/>
      <c r="L201" s="1"/>
      <c r="M201" s="1"/>
      <c r="N201" s="1"/>
      <c r="O201" s="1"/>
      <c r="P201" s="1"/>
      <c r="Q201" s="1"/>
      <c r="R201" s="1"/>
      <c r="V201" s="1"/>
      <c r="W201" s="2"/>
      <c r="X201" s="1"/>
      <c r="Y201" s="1"/>
      <c r="Z201" s="1"/>
      <c r="AA201" s="1"/>
      <c r="AB201" s="1"/>
      <c r="AC201" s="1"/>
    </row>
    <row r="202" spans="2:31" x14ac:dyDescent="0.25">
      <c r="B202" s="5"/>
      <c r="E202" s="1" t="s">
        <v>117</v>
      </c>
      <c r="F202" s="2" t="s">
        <v>117</v>
      </c>
      <c r="G202" s="1" t="s">
        <v>117</v>
      </c>
      <c r="H202" s="1" t="s">
        <v>117</v>
      </c>
      <c r="I202" s="1" t="s">
        <v>117</v>
      </c>
      <c r="J202" s="1" t="s">
        <v>117</v>
      </c>
      <c r="K202" s="1" t="s">
        <v>117</v>
      </c>
      <c r="L202" s="1" t="s">
        <v>117</v>
      </c>
      <c r="M202" s="1" t="s">
        <v>117</v>
      </c>
      <c r="N202" s="1" t="s">
        <v>117</v>
      </c>
      <c r="O202" s="1" t="s">
        <v>117</v>
      </c>
      <c r="P202" s="1" t="s">
        <v>117</v>
      </c>
      <c r="Q202" s="1" t="s">
        <v>117</v>
      </c>
      <c r="R202" s="1" t="s">
        <v>117</v>
      </c>
      <c r="S202" t="s">
        <v>117</v>
      </c>
      <c r="T202" t="s">
        <v>117</v>
      </c>
      <c r="U202" t="s">
        <v>117</v>
      </c>
      <c r="V202" s="1" t="s">
        <v>117</v>
      </c>
      <c r="W202" s="2" t="s">
        <v>117</v>
      </c>
      <c r="X202" s="1" t="s">
        <v>117</v>
      </c>
      <c r="Y202" s="1" t="s">
        <v>117</v>
      </c>
      <c r="Z202" s="1" t="s">
        <v>117</v>
      </c>
      <c r="AA202" s="1" t="s">
        <v>117</v>
      </c>
      <c r="AB202" s="1" t="s">
        <v>117</v>
      </c>
      <c r="AC202" s="1" t="s">
        <v>117</v>
      </c>
      <c r="AD202" t="s">
        <v>117</v>
      </c>
      <c r="AE202" t="s">
        <v>117</v>
      </c>
    </row>
    <row r="203" spans="2:31" x14ac:dyDescent="0.25">
      <c r="B203" s="4" t="s">
        <v>778</v>
      </c>
      <c r="C203" t="s">
        <v>778</v>
      </c>
      <c r="D203" t="s">
        <v>778</v>
      </c>
      <c r="E203" s="1" t="s">
        <v>117</v>
      </c>
      <c r="F203" s="2" t="s">
        <v>117</v>
      </c>
      <c r="G203" s="1" t="s">
        <v>117</v>
      </c>
      <c r="H203" s="1" t="s">
        <v>117</v>
      </c>
      <c r="I203" s="1" t="s">
        <v>117</v>
      </c>
      <c r="J203" s="1" t="s">
        <v>117</v>
      </c>
      <c r="K203" s="1" t="s">
        <v>117</v>
      </c>
      <c r="L203" s="1" t="s">
        <v>117</v>
      </c>
      <c r="M203" s="1" t="s">
        <v>117</v>
      </c>
      <c r="N203" s="1" t="s">
        <v>117</v>
      </c>
      <c r="O203" s="1" t="s">
        <v>117</v>
      </c>
      <c r="P203" s="1" t="s">
        <v>117</v>
      </c>
      <c r="Q203" s="1" t="s">
        <v>117</v>
      </c>
      <c r="R203" s="1" t="s">
        <v>117</v>
      </c>
      <c r="S203" t="s">
        <v>117</v>
      </c>
      <c r="T203" t="s">
        <v>117</v>
      </c>
      <c r="U203" t="s">
        <v>117</v>
      </c>
      <c r="V203" s="1" t="s">
        <v>117</v>
      </c>
      <c r="W203" s="2" t="s">
        <v>117</v>
      </c>
      <c r="X203" s="1" t="s">
        <v>117</v>
      </c>
      <c r="Y203" s="1" t="s">
        <v>117</v>
      </c>
      <c r="Z203" s="1" t="s">
        <v>117</v>
      </c>
      <c r="AA203" s="1" t="s">
        <v>117</v>
      </c>
      <c r="AB203" s="1" t="s">
        <v>117</v>
      </c>
      <c r="AC203" s="1" t="s">
        <v>117</v>
      </c>
      <c r="AD203" t="s">
        <v>117</v>
      </c>
      <c r="AE203" t="s">
        <v>117</v>
      </c>
    </row>
    <row r="204" spans="2:31" x14ac:dyDescent="0.25">
      <c r="B204" s="4" t="s">
        <v>784</v>
      </c>
      <c r="C204" t="s">
        <v>784</v>
      </c>
      <c r="D204" t="s">
        <v>784</v>
      </c>
      <c r="E204" s="1" t="s">
        <v>117</v>
      </c>
      <c r="F204" s="2" t="s">
        <v>117</v>
      </c>
      <c r="G204" s="1" t="s">
        <v>117</v>
      </c>
      <c r="H204" s="1" t="s">
        <v>117</v>
      </c>
      <c r="I204" s="1" t="s">
        <v>117</v>
      </c>
      <c r="J204" s="1" t="s">
        <v>117</v>
      </c>
      <c r="K204" s="1" t="s">
        <v>117</v>
      </c>
      <c r="L204" s="1" t="s">
        <v>117</v>
      </c>
      <c r="M204" s="1" t="s">
        <v>117</v>
      </c>
      <c r="N204" s="1" t="s">
        <v>117</v>
      </c>
      <c r="O204" s="1" t="s">
        <v>117</v>
      </c>
      <c r="P204" s="1" t="s">
        <v>117</v>
      </c>
      <c r="Q204" s="1" t="s">
        <v>117</v>
      </c>
      <c r="R204" s="1" t="s">
        <v>117</v>
      </c>
      <c r="S204" t="s">
        <v>117</v>
      </c>
      <c r="T204" t="s">
        <v>117</v>
      </c>
      <c r="U204" t="s">
        <v>117</v>
      </c>
      <c r="V204" s="1" t="s">
        <v>117</v>
      </c>
      <c r="W204" s="2" t="s">
        <v>117</v>
      </c>
      <c r="X204" s="1" t="s">
        <v>117</v>
      </c>
      <c r="Y204" s="1" t="s">
        <v>117</v>
      </c>
      <c r="Z204" s="1" t="s">
        <v>117</v>
      </c>
      <c r="AA204" s="1" t="s">
        <v>117</v>
      </c>
      <c r="AB204" s="1" t="s">
        <v>117</v>
      </c>
      <c r="AC204" s="1" t="s">
        <v>117</v>
      </c>
      <c r="AD204" t="s">
        <v>117</v>
      </c>
      <c r="AE204" t="s">
        <v>117</v>
      </c>
    </row>
    <row r="205" spans="2:31" x14ac:dyDescent="0.25">
      <c r="B205" s="4" t="s">
        <v>785</v>
      </c>
      <c r="C205" t="s">
        <v>785</v>
      </c>
      <c r="D205" t="s">
        <v>785</v>
      </c>
      <c r="E205" s="1" t="s">
        <v>689</v>
      </c>
      <c r="F205" s="2" t="s">
        <v>689</v>
      </c>
      <c r="G205" s="1" t="s">
        <v>689</v>
      </c>
      <c r="H205" s="1" t="s">
        <v>689</v>
      </c>
      <c r="I205" s="1" t="s">
        <v>689</v>
      </c>
      <c r="J205" s="1" t="s">
        <v>689</v>
      </c>
      <c r="K205" s="1" t="s">
        <v>689</v>
      </c>
      <c r="L205" s="1" t="s">
        <v>689</v>
      </c>
      <c r="M205" s="1" t="s">
        <v>689</v>
      </c>
      <c r="N205" s="1" t="s">
        <v>689</v>
      </c>
      <c r="O205" s="1" t="s">
        <v>689</v>
      </c>
      <c r="P205" s="1" t="s">
        <v>689</v>
      </c>
      <c r="Q205" s="1" t="s">
        <v>689</v>
      </c>
      <c r="R205" s="1" t="s">
        <v>689</v>
      </c>
      <c r="S205" t="s">
        <v>689</v>
      </c>
      <c r="T205" t="s">
        <v>689</v>
      </c>
      <c r="U205" t="s">
        <v>689</v>
      </c>
      <c r="V205" s="1" t="s">
        <v>689</v>
      </c>
      <c r="W205" s="2" t="s">
        <v>689</v>
      </c>
      <c r="X205" s="1" t="s">
        <v>689</v>
      </c>
      <c r="Y205" s="1" t="s">
        <v>689</v>
      </c>
      <c r="Z205" s="1" t="s">
        <v>689</v>
      </c>
      <c r="AA205" s="1" t="s">
        <v>689</v>
      </c>
      <c r="AB205" s="1" t="s">
        <v>689</v>
      </c>
      <c r="AC205" s="1" t="s">
        <v>689</v>
      </c>
      <c r="AD205" t="s">
        <v>689</v>
      </c>
      <c r="AE205" t="s">
        <v>689</v>
      </c>
    </row>
    <row r="206" spans="2:31" x14ac:dyDescent="0.25">
      <c r="B206" s="4" t="s">
        <v>781</v>
      </c>
      <c r="C206" t="s">
        <v>781</v>
      </c>
      <c r="D206" t="s">
        <v>781</v>
      </c>
      <c r="E206" s="1" t="s">
        <v>786</v>
      </c>
      <c r="F206" s="2" t="s">
        <v>786</v>
      </c>
      <c r="G206" s="1" t="s">
        <v>786</v>
      </c>
      <c r="H206" s="1" t="s">
        <v>786</v>
      </c>
      <c r="I206" s="1" t="s">
        <v>786</v>
      </c>
      <c r="J206" s="1" t="s">
        <v>786</v>
      </c>
      <c r="K206" s="1" t="s">
        <v>786</v>
      </c>
      <c r="L206" s="1" t="s">
        <v>786</v>
      </c>
      <c r="M206" s="1" t="s">
        <v>786</v>
      </c>
      <c r="N206" s="1" t="s">
        <v>786</v>
      </c>
      <c r="O206" s="1" t="s">
        <v>786</v>
      </c>
      <c r="P206" s="1" t="s">
        <v>786</v>
      </c>
      <c r="Q206" s="1" t="s">
        <v>786</v>
      </c>
      <c r="R206" s="1" t="s">
        <v>786</v>
      </c>
      <c r="S206" t="s">
        <v>786</v>
      </c>
      <c r="T206" t="s">
        <v>786</v>
      </c>
      <c r="U206" t="s">
        <v>786</v>
      </c>
      <c r="V206" s="1" t="s">
        <v>786</v>
      </c>
      <c r="W206" s="2" t="s">
        <v>786</v>
      </c>
      <c r="X206" s="1" t="s">
        <v>786</v>
      </c>
      <c r="Y206" s="1" t="s">
        <v>786</v>
      </c>
      <c r="Z206" s="1" t="s">
        <v>786</v>
      </c>
      <c r="AA206" s="1" t="s">
        <v>786</v>
      </c>
      <c r="AB206" s="1" t="s">
        <v>786</v>
      </c>
      <c r="AC206" s="1" t="s">
        <v>786</v>
      </c>
      <c r="AD206" t="s">
        <v>786</v>
      </c>
      <c r="AE206" t="s">
        <v>786</v>
      </c>
    </row>
    <row r="207" spans="2:31" x14ac:dyDescent="0.25">
      <c r="B207" s="4" t="s">
        <v>778</v>
      </c>
      <c r="C207" t="s">
        <v>778</v>
      </c>
      <c r="D207" t="s">
        <v>778</v>
      </c>
      <c r="G207" s="1"/>
      <c r="H207" s="1"/>
      <c r="I207" s="1"/>
      <c r="J207" s="1"/>
      <c r="K207" s="1"/>
      <c r="L207" s="1"/>
      <c r="M207" s="1"/>
      <c r="N207" s="1"/>
      <c r="O207" s="1"/>
      <c r="P207" s="1"/>
      <c r="Q207" s="1"/>
      <c r="R207" s="1"/>
      <c r="V207" s="1"/>
      <c r="W207" s="2"/>
      <c r="X207" s="1"/>
      <c r="Y207" s="1"/>
      <c r="Z207" s="1"/>
      <c r="AA207" s="1"/>
      <c r="AB207" s="1"/>
      <c r="AC207" s="1"/>
    </row>
    <row r="208" spans="2:31" x14ac:dyDescent="0.25">
      <c r="B208" s="4" t="s">
        <v>787</v>
      </c>
      <c r="C208" t="s">
        <v>787</v>
      </c>
      <c r="D208" t="s">
        <v>787</v>
      </c>
      <c r="E208" s="1" t="s">
        <v>788</v>
      </c>
      <c r="F208" s="2" t="s">
        <v>788</v>
      </c>
      <c r="G208" s="1" t="s">
        <v>788</v>
      </c>
      <c r="H208" s="1" t="s">
        <v>788</v>
      </c>
      <c r="I208" s="1" t="s">
        <v>788</v>
      </c>
      <c r="J208" s="1" t="s">
        <v>788</v>
      </c>
      <c r="K208" s="1" t="s">
        <v>788</v>
      </c>
      <c r="L208" s="1" t="s">
        <v>788</v>
      </c>
      <c r="M208" s="1" t="s">
        <v>788</v>
      </c>
      <c r="N208" s="1" t="s">
        <v>788</v>
      </c>
      <c r="O208" s="1" t="s">
        <v>788</v>
      </c>
      <c r="P208" s="1" t="s">
        <v>788</v>
      </c>
      <c r="Q208" s="1" t="s">
        <v>788</v>
      </c>
      <c r="R208" s="1" t="s">
        <v>788</v>
      </c>
      <c r="S208" t="s">
        <v>788</v>
      </c>
      <c r="T208" t="s">
        <v>788</v>
      </c>
      <c r="U208" t="s">
        <v>788</v>
      </c>
      <c r="V208" s="1" t="s">
        <v>788</v>
      </c>
      <c r="W208" s="2" t="s">
        <v>788</v>
      </c>
      <c r="X208" s="1" t="s">
        <v>788</v>
      </c>
      <c r="Y208" s="1" t="s">
        <v>788</v>
      </c>
      <c r="Z208" s="1" t="s">
        <v>788</v>
      </c>
      <c r="AA208" s="1" t="s">
        <v>788</v>
      </c>
      <c r="AB208" s="1" t="s">
        <v>788</v>
      </c>
      <c r="AC208" s="1" t="s">
        <v>788</v>
      </c>
      <c r="AD208" t="s">
        <v>788</v>
      </c>
      <c r="AE208" t="s">
        <v>788</v>
      </c>
    </row>
    <row r="209" spans="2:31" x14ac:dyDescent="0.25">
      <c r="B209" s="4" t="s">
        <v>789</v>
      </c>
      <c r="C209" t="s">
        <v>789</v>
      </c>
      <c r="D209" t="s">
        <v>789</v>
      </c>
      <c r="E209" s="1" t="s">
        <v>790</v>
      </c>
      <c r="F209" s="2" t="s">
        <v>790</v>
      </c>
      <c r="G209" s="1" t="s">
        <v>790</v>
      </c>
      <c r="H209" s="1" t="s">
        <v>790</v>
      </c>
      <c r="I209" s="1" t="s">
        <v>790</v>
      </c>
      <c r="J209" s="1" t="s">
        <v>790</v>
      </c>
      <c r="K209" s="1" t="s">
        <v>790</v>
      </c>
      <c r="L209" s="1" t="s">
        <v>790</v>
      </c>
      <c r="M209" s="1" t="s">
        <v>790</v>
      </c>
      <c r="N209" s="1" t="s">
        <v>790</v>
      </c>
      <c r="O209" s="1" t="s">
        <v>790</v>
      </c>
      <c r="P209" s="1" t="s">
        <v>790</v>
      </c>
      <c r="Q209" s="1" t="s">
        <v>790</v>
      </c>
      <c r="R209" s="1" t="s">
        <v>790</v>
      </c>
      <c r="S209" t="s">
        <v>790</v>
      </c>
      <c r="T209" t="s">
        <v>790</v>
      </c>
      <c r="U209" t="s">
        <v>790</v>
      </c>
      <c r="V209" s="1" t="s">
        <v>790</v>
      </c>
      <c r="W209" s="2" t="s">
        <v>790</v>
      </c>
      <c r="X209" s="1" t="s">
        <v>790</v>
      </c>
      <c r="Y209" s="1" t="s">
        <v>790</v>
      </c>
      <c r="Z209" s="1" t="s">
        <v>790</v>
      </c>
      <c r="AA209" s="1" t="s">
        <v>790</v>
      </c>
      <c r="AB209" s="1" t="s">
        <v>790</v>
      </c>
      <c r="AC209" s="1" t="s">
        <v>790</v>
      </c>
      <c r="AD209" t="s">
        <v>790</v>
      </c>
      <c r="AE209" t="s">
        <v>790</v>
      </c>
    </row>
    <row r="210" spans="2:31" x14ac:dyDescent="0.25">
      <c r="B210" s="4" t="s">
        <v>781</v>
      </c>
      <c r="C210" t="s">
        <v>781</v>
      </c>
      <c r="D210" t="s">
        <v>781</v>
      </c>
      <c r="E210" s="1" t="s">
        <v>791</v>
      </c>
      <c r="F210" s="2" t="s">
        <v>791</v>
      </c>
      <c r="G210" s="1" t="s">
        <v>791</v>
      </c>
      <c r="H210" s="1" t="s">
        <v>791</v>
      </c>
      <c r="I210" s="1" t="s">
        <v>791</v>
      </c>
      <c r="J210" s="1" t="s">
        <v>791</v>
      </c>
      <c r="K210" s="1" t="s">
        <v>791</v>
      </c>
      <c r="L210" s="1" t="s">
        <v>791</v>
      </c>
      <c r="M210" s="1" t="s">
        <v>791</v>
      </c>
      <c r="N210" s="1" t="s">
        <v>791</v>
      </c>
      <c r="O210" s="1" t="s">
        <v>791</v>
      </c>
      <c r="P210" s="1" t="s">
        <v>791</v>
      </c>
      <c r="Q210" s="1" t="s">
        <v>791</v>
      </c>
      <c r="R210" s="1" t="s">
        <v>791</v>
      </c>
      <c r="S210" t="s">
        <v>791</v>
      </c>
      <c r="T210" t="s">
        <v>791</v>
      </c>
      <c r="U210" t="s">
        <v>791</v>
      </c>
      <c r="V210" s="1" t="s">
        <v>791</v>
      </c>
      <c r="W210" s="2" t="s">
        <v>791</v>
      </c>
      <c r="X210" s="1" t="s">
        <v>791</v>
      </c>
      <c r="Y210" s="1" t="s">
        <v>791</v>
      </c>
      <c r="Z210" s="1" t="s">
        <v>791</v>
      </c>
      <c r="AA210" s="1" t="s">
        <v>791</v>
      </c>
      <c r="AB210" s="1" t="s">
        <v>791</v>
      </c>
      <c r="AC210" s="1" t="s">
        <v>791</v>
      </c>
      <c r="AD210" t="s">
        <v>791</v>
      </c>
      <c r="AE210" t="s">
        <v>791</v>
      </c>
    </row>
    <row r="211" spans="2:31" x14ac:dyDescent="0.25">
      <c r="B211" s="4" t="s">
        <v>778</v>
      </c>
      <c r="C211" t="s">
        <v>778</v>
      </c>
      <c r="D211" t="s">
        <v>778</v>
      </c>
      <c r="E211" s="1" t="s">
        <v>792</v>
      </c>
      <c r="F211" s="2" t="s">
        <v>792</v>
      </c>
      <c r="G211" s="1" t="s">
        <v>792</v>
      </c>
      <c r="H211" s="1" t="s">
        <v>792</v>
      </c>
      <c r="I211" s="1" t="s">
        <v>792</v>
      </c>
      <c r="J211" s="1" t="s">
        <v>792</v>
      </c>
      <c r="K211" s="1" t="s">
        <v>792</v>
      </c>
      <c r="L211" s="1" t="s">
        <v>792</v>
      </c>
      <c r="M211" s="1" t="s">
        <v>792</v>
      </c>
      <c r="N211" s="1" t="s">
        <v>792</v>
      </c>
      <c r="O211" s="1" t="s">
        <v>792</v>
      </c>
      <c r="P211" s="1" t="s">
        <v>792</v>
      </c>
      <c r="Q211" s="1" t="s">
        <v>792</v>
      </c>
      <c r="R211" s="1" t="s">
        <v>792</v>
      </c>
      <c r="S211" t="s">
        <v>792</v>
      </c>
      <c r="T211" t="s">
        <v>792</v>
      </c>
      <c r="U211" t="s">
        <v>792</v>
      </c>
      <c r="V211" s="1" t="s">
        <v>792</v>
      </c>
      <c r="W211" s="2" t="s">
        <v>792</v>
      </c>
      <c r="X211" s="1" t="s">
        <v>792</v>
      </c>
      <c r="Y211" s="1" t="s">
        <v>792</v>
      </c>
      <c r="Z211" s="1" t="s">
        <v>792</v>
      </c>
      <c r="AA211" s="1" t="s">
        <v>792</v>
      </c>
      <c r="AB211" s="1" t="s">
        <v>792</v>
      </c>
      <c r="AC211" s="1" t="s">
        <v>792</v>
      </c>
      <c r="AD211" t="s">
        <v>792</v>
      </c>
      <c r="AE211" t="s">
        <v>792</v>
      </c>
    </row>
    <row r="212" spans="2:31" x14ac:dyDescent="0.25">
      <c r="B212" s="4" t="s">
        <v>793</v>
      </c>
      <c r="C212" t="s">
        <v>793</v>
      </c>
      <c r="D212" t="s">
        <v>793</v>
      </c>
      <c r="E212" s="1" t="s">
        <v>117</v>
      </c>
      <c r="F212" s="2" t="s">
        <v>117</v>
      </c>
      <c r="G212" s="1" t="s">
        <v>117</v>
      </c>
      <c r="H212" s="1" t="s">
        <v>117</v>
      </c>
      <c r="I212" s="1" t="s">
        <v>117</v>
      </c>
      <c r="J212" s="1" t="s">
        <v>117</v>
      </c>
      <c r="K212" s="1" t="s">
        <v>117</v>
      </c>
      <c r="L212" s="1" t="s">
        <v>117</v>
      </c>
      <c r="M212" s="1" t="s">
        <v>117</v>
      </c>
      <c r="N212" s="1" t="s">
        <v>117</v>
      </c>
      <c r="O212" s="1" t="s">
        <v>117</v>
      </c>
      <c r="P212" s="1" t="s">
        <v>117</v>
      </c>
      <c r="Q212" s="1" t="s">
        <v>117</v>
      </c>
      <c r="R212" s="1" t="s">
        <v>117</v>
      </c>
      <c r="S212" t="s">
        <v>117</v>
      </c>
      <c r="T212" t="s">
        <v>117</v>
      </c>
      <c r="U212" t="s">
        <v>117</v>
      </c>
      <c r="V212" s="1" t="s">
        <v>117</v>
      </c>
      <c r="W212" s="2" t="s">
        <v>117</v>
      </c>
      <c r="X212" s="1" t="s">
        <v>117</v>
      </c>
      <c r="Y212" s="1" t="s">
        <v>117</v>
      </c>
      <c r="Z212" s="1" t="s">
        <v>117</v>
      </c>
      <c r="AA212" s="1" t="s">
        <v>117</v>
      </c>
      <c r="AB212" s="1" t="s">
        <v>117</v>
      </c>
      <c r="AC212" s="1" t="s">
        <v>117</v>
      </c>
      <c r="AD212" t="s">
        <v>117</v>
      </c>
      <c r="AE212" t="s">
        <v>117</v>
      </c>
    </row>
    <row r="213" spans="2:31" x14ac:dyDescent="0.25">
      <c r="B213" s="4" t="s">
        <v>794</v>
      </c>
      <c r="C213" t="s">
        <v>794</v>
      </c>
      <c r="D213" t="s">
        <v>794</v>
      </c>
      <c r="E213" s="1" t="s">
        <v>795</v>
      </c>
      <c r="F213" s="2" t="s">
        <v>795</v>
      </c>
      <c r="G213" s="1" t="s">
        <v>795</v>
      </c>
      <c r="H213" s="1" t="s">
        <v>795</v>
      </c>
      <c r="I213" s="1" t="s">
        <v>795</v>
      </c>
      <c r="J213" s="1" t="s">
        <v>795</v>
      </c>
      <c r="K213" s="1" t="s">
        <v>795</v>
      </c>
      <c r="L213" s="1" t="s">
        <v>795</v>
      </c>
      <c r="M213" s="1" t="s">
        <v>795</v>
      </c>
      <c r="N213" s="1" t="s">
        <v>795</v>
      </c>
      <c r="O213" s="1" t="s">
        <v>795</v>
      </c>
      <c r="P213" s="1" t="s">
        <v>795</v>
      </c>
      <c r="Q213" s="1" t="s">
        <v>795</v>
      </c>
      <c r="R213" s="1" t="s">
        <v>795</v>
      </c>
      <c r="S213" t="s">
        <v>795</v>
      </c>
      <c r="T213" t="s">
        <v>795</v>
      </c>
      <c r="U213" t="s">
        <v>795</v>
      </c>
      <c r="V213" s="1" t="s">
        <v>795</v>
      </c>
      <c r="W213" s="2" t="s">
        <v>795</v>
      </c>
      <c r="X213" s="1" t="s">
        <v>795</v>
      </c>
      <c r="Y213" s="1" t="s">
        <v>795</v>
      </c>
      <c r="Z213" s="1" t="s">
        <v>795</v>
      </c>
      <c r="AA213" s="1" t="s">
        <v>795</v>
      </c>
      <c r="AB213" s="1" t="s">
        <v>795</v>
      </c>
      <c r="AC213" s="1" t="s">
        <v>795</v>
      </c>
      <c r="AD213" t="s">
        <v>795</v>
      </c>
      <c r="AE213" t="s">
        <v>795</v>
      </c>
    </row>
    <row r="214" spans="2:31" x14ac:dyDescent="0.25">
      <c r="B214" s="4" t="s">
        <v>781</v>
      </c>
      <c r="C214" t="s">
        <v>781</v>
      </c>
      <c r="D214" t="s">
        <v>781</v>
      </c>
      <c r="E214" s="1" t="s">
        <v>796</v>
      </c>
      <c r="F214" s="2" t="s">
        <v>796</v>
      </c>
      <c r="G214" s="1" t="s">
        <v>796</v>
      </c>
      <c r="H214" s="1" t="s">
        <v>796</v>
      </c>
      <c r="I214" s="1" t="s">
        <v>796</v>
      </c>
      <c r="J214" s="1" t="s">
        <v>796</v>
      </c>
      <c r="K214" s="1" t="s">
        <v>796</v>
      </c>
      <c r="L214" s="1" t="s">
        <v>796</v>
      </c>
      <c r="M214" s="1" t="s">
        <v>796</v>
      </c>
      <c r="N214" s="1" t="s">
        <v>796</v>
      </c>
      <c r="O214" s="1" t="s">
        <v>796</v>
      </c>
      <c r="P214" s="1" t="s">
        <v>796</v>
      </c>
      <c r="Q214" s="1" t="s">
        <v>796</v>
      </c>
      <c r="R214" s="1" t="s">
        <v>796</v>
      </c>
      <c r="S214" t="s">
        <v>796</v>
      </c>
      <c r="T214" t="s">
        <v>796</v>
      </c>
      <c r="U214" t="s">
        <v>796</v>
      </c>
      <c r="V214" s="1" t="s">
        <v>796</v>
      </c>
      <c r="W214" s="2" t="s">
        <v>796</v>
      </c>
      <c r="X214" s="1" t="s">
        <v>796</v>
      </c>
      <c r="Y214" s="1" t="s">
        <v>796</v>
      </c>
      <c r="Z214" s="1" t="s">
        <v>796</v>
      </c>
      <c r="AA214" s="1" t="s">
        <v>796</v>
      </c>
      <c r="AB214" s="1" t="s">
        <v>796</v>
      </c>
      <c r="AC214" s="1" t="s">
        <v>796</v>
      </c>
      <c r="AD214" t="s">
        <v>796</v>
      </c>
      <c r="AE214" t="s">
        <v>796</v>
      </c>
    </row>
    <row r="215" spans="2:31" x14ac:dyDescent="0.25">
      <c r="B215" s="4" t="s">
        <v>778</v>
      </c>
      <c r="C215" t="s">
        <v>778</v>
      </c>
      <c r="D215" t="s">
        <v>778</v>
      </c>
      <c r="E215" s="1" t="s">
        <v>797</v>
      </c>
      <c r="F215" s="2" t="s">
        <v>797</v>
      </c>
      <c r="G215" s="1" t="s">
        <v>797</v>
      </c>
      <c r="H215" s="1" t="s">
        <v>797</v>
      </c>
      <c r="I215" s="1" t="s">
        <v>797</v>
      </c>
      <c r="J215" s="1" t="s">
        <v>797</v>
      </c>
      <c r="K215" s="1" t="s">
        <v>797</v>
      </c>
      <c r="L215" s="1" t="s">
        <v>797</v>
      </c>
      <c r="M215" s="1" t="s">
        <v>797</v>
      </c>
      <c r="N215" s="1" t="s">
        <v>797</v>
      </c>
      <c r="O215" s="1" t="s">
        <v>797</v>
      </c>
      <c r="P215" s="1" t="s">
        <v>797</v>
      </c>
      <c r="Q215" s="1" t="s">
        <v>797</v>
      </c>
      <c r="R215" s="1" t="s">
        <v>797</v>
      </c>
      <c r="S215" t="s">
        <v>797</v>
      </c>
      <c r="T215" t="s">
        <v>797</v>
      </c>
      <c r="U215" t="s">
        <v>797</v>
      </c>
      <c r="V215" s="1" t="s">
        <v>797</v>
      </c>
      <c r="W215" s="2" t="s">
        <v>797</v>
      </c>
      <c r="X215" s="1" t="s">
        <v>797</v>
      </c>
      <c r="Y215" s="1" t="s">
        <v>797</v>
      </c>
      <c r="Z215" s="1" t="s">
        <v>797</v>
      </c>
      <c r="AA215" s="1" t="s">
        <v>797</v>
      </c>
      <c r="AB215" s="1" t="s">
        <v>797</v>
      </c>
      <c r="AC215" s="1" t="s">
        <v>797</v>
      </c>
      <c r="AD215" t="s">
        <v>797</v>
      </c>
      <c r="AE215" t="s">
        <v>797</v>
      </c>
    </row>
    <row r="216" spans="2:31" x14ac:dyDescent="0.25">
      <c r="B216" s="4" t="s">
        <v>798</v>
      </c>
      <c r="C216" t="s">
        <v>798</v>
      </c>
      <c r="D216" t="s">
        <v>798</v>
      </c>
      <c r="E216" s="1" t="s">
        <v>799</v>
      </c>
      <c r="F216" s="2" t="s">
        <v>799</v>
      </c>
      <c r="G216" s="1" t="s">
        <v>799</v>
      </c>
      <c r="H216" s="1" t="s">
        <v>799</v>
      </c>
      <c r="I216" s="1" t="s">
        <v>799</v>
      </c>
      <c r="J216" s="1" t="s">
        <v>799</v>
      </c>
      <c r="K216" s="1" t="s">
        <v>799</v>
      </c>
      <c r="L216" s="1" t="s">
        <v>799</v>
      </c>
      <c r="M216" s="1" t="s">
        <v>799</v>
      </c>
      <c r="N216" s="1" t="s">
        <v>799</v>
      </c>
      <c r="O216" s="1" t="s">
        <v>799</v>
      </c>
      <c r="P216" s="1" t="s">
        <v>799</v>
      </c>
      <c r="Q216" s="1" t="s">
        <v>799</v>
      </c>
      <c r="R216" s="1" t="s">
        <v>799</v>
      </c>
      <c r="S216" t="s">
        <v>799</v>
      </c>
      <c r="T216" t="s">
        <v>799</v>
      </c>
      <c r="U216" t="s">
        <v>799</v>
      </c>
      <c r="V216" s="1" t="s">
        <v>799</v>
      </c>
      <c r="W216" s="2" t="s">
        <v>799</v>
      </c>
      <c r="X216" s="1" t="s">
        <v>799</v>
      </c>
      <c r="Y216" s="1" t="s">
        <v>799</v>
      </c>
      <c r="Z216" s="1" t="s">
        <v>799</v>
      </c>
      <c r="AA216" s="1" t="s">
        <v>799</v>
      </c>
      <c r="AB216" s="1" t="s">
        <v>799</v>
      </c>
      <c r="AC216" s="1" t="s">
        <v>799</v>
      </c>
      <c r="AD216" t="s">
        <v>799</v>
      </c>
      <c r="AE216" t="s">
        <v>799</v>
      </c>
    </row>
    <row r="217" spans="2:31" x14ac:dyDescent="0.25">
      <c r="B217" s="4" t="s">
        <v>800</v>
      </c>
      <c r="C217" t="s">
        <v>800</v>
      </c>
      <c r="D217" t="s">
        <v>800</v>
      </c>
      <c r="E217" s="1" t="s">
        <v>801</v>
      </c>
      <c r="F217" s="2" t="s">
        <v>801</v>
      </c>
      <c r="G217" s="1" t="s">
        <v>801</v>
      </c>
      <c r="H217" s="1" t="s">
        <v>801</v>
      </c>
      <c r="I217" s="1" t="s">
        <v>801</v>
      </c>
      <c r="J217" s="1" t="s">
        <v>801</v>
      </c>
      <c r="K217" s="1" t="s">
        <v>801</v>
      </c>
      <c r="L217" s="1" t="s">
        <v>801</v>
      </c>
      <c r="M217" s="1" t="s">
        <v>801</v>
      </c>
      <c r="N217" s="1" t="s">
        <v>801</v>
      </c>
      <c r="O217" s="1" t="s">
        <v>801</v>
      </c>
      <c r="P217" s="1" t="s">
        <v>801</v>
      </c>
      <c r="Q217" s="1" t="s">
        <v>801</v>
      </c>
      <c r="R217" s="1" t="s">
        <v>801</v>
      </c>
      <c r="S217" t="s">
        <v>801</v>
      </c>
      <c r="T217" t="s">
        <v>801</v>
      </c>
      <c r="U217" t="s">
        <v>801</v>
      </c>
      <c r="V217" s="1" t="s">
        <v>801</v>
      </c>
      <c r="W217" s="2" t="s">
        <v>801</v>
      </c>
      <c r="X217" s="1" t="s">
        <v>801</v>
      </c>
      <c r="Y217" s="1" t="s">
        <v>801</v>
      </c>
      <c r="Z217" s="1" t="s">
        <v>801</v>
      </c>
      <c r="AA217" s="1" t="s">
        <v>801</v>
      </c>
      <c r="AB217" s="1" t="s">
        <v>801</v>
      </c>
      <c r="AC217" s="1" t="s">
        <v>801</v>
      </c>
      <c r="AD217" t="s">
        <v>801</v>
      </c>
      <c r="AE217" t="s">
        <v>801</v>
      </c>
    </row>
    <row r="218" spans="2:31" x14ac:dyDescent="0.25">
      <c r="B218" s="4" t="s">
        <v>781</v>
      </c>
      <c r="C218" t="s">
        <v>781</v>
      </c>
      <c r="D218" t="s">
        <v>781</v>
      </c>
      <c r="E218" s="1" t="s">
        <v>372</v>
      </c>
      <c r="F218" s="2" t="s">
        <v>372</v>
      </c>
      <c r="G218" s="1" t="s">
        <v>372</v>
      </c>
      <c r="H218" s="1" t="s">
        <v>372</v>
      </c>
      <c r="I218" s="1" t="s">
        <v>372</v>
      </c>
      <c r="J218" s="1" t="s">
        <v>372</v>
      </c>
      <c r="K218" s="1" t="s">
        <v>372</v>
      </c>
      <c r="L218" s="1" t="s">
        <v>372</v>
      </c>
      <c r="M218" s="1" t="s">
        <v>372</v>
      </c>
      <c r="N218" s="1" t="s">
        <v>372</v>
      </c>
      <c r="O218" s="1" t="s">
        <v>372</v>
      </c>
      <c r="P218" s="1" t="s">
        <v>372</v>
      </c>
      <c r="Q218" s="1" t="s">
        <v>372</v>
      </c>
      <c r="R218" s="1" t="s">
        <v>372</v>
      </c>
      <c r="S218" t="s">
        <v>372</v>
      </c>
      <c r="T218" t="s">
        <v>372</v>
      </c>
      <c r="U218" t="s">
        <v>372</v>
      </c>
      <c r="V218" s="1" t="s">
        <v>372</v>
      </c>
      <c r="W218" s="2" t="s">
        <v>372</v>
      </c>
      <c r="X218" s="1" t="s">
        <v>372</v>
      </c>
      <c r="Y218" s="1" t="s">
        <v>372</v>
      </c>
      <c r="Z218" s="1" t="s">
        <v>372</v>
      </c>
      <c r="AA218" s="1" t="s">
        <v>372</v>
      </c>
      <c r="AB218" s="1" t="s">
        <v>372</v>
      </c>
      <c r="AC218" s="1" t="s">
        <v>372</v>
      </c>
      <c r="AD218" t="s">
        <v>372</v>
      </c>
      <c r="AE218" t="s">
        <v>372</v>
      </c>
    </row>
    <row r="219" spans="2:31" x14ac:dyDescent="0.25">
      <c r="B219" s="4" t="s">
        <v>117</v>
      </c>
      <c r="C219" t="s">
        <v>117</v>
      </c>
      <c r="D219" t="s">
        <v>117</v>
      </c>
      <c r="G219" s="1"/>
      <c r="H219" s="1"/>
      <c r="I219" s="1"/>
      <c r="J219" s="1"/>
      <c r="K219" s="1"/>
      <c r="L219" s="1"/>
      <c r="M219" s="1"/>
      <c r="N219" s="1"/>
      <c r="O219" s="1"/>
      <c r="P219" s="1"/>
      <c r="Q219" s="1"/>
      <c r="R219" s="1"/>
    </row>
    <row r="220" spans="2:31" x14ac:dyDescent="0.25">
      <c r="B220" s="4" t="s">
        <v>117</v>
      </c>
      <c r="C220" t="s">
        <v>117</v>
      </c>
      <c r="D220" t="s">
        <v>117</v>
      </c>
      <c r="G220" s="1"/>
      <c r="H220" s="1"/>
      <c r="I220" s="1"/>
      <c r="J220" s="1"/>
      <c r="K220" s="1"/>
      <c r="L220" s="1"/>
      <c r="M220" s="1"/>
      <c r="N220" s="1"/>
      <c r="O220" s="1"/>
      <c r="P220" s="1"/>
      <c r="Q220" s="1"/>
      <c r="R220" s="1"/>
    </row>
    <row r="221" spans="2:31" x14ac:dyDescent="0.25">
      <c r="B221" s="4" t="s">
        <v>689</v>
      </c>
      <c r="C221" t="s">
        <v>689</v>
      </c>
      <c r="D221" t="s">
        <v>689</v>
      </c>
      <c r="G221" s="1"/>
      <c r="H221" s="1"/>
      <c r="I221" s="1"/>
      <c r="J221" s="1"/>
      <c r="K221" s="1"/>
      <c r="L221" s="1"/>
      <c r="M221" s="1"/>
      <c r="N221" s="1"/>
      <c r="O221" s="1"/>
      <c r="P221" s="1"/>
      <c r="Q221" s="1"/>
      <c r="R221" s="1"/>
    </row>
    <row r="222" spans="2:31" x14ac:dyDescent="0.25">
      <c r="B222" s="5"/>
      <c r="G222" s="1"/>
      <c r="H222" s="1"/>
      <c r="I222" s="1"/>
      <c r="J222" s="1"/>
      <c r="K222" s="1"/>
      <c r="L222" s="1"/>
      <c r="M222" s="1"/>
      <c r="N222" s="1"/>
      <c r="O222" s="1"/>
      <c r="P222" s="1"/>
      <c r="Q222" s="1"/>
      <c r="R222" s="1"/>
    </row>
    <row r="223" spans="2:31" x14ac:dyDescent="0.25">
      <c r="B223" s="4" t="s">
        <v>691</v>
      </c>
      <c r="C223" t="s">
        <v>691</v>
      </c>
      <c r="D223" t="s">
        <v>691</v>
      </c>
      <c r="G223" s="1"/>
      <c r="H223" s="1"/>
      <c r="I223" s="1"/>
      <c r="J223" s="1"/>
      <c r="K223" s="1"/>
      <c r="L223" s="1"/>
      <c r="M223" s="1"/>
      <c r="N223" s="1"/>
      <c r="O223" s="1"/>
      <c r="P223" s="1"/>
      <c r="Q223" s="1"/>
      <c r="R223" s="1"/>
    </row>
    <row r="224" spans="2:31" x14ac:dyDescent="0.25">
      <c r="B224" s="4" t="s">
        <v>693</v>
      </c>
      <c r="C224" t="s">
        <v>693</v>
      </c>
      <c r="D224" t="s">
        <v>693</v>
      </c>
      <c r="G224" s="1"/>
      <c r="H224" s="1"/>
      <c r="I224" s="1"/>
      <c r="J224" s="1"/>
      <c r="K224" s="1"/>
      <c r="L224" s="1"/>
      <c r="M224" s="1"/>
      <c r="N224" s="1"/>
      <c r="O224" s="1"/>
      <c r="P224" s="1"/>
      <c r="Q224" s="1"/>
      <c r="R224" s="1"/>
    </row>
    <row r="225" spans="2:18" x14ac:dyDescent="0.25">
      <c r="B225" s="4" t="s">
        <v>695</v>
      </c>
      <c r="C225" t="s">
        <v>695</v>
      </c>
      <c r="D225" t="s">
        <v>695</v>
      </c>
      <c r="G225" s="1"/>
      <c r="H225" s="1"/>
      <c r="I225" s="1"/>
      <c r="J225" s="1"/>
      <c r="K225" s="1"/>
      <c r="L225" s="1"/>
      <c r="M225" s="1"/>
      <c r="N225" s="1"/>
      <c r="O225" s="1"/>
      <c r="P225" s="1"/>
      <c r="Q225" s="1"/>
      <c r="R225" s="1"/>
    </row>
    <row r="226" spans="2:18" x14ac:dyDescent="0.25">
      <c r="B226" s="4" t="s">
        <v>697</v>
      </c>
      <c r="C226" t="s">
        <v>697</v>
      </c>
      <c r="D226" t="s">
        <v>697</v>
      </c>
      <c r="G226" s="1"/>
      <c r="H226" s="1"/>
      <c r="I226" s="1"/>
      <c r="J226" s="1"/>
      <c r="K226" s="1"/>
      <c r="L226" s="1"/>
      <c r="M226" s="1"/>
      <c r="N226" s="1"/>
      <c r="O226" s="1"/>
      <c r="P226" s="1"/>
      <c r="Q226" s="1"/>
      <c r="R226" s="1"/>
    </row>
    <row r="227" spans="2:18" x14ac:dyDescent="0.25">
      <c r="B227" s="4" t="s">
        <v>699</v>
      </c>
      <c r="C227" t="s">
        <v>699</v>
      </c>
      <c r="D227" t="s">
        <v>699</v>
      </c>
      <c r="G227" s="1"/>
      <c r="H227" s="1"/>
      <c r="I227" s="1"/>
      <c r="J227" s="1"/>
      <c r="K227" s="1"/>
      <c r="L227" s="1"/>
      <c r="M227" s="1"/>
      <c r="N227" s="1"/>
      <c r="O227" s="1"/>
      <c r="P227" s="1"/>
      <c r="Q227" s="1"/>
      <c r="R227" s="1"/>
    </row>
    <row r="228" spans="2:18" x14ac:dyDescent="0.25">
      <c r="B228" s="4" t="s">
        <v>117</v>
      </c>
      <c r="C228" t="s">
        <v>117</v>
      </c>
      <c r="D228" t="s">
        <v>117</v>
      </c>
      <c r="G228" s="1"/>
      <c r="H228" s="1"/>
      <c r="I228" s="1"/>
      <c r="J228" s="1"/>
      <c r="K228" s="1"/>
      <c r="L228" s="1"/>
      <c r="M228" s="1"/>
      <c r="N228" s="1"/>
      <c r="O228" s="1"/>
      <c r="P228" s="1"/>
      <c r="Q228" s="1"/>
      <c r="R228" s="1"/>
    </row>
    <row r="229" spans="2:18" x14ac:dyDescent="0.25">
      <c r="B229" s="5"/>
      <c r="G229" s="1"/>
      <c r="H229" s="1"/>
      <c r="I229" s="1"/>
      <c r="J229" s="1"/>
      <c r="K229" s="1"/>
      <c r="L229" s="1"/>
      <c r="M229" s="1"/>
      <c r="N229" s="1"/>
      <c r="O229" s="1"/>
      <c r="P229" s="1"/>
      <c r="Q229" s="1"/>
      <c r="R229" s="1"/>
    </row>
    <row r="230" spans="2:18" x14ac:dyDescent="0.25">
      <c r="B230" s="4" t="s">
        <v>802</v>
      </c>
      <c r="C230" t="s">
        <v>802</v>
      </c>
      <c r="D230" t="s">
        <v>802</v>
      </c>
      <c r="G230" s="1"/>
      <c r="H230" s="1"/>
      <c r="I230" s="1"/>
      <c r="J230" s="1"/>
      <c r="K230" s="1"/>
      <c r="L230" s="1"/>
      <c r="M230" s="1"/>
      <c r="N230" s="1"/>
      <c r="O230" s="1"/>
      <c r="P230" s="1"/>
      <c r="Q230" s="1"/>
      <c r="R230" s="1"/>
    </row>
    <row r="231" spans="2:18" x14ac:dyDescent="0.25">
      <c r="B231" s="4" t="s">
        <v>702</v>
      </c>
      <c r="C231" t="s">
        <v>702</v>
      </c>
      <c r="D231" t="s">
        <v>702</v>
      </c>
      <c r="G231" s="1"/>
      <c r="H231" s="1"/>
      <c r="I231" s="1"/>
      <c r="J231" s="1"/>
      <c r="K231" s="1"/>
      <c r="L231" s="1"/>
      <c r="M231" s="1"/>
      <c r="N231" s="1"/>
      <c r="O231" s="1"/>
      <c r="P231" s="1"/>
      <c r="Q231" s="1"/>
      <c r="R231" s="1"/>
    </row>
    <row r="232" spans="2:18" x14ac:dyDescent="0.25">
      <c r="B232" s="4" t="s">
        <v>704</v>
      </c>
      <c r="C232" t="s">
        <v>704</v>
      </c>
      <c r="D232" t="s">
        <v>704</v>
      </c>
      <c r="G232" s="1"/>
      <c r="H232" s="1"/>
      <c r="I232" s="1"/>
      <c r="J232" s="1"/>
      <c r="K232" s="1"/>
      <c r="L232" s="1"/>
      <c r="M232" s="1"/>
      <c r="N232" s="1"/>
      <c r="O232" s="1"/>
      <c r="P232" s="1"/>
      <c r="Q232" s="1"/>
      <c r="R232" s="1"/>
    </row>
    <row r="233" spans="2:18" x14ac:dyDescent="0.25">
      <c r="B233" s="4" t="s">
        <v>117</v>
      </c>
      <c r="C233" t="s">
        <v>117</v>
      </c>
      <c r="D233" t="s">
        <v>117</v>
      </c>
      <c r="G233" s="1"/>
      <c r="H233" s="1"/>
      <c r="I233" s="1"/>
      <c r="J233" s="1"/>
      <c r="K233" s="1"/>
      <c r="L233" s="1"/>
      <c r="M233" s="1"/>
      <c r="N233" s="1"/>
      <c r="O233" s="1"/>
      <c r="P233" s="1"/>
      <c r="Q233" s="1"/>
      <c r="R233" s="1"/>
    </row>
    <row r="234" spans="2:18" x14ac:dyDescent="0.25">
      <c r="B234" s="4" t="s">
        <v>117</v>
      </c>
      <c r="C234" t="s">
        <v>117</v>
      </c>
      <c r="D234" t="s">
        <v>117</v>
      </c>
      <c r="G234" s="1"/>
      <c r="H234" s="1"/>
      <c r="I234" s="1"/>
      <c r="J234" s="1"/>
      <c r="K234" s="1"/>
      <c r="L234" s="1"/>
      <c r="M234" s="1"/>
      <c r="N234" s="1"/>
      <c r="O234" s="1"/>
      <c r="P234" s="1"/>
      <c r="Q234" s="1"/>
      <c r="R234" s="1"/>
    </row>
    <row r="235" spans="2:18" x14ac:dyDescent="0.25">
      <c r="B235" s="4" t="s">
        <v>689</v>
      </c>
      <c r="C235" t="s">
        <v>689</v>
      </c>
      <c r="D235" t="s">
        <v>689</v>
      </c>
      <c r="G235" s="1"/>
      <c r="H235" s="1"/>
      <c r="I235" s="1"/>
      <c r="J235" s="1"/>
      <c r="K235" s="1"/>
      <c r="L235" s="1"/>
      <c r="M235" s="1"/>
      <c r="N235" s="1"/>
      <c r="O235" s="1"/>
      <c r="P235" s="1"/>
      <c r="Q235" s="1"/>
      <c r="R235" s="1"/>
    </row>
    <row r="236" spans="2:18" x14ac:dyDescent="0.25">
      <c r="B236" s="4" t="s">
        <v>786</v>
      </c>
      <c r="C236" t="s">
        <v>786</v>
      </c>
      <c r="D236" t="s">
        <v>786</v>
      </c>
      <c r="G236" s="1"/>
      <c r="H236" s="1"/>
      <c r="I236" s="1"/>
      <c r="J236" s="1"/>
      <c r="K236" s="1"/>
      <c r="L236" s="1"/>
      <c r="M236" s="1"/>
      <c r="N236" s="1"/>
      <c r="O236" s="1"/>
      <c r="P236" s="1"/>
      <c r="Q236" s="1"/>
      <c r="R236" s="1"/>
    </row>
    <row r="237" spans="2:18" x14ac:dyDescent="0.25">
      <c r="B237" s="5"/>
      <c r="G237" s="1"/>
      <c r="H237" s="1"/>
      <c r="I237" s="1"/>
      <c r="J237" s="1"/>
      <c r="K237" s="1"/>
      <c r="L237" s="1"/>
      <c r="M237" s="1"/>
      <c r="N237" s="1"/>
      <c r="O237" s="1"/>
      <c r="P237" s="1"/>
      <c r="Q237" s="1"/>
      <c r="R237" s="1"/>
    </row>
    <row r="238" spans="2:18" x14ac:dyDescent="0.25">
      <c r="B238" s="4" t="s">
        <v>788</v>
      </c>
      <c r="C238" t="s">
        <v>788</v>
      </c>
      <c r="D238" t="s">
        <v>788</v>
      </c>
      <c r="G238" s="1"/>
      <c r="H238" s="1"/>
      <c r="I238" s="1"/>
      <c r="J238" s="1"/>
      <c r="K238" s="1"/>
      <c r="L238" s="1"/>
      <c r="M238" s="1"/>
      <c r="N238" s="1"/>
      <c r="O238" s="1"/>
      <c r="P238" s="1"/>
      <c r="Q238" s="1"/>
      <c r="R238" s="1"/>
    </row>
    <row r="239" spans="2:18" x14ac:dyDescent="0.25">
      <c r="B239" s="4" t="s">
        <v>790</v>
      </c>
      <c r="C239" t="s">
        <v>790</v>
      </c>
      <c r="D239" t="s">
        <v>790</v>
      </c>
      <c r="G239" s="1"/>
      <c r="H239" s="1"/>
      <c r="I239" s="1"/>
      <c r="J239" s="1"/>
      <c r="K239" s="1"/>
      <c r="L239" s="1"/>
      <c r="M239" s="1"/>
      <c r="N239" s="1"/>
      <c r="O239" s="1"/>
      <c r="P239" s="1"/>
      <c r="Q239" s="1"/>
      <c r="R239" s="1"/>
    </row>
    <row r="240" spans="2:18" x14ac:dyDescent="0.25">
      <c r="B240" s="4" t="s">
        <v>791</v>
      </c>
      <c r="C240" t="s">
        <v>791</v>
      </c>
      <c r="D240" t="s">
        <v>791</v>
      </c>
      <c r="G240" s="1"/>
      <c r="H240" s="1"/>
      <c r="I240" s="1"/>
      <c r="J240" s="1"/>
      <c r="K240" s="1"/>
      <c r="L240" s="1"/>
      <c r="M240" s="1"/>
      <c r="N240" s="1"/>
      <c r="O240" s="1"/>
      <c r="P240" s="1"/>
      <c r="Q240" s="1"/>
      <c r="R240" s="1"/>
    </row>
    <row r="241" spans="2:18" x14ac:dyDescent="0.25">
      <c r="B241" s="4" t="s">
        <v>792</v>
      </c>
      <c r="C241" t="s">
        <v>792</v>
      </c>
      <c r="D241" t="s">
        <v>792</v>
      </c>
      <c r="G241" s="1"/>
      <c r="H241" s="1"/>
      <c r="I241" s="1"/>
      <c r="J241" s="1"/>
      <c r="K241" s="1"/>
      <c r="L241" s="1"/>
      <c r="M241" s="1"/>
      <c r="N241" s="1"/>
      <c r="O241" s="1"/>
      <c r="P241" s="1"/>
      <c r="Q241" s="1"/>
      <c r="R241" s="1"/>
    </row>
    <row r="242" spans="2:18" x14ac:dyDescent="0.25">
      <c r="B242" s="4" t="s">
        <v>117</v>
      </c>
      <c r="C242" t="s">
        <v>117</v>
      </c>
      <c r="D242" t="s">
        <v>117</v>
      </c>
      <c r="G242" s="1"/>
      <c r="H242" s="1"/>
      <c r="I242" s="1"/>
      <c r="J242" s="1"/>
      <c r="K242" s="1"/>
      <c r="L242" s="1"/>
      <c r="M242" s="1"/>
      <c r="N242" s="1"/>
      <c r="O242" s="1"/>
      <c r="P242" s="1"/>
      <c r="Q242" s="1"/>
      <c r="R242" s="1"/>
    </row>
    <row r="243" spans="2:18" x14ac:dyDescent="0.25">
      <c r="B243" s="4" t="s">
        <v>795</v>
      </c>
      <c r="C243" t="s">
        <v>795</v>
      </c>
      <c r="D243" t="s">
        <v>795</v>
      </c>
      <c r="G243" s="1"/>
      <c r="H243" s="1"/>
      <c r="I243" s="1"/>
      <c r="J243" s="1"/>
      <c r="K243" s="1"/>
      <c r="L243" s="1"/>
      <c r="M243" s="1"/>
      <c r="N243" s="1"/>
      <c r="O243" s="1"/>
      <c r="P243" s="1"/>
      <c r="Q243" s="1"/>
      <c r="R243" s="1"/>
    </row>
    <row r="244" spans="2:18" x14ac:dyDescent="0.25">
      <c r="B244" s="4" t="s">
        <v>796</v>
      </c>
      <c r="C244" t="s">
        <v>796</v>
      </c>
      <c r="D244" t="s">
        <v>796</v>
      </c>
      <c r="G244" s="1"/>
      <c r="H244" s="1"/>
      <c r="I244" s="1"/>
      <c r="J244" s="1"/>
      <c r="K244" s="1"/>
      <c r="L244" s="1"/>
      <c r="M244" s="1"/>
      <c r="N244" s="1"/>
      <c r="O244" s="1"/>
      <c r="P244" s="1"/>
      <c r="Q244" s="1"/>
      <c r="R244" s="1"/>
    </row>
    <row r="245" spans="2:18" x14ac:dyDescent="0.25">
      <c r="B245" s="4" t="s">
        <v>797</v>
      </c>
      <c r="C245" t="s">
        <v>797</v>
      </c>
      <c r="D245" t="s">
        <v>797</v>
      </c>
      <c r="G245" s="1"/>
      <c r="H245" s="1"/>
      <c r="I245" s="1"/>
      <c r="J245" s="1"/>
      <c r="K245" s="1"/>
      <c r="L245" s="1"/>
      <c r="M245" s="1"/>
      <c r="N245" s="1"/>
      <c r="O245" s="1"/>
      <c r="P245" s="1"/>
      <c r="Q245" s="1"/>
      <c r="R245" s="1"/>
    </row>
    <row r="246" spans="2:18" x14ac:dyDescent="0.25">
      <c r="B246" s="4" t="s">
        <v>803</v>
      </c>
      <c r="C246" t="s">
        <v>799</v>
      </c>
      <c r="D246" t="s">
        <v>799</v>
      </c>
      <c r="G246" s="1"/>
      <c r="H246" s="1"/>
      <c r="I246" s="1"/>
      <c r="J246" s="1"/>
      <c r="K246" s="1"/>
      <c r="L246" s="1"/>
      <c r="M246" s="1"/>
      <c r="N246" s="1"/>
      <c r="O246" s="1"/>
      <c r="P246" s="1"/>
      <c r="Q246" s="1"/>
      <c r="R246" s="1"/>
    </row>
    <row r="247" spans="2:18" x14ac:dyDescent="0.25">
      <c r="B247" s="9" t="s">
        <v>801</v>
      </c>
      <c r="C247" t="s">
        <v>801</v>
      </c>
      <c r="D247" t="s">
        <v>801</v>
      </c>
      <c r="G247" s="1"/>
      <c r="H247" s="1"/>
      <c r="I247" s="1"/>
      <c r="J247" s="1"/>
      <c r="K247" s="1"/>
      <c r="L247" s="1"/>
      <c r="M247" s="1"/>
      <c r="N247" s="1"/>
      <c r="O247" s="1"/>
      <c r="P247" s="1"/>
      <c r="Q247" s="1"/>
      <c r="R247" s="1"/>
    </row>
    <row r="248" spans="2:18" x14ac:dyDescent="0.25">
      <c r="B248" s="3" t="s">
        <v>391</v>
      </c>
      <c r="C248" t="s">
        <v>372</v>
      </c>
      <c r="D248" t="s">
        <v>372</v>
      </c>
      <c r="G248" s="1"/>
      <c r="H248" s="1"/>
      <c r="I248" s="1"/>
      <c r="J248" s="1"/>
      <c r="K248" s="1"/>
      <c r="L248" s="1"/>
      <c r="M248" s="1"/>
      <c r="N248" s="1"/>
      <c r="O248" s="1"/>
      <c r="P248" s="1"/>
      <c r="Q248" s="1"/>
      <c r="R248" s="1"/>
    </row>
  </sheetData>
  <pageMargins left="0.7" right="0.7" top="0.78749999999999998" bottom="0.78749999999999998" header="0.511811023622047" footer="0.511811023622047"/>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634</v>
      </c>
    </row>
  </sheetData>
  <pageMargins left="0.7" right="0.7" top="0.78749999999999998" bottom="0.78749999999999998"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zoomScaleNormal="100" workbookViewId="0">
      <selection activeCell="A2" sqref="A2"/>
    </sheetView>
  </sheetViews>
  <sheetFormatPr baseColWidth="10" defaultColWidth="10.7109375" defaultRowHeight="15" x14ac:dyDescent="0.25"/>
  <sheetData>
    <row r="1" spans="1:1" ht="409.5" x14ac:dyDescent="0.25">
      <c r="A1" s="7" t="s">
        <v>392</v>
      </c>
    </row>
  </sheetData>
  <pageMargins left="0.7" right="0.7" top="0.78749999999999998" bottom="0.78749999999999998"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30"/>
  <sheetViews>
    <sheetView topLeftCell="A4" zoomScaleNormal="100" workbookViewId="0">
      <selection activeCell="G11" sqref="G11"/>
    </sheetView>
  </sheetViews>
  <sheetFormatPr baseColWidth="10" defaultColWidth="10.7109375" defaultRowHeight="15" x14ac:dyDescent="0.25"/>
  <cols>
    <col min="1" max="1" width="57" customWidth="1"/>
    <col min="2" max="2" width="14.140625" customWidth="1"/>
    <col min="3" max="3" width="15.42578125" customWidth="1"/>
    <col min="4" max="4" width="56.42578125" customWidth="1"/>
    <col min="5" max="5" width="57" customWidth="1"/>
    <col min="6" max="6" width="22.42578125" customWidth="1"/>
    <col min="7" max="7" width="21.7109375" customWidth="1"/>
    <col min="8" max="8" width="74.5703125" customWidth="1"/>
    <col min="9" max="9" width="79.42578125" customWidth="1"/>
    <col min="10" max="10" width="79.28515625" customWidth="1"/>
    <col min="11" max="11" width="81.140625" customWidth="1"/>
    <col min="12" max="12" width="25" customWidth="1"/>
    <col min="13" max="13" width="17.28515625" customWidth="1"/>
    <col min="14" max="14" width="15" customWidth="1"/>
    <col min="15" max="15" width="28.85546875" customWidth="1"/>
    <col min="16" max="16" width="22.140625" customWidth="1"/>
    <col min="17" max="17" width="17.85546875" customWidth="1"/>
    <col min="18" max="18" width="74.5703125" customWidth="1"/>
    <col min="19" max="19" width="11.140625" customWidth="1"/>
    <col min="20" max="20" width="11.42578125" customWidth="1"/>
  </cols>
  <sheetData>
    <row r="1" spans="1:12" x14ac:dyDescent="0.25">
      <c r="A1" t="s">
        <v>393</v>
      </c>
      <c r="B1" t="s">
        <v>394</v>
      </c>
      <c r="C1" t="s">
        <v>395</v>
      </c>
      <c r="D1" t="s">
        <v>396</v>
      </c>
      <c r="E1" t="s">
        <v>397</v>
      </c>
      <c r="F1" t="s">
        <v>398</v>
      </c>
      <c r="G1" t="s">
        <v>399</v>
      </c>
      <c r="H1" t="s">
        <v>400</v>
      </c>
      <c r="I1" t="s">
        <v>401</v>
      </c>
      <c r="J1" t="s">
        <v>402</v>
      </c>
      <c r="K1" t="s">
        <v>403</v>
      </c>
      <c r="L1" t="s">
        <v>404</v>
      </c>
    </row>
    <row r="2" spans="1:12" x14ac:dyDescent="0.25">
      <c r="A2" t="s">
        <v>405</v>
      </c>
      <c r="B2" t="s">
        <v>406</v>
      </c>
      <c r="C2">
        <v>2026</v>
      </c>
      <c r="D2" t="s">
        <v>407</v>
      </c>
      <c r="E2" t="s">
        <v>408</v>
      </c>
      <c r="F2" t="s">
        <v>409</v>
      </c>
      <c r="G2" t="s">
        <v>410</v>
      </c>
      <c r="H2" t="s">
        <v>411</v>
      </c>
      <c r="I2" t="s">
        <v>412</v>
      </c>
      <c r="J2" t="s">
        <v>413</v>
      </c>
      <c r="K2" t="s">
        <v>414</v>
      </c>
      <c r="L2" t="s">
        <v>415</v>
      </c>
    </row>
    <row r="3" spans="1:12" x14ac:dyDescent="0.25">
      <c r="A3" t="s">
        <v>416</v>
      </c>
      <c r="B3" t="s">
        <v>417</v>
      </c>
      <c r="C3">
        <v>2025</v>
      </c>
      <c r="D3" t="s">
        <v>418</v>
      </c>
      <c r="E3" t="s">
        <v>419</v>
      </c>
      <c r="F3" t="s">
        <v>420</v>
      </c>
      <c r="G3" t="s">
        <v>421</v>
      </c>
      <c r="H3" t="s">
        <v>422</v>
      </c>
      <c r="I3" t="s">
        <v>423</v>
      </c>
      <c r="J3" t="s">
        <v>424</v>
      </c>
      <c r="K3" t="s">
        <v>425</v>
      </c>
      <c r="L3" t="s">
        <v>426</v>
      </c>
    </row>
    <row r="4" spans="1:12" ht="210" x14ac:dyDescent="0.25">
      <c r="A4" t="s">
        <v>427</v>
      </c>
      <c r="B4" t="s">
        <v>406</v>
      </c>
      <c r="C4">
        <v>2025</v>
      </c>
      <c r="D4" t="s">
        <v>428</v>
      </c>
      <c r="E4" t="s">
        <v>429</v>
      </c>
      <c r="F4" t="s">
        <v>430</v>
      </c>
      <c r="G4" t="s">
        <v>431</v>
      </c>
      <c r="H4" t="s">
        <v>432</v>
      </c>
      <c r="I4" t="s">
        <v>433</v>
      </c>
      <c r="J4" t="s">
        <v>434</v>
      </c>
      <c r="K4" s="7" t="s">
        <v>435</v>
      </c>
      <c r="L4" t="s">
        <v>436</v>
      </c>
    </row>
    <row r="5" spans="1:12" x14ac:dyDescent="0.25">
      <c r="A5" t="s">
        <v>437</v>
      </c>
      <c r="B5" t="s">
        <v>417</v>
      </c>
      <c r="C5">
        <v>2024</v>
      </c>
      <c r="D5" t="s">
        <v>438</v>
      </c>
      <c r="E5" t="s">
        <v>429</v>
      </c>
      <c r="F5" t="s">
        <v>439</v>
      </c>
      <c r="G5" t="s">
        <v>440</v>
      </c>
      <c r="H5" t="s">
        <v>441</v>
      </c>
      <c r="I5" t="s">
        <v>442</v>
      </c>
      <c r="J5" t="s">
        <v>443</v>
      </c>
      <c r="K5" t="s">
        <v>444</v>
      </c>
      <c r="L5" t="s">
        <v>445</v>
      </c>
    </row>
    <row r="6" spans="1:12" x14ac:dyDescent="0.25">
      <c r="A6" t="s">
        <v>446</v>
      </c>
      <c r="B6" t="s">
        <v>406</v>
      </c>
      <c r="C6">
        <v>2024</v>
      </c>
      <c r="D6" t="s">
        <v>447</v>
      </c>
      <c r="E6" t="s">
        <v>448</v>
      </c>
      <c r="F6" t="s">
        <v>449</v>
      </c>
      <c r="G6" t="s">
        <v>450</v>
      </c>
      <c r="H6" t="s">
        <v>451</v>
      </c>
      <c r="I6" t="s">
        <v>452</v>
      </c>
      <c r="J6" t="s">
        <v>453</v>
      </c>
      <c r="K6" t="s">
        <v>454</v>
      </c>
      <c r="L6" t="s">
        <v>455</v>
      </c>
    </row>
    <row r="7" spans="1:12" x14ac:dyDescent="0.25">
      <c r="A7" t="s">
        <v>456</v>
      </c>
      <c r="B7" t="s">
        <v>417</v>
      </c>
      <c r="C7">
        <v>2023</v>
      </c>
      <c r="D7" t="s">
        <v>457</v>
      </c>
      <c r="E7" t="s">
        <v>458</v>
      </c>
      <c r="F7" t="s">
        <v>459</v>
      </c>
      <c r="G7" t="s">
        <v>460</v>
      </c>
      <c r="H7" t="s">
        <v>461</v>
      </c>
      <c r="I7" t="s">
        <v>462</v>
      </c>
      <c r="J7" t="s">
        <v>463</v>
      </c>
      <c r="K7" t="s">
        <v>464</v>
      </c>
      <c r="L7" t="s">
        <v>465</v>
      </c>
    </row>
    <row r="8" spans="1:12" x14ac:dyDescent="0.25">
      <c r="A8" t="s">
        <v>466</v>
      </c>
      <c r="B8" t="s">
        <v>406</v>
      </c>
      <c r="C8">
        <v>2023</v>
      </c>
      <c r="D8" t="s">
        <v>467</v>
      </c>
      <c r="E8" t="s">
        <v>468</v>
      </c>
      <c r="F8" t="s">
        <v>469</v>
      </c>
      <c r="G8" t="s">
        <v>470</v>
      </c>
      <c r="H8" t="s">
        <v>471</v>
      </c>
      <c r="I8" t="s">
        <v>472</v>
      </c>
      <c r="J8" t="s">
        <v>473</v>
      </c>
      <c r="K8" t="s">
        <v>474</v>
      </c>
      <c r="L8" t="s">
        <v>475</v>
      </c>
    </row>
    <row r="9" spans="1:12" x14ac:dyDescent="0.25">
      <c r="A9" t="s">
        <v>476</v>
      </c>
      <c r="B9" t="s">
        <v>417</v>
      </c>
      <c r="C9">
        <v>2022</v>
      </c>
      <c r="D9" t="s">
        <v>477</v>
      </c>
      <c r="E9" t="s">
        <v>468</v>
      </c>
      <c r="F9" s="10" t="s">
        <v>639</v>
      </c>
      <c r="G9" s="10" t="s">
        <v>638</v>
      </c>
      <c r="H9" t="s">
        <v>478</v>
      </c>
      <c r="I9" t="s">
        <v>479</v>
      </c>
      <c r="J9" t="s">
        <v>480</v>
      </c>
      <c r="K9" t="s">
        <v>481</v>
      </c>
      <c r="L9" t="s">
        <v>482</v>
      </c>
    </row>
    <row r="10" spans="1:12" x14ac:dyDescent="0.25">
      <c r="A10" t="s">
        <v>483</v>
      </c>
      <c r="B10" t="s">
        <v>406</v>
      </c>
      <c r="C10">
        <v>2022</v>
      </c>
      <c r="D10" t="s">
        <v>484</v>
      </c>
      <c r="E10" t="s">
        <v>468</v>
      </c>
      <c r="F10" s="10" t="s">
        <v>640</v>
      </c>
      <c r="G10" s="10" t="s">
        <v>641</v>
      </c>
      <c r="H10" t="s">
        <v>485</v>
      </c>
      <c r="I10" t="s">
        <v>486</v>
      </c>
      <c r="J10" t="s">
        <v>487</v>
      </c>
      <c r="L10" t="s">
        <v>488</v>
      </c>
    </row>
    <row r="11" spans="1:12" x14ac:dyDescent="0.25">
      <c r="A11" t="s">
        <v>489</v>
      </c>
      <c r="B11" t="s">
        <v>417</v>
      </c>
      <c r="C11">
        <v>2021</v>
      </c>
      <c r="D11" t="s">
        <v>490</v>
      </c>
      <c r="E11" t="s">
        <v>491</v>
      </c>
      <c r="F11" t="s">
        <v>492</v>
      </c>
      <c r="G11" t="s">
        <v>493</v>
      </c>
      <c r="H11" t="s">
        <v>494</v>
      </c>
      <c r="I11" t="s">
        <v>495</v>
      </c>
      <c r="J11" t="s">
        <v>496</v>
      </c>
      <c r="K11" t="s">
        <v>497</v>
      </c>
      <c r="L11" t="s">
        <v>498</v>
      </c>
    </row>
    <row r="12" spans="1:12" ht="210" x14ac:dyDescent="0.25">
      <c r="A12" t="s">
        <v>499</v>
      </c>
      <c r="B12" t="s">
        <v>406</v>
      </c>
      <c r="C12">
        <v>2021</v>
      </c>
      <c r="D12" t="s">
        <v>500</v>
      </c>
      <c r="E12" t="s">
        <v>501</v>
      </c>
      <c r="H12" t="s">
        <v>502</v>
      </c>
      <c r="I12" t="s">
        <v>503</v>
      </c>
      <c r="J12" t="s">
        <v>504</v>
      </c>
      <c r="K12" s="7" t="s">
        <v>505</v>
      </c>
      <c r="L12" t="s">
        <v>506</v>
      </c>
    </row>
    <row r="13" spans="1:12" x14ac:dyDescent="0.25">
      <c r="A13" t="s">
        <v>507</v>
      </c>
      <c r="B13" t="s">
        <v>417</v>
      </c>
      <c r="C13">
        <v>2020</v>
      </c>
      <c r="D13" t="s">
        <v>508</v>
      </c>
      <c r="E13" t="s">
        <v>509</v>
      </c>
      <c r="H13" t="s">
        <v>510</v>
      </c>
      <c r="I13" t="s">
        <v>511</v>
      </c>
      <c r="J13" t="s">
        <v>512</v>
      </c>
      <c r="K13" t="s">
        <v>513</v>
      </c>
      <c r="L13" t="s">
        <v>514</v>
      </c>
    </row>
    <row r="14" spans="1:12" x14ac:dyDescent="0.25">
      <c r="A14" t="s">
        <v>515</v>
      </c>
      <c r="B14" t="s">
        <v>406</v>
      </c>
      <c r="C14">
        <v>2020</v>
      </c>
      <c r="D14" t="s">
        <v>516</v>
      </c>
      <c r="E14" t="s">
        <v>408</v>
      </c>
      <c r="H14" t="s">
        <v>517</v>
      </c>
      <c r="I14" t="s">
        <v>518</v>
      </c>
      <c r="J14" t="s">
        <v>519</v>
      </c>
      <c r="K14" t="s">
        <v>520</v>
      </c>
      <c r="L14" t="s">
        <v>521</v>
      </c>
    </row>
    <row r="15" spans="1:12" x14ac:dyDescent="0.25">
      <c r="A15" t="s">
        <v>522</v>
      </c>
      <c r="B15" t="s">
        <v>417</v>
      </c>
      <c r="C15">
        <v>2019</v>
      </c>
      <c r="D15" t="s">
        <v>523</v>
      </c>
      <c r="E15" t="s">
        <v>524</v>
      </c>
      <c r="H15" t="s">
        <v>525</v>
      </c>
      <c r="I15" t="s">
        <v>526</v>
      </c>
      <c r="J15" t="s">
        <v>527</v>
      </c>
      <c r="K15" t="s">
        <v>528</v>
      </c>
      <c r="L15" t="s">
        <v>529</v>
      </c>
    </row>
    <row r="16" spans="1:12" x14ac:dyDescent="0.25">
      <c r="A16" t="s">
        <v>530</v>
      </c>
      <c r="B16" t="s">
        <v>406</v>
      </c>
      <c r="C16">
        <v>2019</v>
      </c>
      <c r="D16" t="s">
        <v>531</v>
      </c>
      <c r="E16" t="s">
        <v>532</v>
      </c>
      <c r="H16" t="s">
        <v>533</v>
      </c>
      <c r="I16" t="s">
        <v>534</v>
      </c>
      <c r="J16" t="s">
        <v>535</v>
      </c>
      <c r="K16" t="s">
        <v>536</v>
      </c>
      <c r="L16" t="s">
        <v>537</v>
      </c>
    </row>
    <row r="17" spans="1:12" x14ac:dyDescent="0.25">
      <c r="A17" t="s">
        <v>538</v>
      </c>
      <c r="B17" t="s">
        <v>417</v>
      </c>
      <c r="C17">
        <v>2018</v>
      </c>
      <c r="D17" t="s">
        <v>539</v>
      </c>
      <c r="E17" t="s">
        <v>524</v>
      </c>
      <c r="H17" t="s">
        <v>540</v>
      </c>
      <c r="I17" t="s">
        <v>541</v>
      </c>
      <c r="J17" t="s">
        <v>542</v>
      </c>
      <c r="K17" t="s">
        <v>543</v>
      </c>
      <c r="L17" t="s">
        <v>544</v>
      </c>
    </row>
    <row r="18" spans="1:12" x14ac:dyDescent="0.25">
      <c r="A18" t="s">
        <v>545</v>
      </c>
      <c r="B18" t="s">
        <v>406</v>
      </c>
      <c r="C18">
        <v>2018</v>
      </c>
      <c r="D18" t="s">
        <v>546</v>
      </c>
      <c r="E18" t="s">
        <v>547</v>
      </c>
      <c r="H18" t="s">
        <v>548</v>
      </c>
      <c r="I18" t="s">
        <v>549</v>
      </c>
      <c r="J18" t="s">
        <v>550</v>
      </c>
      <c r="K18" t="s">
        <v>551</v>
      </c>
      <c r="L18" t="s">
        <v>552</v>
      </c>
    </row>
    <row r="19" spans="1:12" ht="180" x14ac:dyDescent="0.25">
      <c r="A19" t="s">
        <v>553</v>
      </c>
      <c r="B19" t="s">
        <v>417</v>
      </c>
      <c r="C19">
        <v>2017</v>
      </c>
      <c r="D19" t="s">
        <v>554</v>
      </c>
      <c r="E19" t="s">
        <v>555</v>
      </c>
      <c r="H19" t="s">
        <v>556</v>
      </c>
      <c r="I19" t="s">
        <v>557</v>
      </c>
      <c r="J19" t="s">
        <v>558</v>
      </c>
      <c r="K19" s="7" t="s">
        <v>559</v>
      </c>
      <c r="L19" t="s">
        <v>560</v>
      </c>
    </row>
    <row r="20" spans="1:12" x14ac:dyDescent="0.25">
      <c r="A20" t="s">
        <v>561</v>
      </c>
      <c r="B20" t="s">
        <v>406</v>
      </c>
      <c r="C20">
        <v>2017</v>
      </c>
      <c r="D20" t="s">
        <v>562</v>
      </c>
      <c r="E20" t="s">
        <v>563</v>
      </c>
      <c r="H20" t="s">
        <v>564</v>
      </c>
      <c r="I20" t="s">
        <v>565</v>
      </c>
      <c r="J20" t="s">
        <v>566</v>
      </c>
      <c r="L20" t="s">
        <v>567</v>
      </c>
    </row>
    <row r="21" spans="1:12" x14ac:dyDescent="0.25">
      <c r="A21" t="s">
        <v>568</v>
      </c>
      <c r="B21" t="s">
        <v>417</v>
      </c>
      <c r="C21">
        <v>2016</v>
      </c>
      <c r="D21" t="s">
        <v>569</v>
      </c>
      <c r="E21" t="s">
        <v>570</v>
      </c>
      <c r="H21" t="s">
        <v>571</v>
      </c>
      <c r="I21" t="s">
        <v>572</v>
      </c>
      <c r="L21" t="s">
        <v>573</v>
      </c>
    </row>
    <row r="22" spans="1:12" x14ac:dyDescent="0.25">
      <c r="A22" t="s">
        <v>574</v>
      </c>
      <c r="B22" t="s">
        <v>406</v>
      </c>
      <c r="C22">
        <v>2016</v>
      </c>
      <c r="D22" t="s">
        <v>575</v>
      </c>
      <c r="E22" t="s">
        <v>576</v>
      </c>
      <c r="H22" t="s">
        <v>577</v>
      </c>
      <c r="I22" t="s">
        <v>578</v>
      </c>
      <c r="J22" t="s">
        <v>579</v>
      </c>
      <c r="K22" t="s">
        <v>580</v>
      </c>
      <c r="L22" t="s">
        <v>581</v>
      </c>
    </row>
    <row r="23" spans="1:12" x14ac:dyDescent="0.25">
      <c r="A23" t="s">
        <v>582</v>
      </c>
      <c r="B23" t="s">
        <v>417</v>
      </c>
      <c r="C23">
        <v>2015</v>
      </c>
      <c r="D23" t="s">
        <v>583</v>
      </c>
      <c r="E23" t="s">
        <v>584</v>
      </c>
      <c r="H23" t="s">
        <v>585</v>
      </c>
      <c r="I23" t="s">
        <v>586</v>
      </c>
      <c r="J23" t="s">
        <v>587</v>
      </c>
      <c r="K23" t="s">
        <v>588</v>
      </c>
      <c r="L23" t="s">
        <v>589</v>
      </c>
    </row>
    <row r="24" spans="1:12" ht="90" x14ac:dyDescent="0.25">
      <c r="A24" t="s">
        <v>590</v>
      </c>
      <c r="B24" t="s">
        <v>406</v>
      </c>
      <c r="C24">
        <v>2015</v>
      </c>
      <c r="D24" t="s">
        <v>591</v>
      </c>
      <c r="E24" t="s">
        <v>501</v>
      </c>
      <c r="H24" t="s">
        <v>592</v>
      </c>
      <c r="I24" t="s">
        <v>593</v>
      </c>
      <c r="J24" t="s">
        <v>594</v>
      </c>
      <c r="K24" s="7" t="s">
        <v>595</v>
      </c>
      <c r="L24" t="s">
        <v>596</v>
      </c>
    </row>
    <row r="25" spans="1:12" x14ac:dyDescent="0.25">
      <c r="A25" t="s">
        <v>597</v>
      </c>
      <c r="B25" t="s">
        <v>417</v>
      </c>
      <c r="C25">
        <v>2014</v>
      </c>
      <c r="D25" t="s">
        <v>598</v>
      </c>
      <c r="E25" t="s">
        <v>448</v>
      </c>
      <c r="H25" t="s">
        <v>599</v>
      </c>
      <c r="I25" t="s">
        <v>600</v>
      </c>
      <c r="J25" t="s">
        <v>601</v>
      </c>
      <c r="K25" t="s">
        <v>602</v>
      </c>
      <c r="L25" t="s">
        <v>603</v>
      </c>
    </row>
    <row r="26" spans="1:12" x14ac:dyDescent="0.25">
      <c r="A26" t="s">
        <v>604</v>
      </c>
      <c r="B26" t="s">
        <v>406</v>
      </c>
      <c r="C26">
        <v>2014</v>
      </c>
      <c r="D26" t="s">
        <v>605</v>
      </c>
      <c r="E26" t="s">
        <v>532</v>
      </c>
      <c r="H26" t="s">
        <v>606</v>
      </c>
      <c r="I26" t="s">
        <v>607</v>
      </c>
      <c r="J26" t="s">
        <v>535</v>
      </c>
      <c r="K26" t="s">
        <v>608</v>
      </c>
      <c r="L26" t="s">
        <v>609</v>
      </c>
    </row>
    <row r="27" spans="1:12" x14ac:dyDescent="0.25">
      <c r="A27" t="s">
        <v>610</v>
      </c>
      <c r="B27" t="s">
        <v>417</v>
      </c>
      <c r="C27">
        <v>2013</v>
      </c>
      <c r="D27" t="s">
        <v>611</v>
      </c>
      <c r="E27" t="s">
        <v>532</v>
      </c>
      <c r="F27" t="s">
        <v>612</v>
      </c>
      <c r="G27" t="s">
        <v>613</v>
      </c>
      <c r="H27" t="s">
        <v>614</v>
      </c>
      <c r="I27" t="s">
        <v>615</v>
      </c>
      <c r="J27" t="s">
        <v>616</v>
      </c>
      <c r="K27" t="s">
        <v>617</v>
      </c>
      <c r="L27" t="s">
        <v>618</v>
      </c>
    </row>
    <row r="28" spans="1:12" x14ac:dyDescent="0.25">
      <c r="A28" t="s">
        <v>619</v>
      </c>
      <c r="B28" t="s">
        <v>406</v>
      </c>
      <c r="C28">
        <v>2013</v>
      </c>
      <c r="D28" t="s">
        <v>620</v>
      </c>
      <c r="E28" t="s">
        <v>532</v>
      </c>
      <c r="H28" t="s">
        <v>621</v>
      </c>
      <c r="I28" t="s">
        <v>622</v>
      </c>
      <c r="J28" t="s">
        <v>535</v>
      </c>
      <c r="K28" t="s">
        <v>608</v>
      </c>
      <c r="L28" t="s">
        <v>623</v>
      </c>
    </row>
    <row r="29" spans="1:12" x14ac:dyDescent="0.25">
      <c r="A29" t="s">
        <v>624</v>
      </c>
      <c r="B29" t="s">
        <v>417</v>
      </c>
      <c r="C29">
        <v>2012</v>
      </c>
      <c r="D29" t="s">
        <v>625</v>
      </c>
      <c r="H29" t="s">
        <v>626</v>
      </c>
      <c r="L29" t="s">
        <v>627</v>
      </c>
    </row>
    <row r="30" spans="1:12" x14ac:dyDescent="0.25">
      <c r="A30" t="s">
        <v>628</v>
      </c>
      <c r="B30" t="s">
        <v>406</v>
      </c>
      <c r="C30">
        <v>2012</v>
      </c>
      <c r="D30" t="s">
        <v>629</v>
      </c>
      <c r="E30" t="s">
        <v>532</v>
      </c>
      <c r="H30" t="s">
        <v>630</v>
      </c>
      <c r="I30" t="s">
        <v>631</v>
      </c>
      <c r="J30" t="s">
        <v>632</v>
      </c>
      <c r="K30" t="s">
        <v>633</v>
      </c>
    </row>
  </sheetData>
  <pageMargins left="0.7" right="0.7" top="0.78749999999999998" bottom="0.78749999999999998"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Normal="100" workbookViewId="0"/>
  </sheetViews>
  <sheetFormatPr baseColWidth="10" defaultColWidth="10.7109375" defaultRowHeight="15" x14ac:dyDescent="0.25"/>
  <cols>
    <col min="1" max="1" width="11.42578125" customWidth="1"/>
  </cols>
  <sheetData/>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Q248"/>
  <sheetViews>
    <sheetView zoomScaleNormal="100" workbookViewId="0">
      <selection activeCell="A6" sqref="A6"/>
    </sheetView>
  </sheetViews>
  <sheetFormatPr baseColWidth="10" defaultColWidth="10.7109375" defaultRowHeight="15" x14ac:dyDescent="0.25"/>
  <cols>
    <col min="1" max="2" width="20.140625" customWidth="1"/>
    <col min="3" max="3" width="28.42578125" customWidth="1"/>
    <col min="4" max="4" width="63.7109375" style="1" customWidth="1"/>
    <col min="5" max="5" width="31.140625" customWidth="1"/>
    <col min="6" max="6" width="39.140625" customWidth="1"/>
    <col min="7" max="7" width="30.42578125" customWidth="1"/>
  </cols>
  <sheetData>
    <row r="2" spans="1:17" x14ac:dyDescent="0.25">
      <c r="D2" s="1" t="s">
        <v>0</v>
      </c>
      <c r="E2" t="s">
        <v>1</v>
      </c>
      <c r="F2" t="s">
        <v>2</v>
      </c>
      <c r="G2" t="s">
        <v>3</v>
      </c>
    </row>
    <row r="3" spans="1:17" x14ac:dyDescent="0.25">
      <c r="A3" t="str">
        <f>'exerzitien-katalog'!I2</f>
        <v>Fastenzeit 2026 mit dem heiligen Johannes vom Kreuz</v>
      </c>
      <c r="B3" t="str">
        <f>'exerzitien-katalog'!$I3</f>
        <v>Advent 2025 mit der heiligen Mirjam von Jesus, dem Gekreuzigten</v>
      </c>
      <c r="C3" t="str">
        <f>'exerzitien-katalog'!$I4</f>
        <v>Fastenzeit 2025 mit Thérèse von Lisieux und das Östergeheimnis</v>
      </c>
      <c r="D3" s="1" t="str">
        <f>'exerzitien-katalog'!$I5</f>
        <v>Advent 2024 mit der Hl. Thérèse vom Kind Jesu</v>
      </c>
      <c r="E3" t="str">
        <f>'exerzitien-katalog'!$I6</f>
        <v>Fastenzeit 2024 mit Pater Jacuqes von Jesus (1900-1945)</v>
      </c>
      <c r="F3" t="str">
        <f>'exerzitien-katalog'!$I7</f>
        <v>Advent 2023 mit der heiligen Teresa de Los Andes (1900-1920)</v>
      </c>
      <c r="G3" t="str">
        <f>'exerzitien-katalog'!$I8</f>
        <v>Fastenzeit 2023: Das Gebet</v>
      </c>
      <c r="H3" t="str">
        <f>'exerzitien-katalog'!$I9</f>
        <v>Advent 2022 in der Schule der Heiligen des Karmel</v>
      </c>
      <c r="I3" t="str">
        <f>'exerzitien-katalog'!$I7</f>
        <v>Advent 2023 mit der heiligen Teresa de Los Andes (1900-1920)</v>
      </c>
      <c r="J3" t="str">
        <f>'exerzitien-katalog'!$I7</f>
        <v>Advent 2023 mit der heiligen Teresa de Los Andes (1900-1920)</v>
      </c>
      <c r="K3" t="str">
        <f>'exerzitien-katalog'!$I7</f>
        <v>Advent 2023 mit der heiligen Teresa de Los Andes (1900-1920)</v>
      </c>
      <c r="L3" t="str">
        <f>'exerzitien-katalog'!$I7</f>
        <v>Advent 2023 mit der heiligen Teresa de Los Andes (1900-1920)</v>
      </c>
      <c r="M3" t="str">
        <f>'exerzitien-katalog'!$I7</f>
        <v>Advent 2023 mit der heiligen Teresa de Los Andes (1900-1920)</v>
      </c>
      <c r="N3" t="str">
        <f>'exerzitien-katalog'!$I7</f>
        <v>Advent 2023 mit der heiligen Teresa de Los Andes (1900-1920)</v>
      </c>
      <c r="O3" t="str">
        <f>'exerzitien-katalog'!$I7</f>
        <v>Advent 2023 mit der heiligen Teresa de Los Andes (1900-1920)</v>
      </c>
      <c r="P3" t="str">
        <f>'exerzitien-katalog'!$I7</f>
        <v>Advent 2023 mit der heiligen Teresa de Los Andes (1900-1920)</v>
      </c>
      <c r="Q3" t="str">
        <f>'exerzitien-katalog'!$I7</f>
        <v>Advent 2023 mit der heiligen Teresa de Los Andes (1900-1920)</v>
      </c>
    </row>
    <row r="4" spans="1:17" x14ac:dyDescent="0.25">
      <c r="A4" t="str">
        <f>'exerzitien-katalog'!J2</f>
        <v>Christus in der Tiefe des Herzens begegnen</v>
      </c>
      <c r="B4" t="str">
        <f>'exerzitien-katalog'!$J3</f>
        <v>Mariam oder der Weg der Armen des Herrn</v>
      </c>
      <c r="C4" t="str">
        <f>'exerzitien-katalog'!$J4</f>
        <v>„Aus Liebe sterben, das ist meine Hoffnung“</v>
      </c>
      <c r="D4" s="1" t="str">
        <f>'exerzitien-katalog'!$J5</f>
        <v>„Kind sein vor Gott“</v>
      </c>
      <c r="E4" t="str">
        <f>'exerzitien-katalog'!$J6</f>
        <v>Durch das Kreuz zum Licht</v>
      </c>
      <c r="F4" t="str">
        <f>'exerzitien-katalog'!$J7</f>
        <v>Leben in der Göttlichen Freude</v>
      </c>
      <c r="G4" t="str">
        <f>'exerzitien-katalog'!$J8</f>
        <v>Das Gebet - ein Weg, unsere Berufung als Kind Gottes zu leben</v>
      </c>
      <c r="H4" t="str">
        <f>'exerzitien-katalog'!$J9</f>
        <v>Die Gegenwart Gottes in unserem Leben erfahren</v>
      </c>
      <c r="I4" t="str">
        <f>'exerzitien-katalog'!$J7</f>
        <v>Leben in der Göttlichen Freude</v>
      </c>
      <c r="J4" t="str">
        <f>'exerzitien-katalog'!$J7</f>
        <v>Leben in der Göttlichen Freude</v>
      </c>
      <c r="K4" t="str">
        <f>'exerzitien-katalog'!$J7</f>
        <v>Leben in der Göttlichen Freude</v>
      </c>
      <c r="L4" t="str">
        <f>'exerzitien-katalog'!$J7</f>
        <v>Leben in der Göttlichen Freude</v>
      </c>
      <c r="M4" t="str">
        <f>'exerzitien-katalog'!$J7</f>
        <v>Leben in der Göttlichen Freude</v>
      </c>
      <c r="N4" t="str">
        <f>'exerzitien-katalog'!$J7</f>
        <v>Leben in der Göttlichen Freude</v>
      </c>
      <c r="O4" t="str">
        <f>'exerzitien-katalog'!$J7</f>
        <v>Leben in der Göttlichen Freude</v>
      </c>
      <c r="P4" t="str">
        <f>'exerzitien-katalog'!$J7</f>
        <v>Leben in der Göttlichen Freude</v>
      </c>
      <c r="Q4" t="str">
        <f>'exerzitien-katalog'!$J7</f>
        <v>Leben in der Göttlichen Freude</v>
      </c>
    </row>
    <row r="5" spans="1:17" x14ac:dyDescent="0.25">
      <c r="A5" t="str">
        <f>'exerzitien-katalog'!K2</f>
        <v>Wir bieten Ihnen Online-Exerzitien in der Schule des heiligen Johannes vom Kreuz an. In diesen Exerzitien werden wir im Lichte der Evangelien unsere Beziehung zu Jesus vertiefen, um im Heiligen Geist wieder zur Vertrautheit mit Ihm und mit Gott Vater in der Tiefe unseres Herzens zu gelangen. Es wird ein Weg der inneren Befreiung sein, auf dem uns Johannes vom Kreuz zuverlässig und sicher führen wird. Er wird uns in einer zunehmend auf das Äußere hin orientierten Welt lehren, wieder in unser tiefstes Inneres einzugehen, wo Christus, der Bräutigam der Kirche, uns begegnen und reinigen will, damit wir mit Ihm im Feuer des Heiligen Geistes zu den innig geliebten Kindern des Vaters werden.</v>
      </c>
      <c r="B5" t="str">
        <f>'exerzitien-katalog'!$K3</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5" t="str">
        <f>'exerzitien-katalog'!$K4</f>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5" s="1" t="str">
        <f>'exerzitien-katalog'!$K5</f>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5" t="str">
        <f>'exerzitien-katalog'!$K6</f>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5" t="str">
        <f>'exerzitien-katalog'!$K8</f>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5" t="str">
        <f>'exerzitien-katalog'!$K9</f>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5" t="str">
        <f>'exerzitien-katalog'!$K7</f>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 spans="1:17" x14ac:dyDescent="0.25">
      <c r="A6" t="str">
        <f>'exerzitien-katalog'!L2</f>
        <v>img/FS26_header_DE.png</v>
      </c>
      <c r="B6" t="str">
        <f>'exerzitien-katalog'!$L3</f>
        <v>img/AD25_header_DE.png</v>
      </c>
      <c r="C6" t="str">
        <f>'exerzitien-katalog'!$L4</f>
        <v>img/FS25_header_DE.png</v>
      </c>
      <c r="D6" s="1" t="str">
        <f>'exerzitien-katalog'!$L5</f>
        <v>img/AD24_header_DE.png</v>
      </c>
      <c r="E6" t="str">
        <f>'exerzitien-katalog'!$L6</f>
        <v>img/FS24_header_DE.png</v>
      </c>
      <c r="F6" t="str">
        <f>'exerzitien-katalog'!$L7</f>
        <v>img/AD23_header_DE.png</v>
      </c>
      <c r="G6" t="str">
        <f>'exerzitien-katalog'!$L8</f>
        <v>img/FS23_header_DE.png</v>
      </c>
      <c r="H6" t="str">
        <f>'exerzitien-katalog'!$L9</f>
        <v>img/AD22_header_DE.png</v>
      </c>
      <c r="I6" t="str">
        <f>'exerzitien-katalog'!$L7</f>
        <v>img/AD23_header_DE.png</v>
      </c>
      <c r="J6" t="str">
        <f>'exerzitien-katalog'!$L7</f>
        <v>img/AD23_header_DE.png</v>
      </c>
      <c r="K6" t="str">
        <f>'exerzitien-katalog'!$L7</f>
        <v>img/AD23_header_DE.png</v>
      </c>
      <c r="L6" t="str">
        <f>'exerzitien-katalog'!$L7</f>
        <v>img/AD23_header_DE.png</v>
      </c>
      <c r="M6" t="str">
        <f>'exerzitien-katalog'!$L7</f>
        <v>img/AD23_header_DE.png</v>
      </c>
      <c r="N6" t="str">
        <f>'exerzitien-katalog'!$L7</f>
        <v>img/AD23_header_DE.png</v>
      </c>
      <c r="O6" t="str">
        <f>'exerzitien-katalog'!$L7</f>
        <v>img/AD23_header_DE.png</v>
      </c>
      <c r="P6" t="str">
        <f>'exerzitien-katalog'!$L7</f>
        <v>img/AD23_header_DE.png</v>
      </c>
      <c r="Q6" t="str">
        <f>'exerzitien-katalog'!$L7</f>
        <v>img/AD23_header_DE.png</v>
      </c>
    </row>
    <row r="7" spans="1:17" x14ac:dyDescent="0.25">
      <c r="B7" t="str">
        <f>'exerzitien-katalog'!$A3</f>
        <v>advent-2025-mirjam-von-jesus-dem-gekreuzigten</v>
      </c>
      <c r="C7" t="str">
        <f>'exerzitien-katalog'!$A4</f>
        <v>lent-2025-therese-von-lisieux</v>
      </c>
      <c r="D7" s="1" t="str">
        <f>'exerzitien-katalog'!$A5</f>
        <v>advent-2024-therese-von-lisieux</v>
      </c>
      <c r="E7" t="str">
        <f>'exerzitien-katalog'!$A6</f>
        <v>lent-2024-pater-jacques-de-jesus</v>
      </c>
      <c r="F7" t="str">
        <f>'exerzitien-katalog'!$A7</f>
        <v>advent-2023-therese-des-andes</v>
      </c>
      <c r="G7" t="str">
        <f>'exerzitien-katalog'!$A8</f>
        <v>lent-2023-oraison-weg-der-kindlichen-berufung</v>
      </c>
      <c r="H7" t="str">
        <f>'exerzitien-katalog'!$A9</f>
        <v>advent-2022-gott-in-unserem-leben</v>
      </c>
      <c r="I7" t="str">
        <f>'exerzitien-katalog'!$A7</f>
        <v>advent-2023-therese-des-andes</v>
      </c>
      <c r="J7" t="str">
        <f>'exerzitien-katalog'!$A7</f>
        <v>advent-2023-therese-des-andes</v>
      </c>
      <c r="K7" t="str">
        <f>'exerzitien-katalog'!$A7</f>
        <v>advent-2023-therese-des-andes</v>
      </c>
      <c r="L7" t="str">
        <f>'exerzitien-katalog'!$A7</f>
        <v>advent-2023-therese-des-andes</v>
      </c>
      <c r="M7" t="str">
        <f>'exerzitien-katalog'!$A7</f>
        <v>advent-2023-therese-des-andes</v>
      </c>
      <c r="N7" t="str">
        <f>'exerzitien-katalog'!$A7</f>
        <v>advent-2023-therese-des-andes</v>
      </c>
      <c r="O7" t="str">
        <f>'exerzitien-katalog'!$A7</f>
        <v>advent-2023-therese-des-andes</v>
      </c>
      <c r="P7" t="str">
        <f>'exerzitien-katalog'!$A7</f>
        <v>advent-2023-therese-des-andes</v>
      </c>
      <c r="Q7" t="str">
        <f>'exerzitien-katalog'!$A7</f>
        <v>advent-2023-therese-des-andes</v>
      </c>
    </row>
    <row r="8" spans="1:17" x14ac:dyDescent="0.25">
      <c r="B8" t="str">
        <f>'exerzitien-katalog'!$F3</f>
        <v>2025-11-26</v>
      </c>
      <c r="C8" t="str">
        <f>'exerzitien-katalog'!$F4</f>
        <v>2025-03-05</v>
      </c>
      <c r="D8" s="1" t="str">
        <f>'exerzitien-katalog'!$F5</f>
        <v>2024-11-27</v>
      </c>
      <c r="E8" t="str">
        <f>'exerzitien-katalog'!$F6</f>
        <v>2024-02-14</v>
      </c>
      <c r="F8" t="str">
        <f>'exerzitien-katalog'!$F7</f>
        <v>2023-11-29</v>
      </c>
      <c r="G8" t="str">
        <f>'exerzitien-katalog'!$F8</f>
        <v>2023-02-22</v>
      </c>
      <c r="H8" t="str">
        <f>'exerzitien-katalog'!$F9</f>
        <v>2022-11-23</v>
      </c>
      <c r="I8" t="str">
        <f>'exerzitien-katalog'!$F7</f>
        <v>2023-11-29</v>
      </c>
      <c r="J8" t="str">
        <f>'exerzitien-katalog'!$F7</f>
        <v>2023-11-29</v>
      </c>
      <c r="K8" t="str">
        <f>'exerzitien-katalog'!$F7</f>
        <v>2023-11-29</v>
      </c>
      <c r="L8" t="str">
        <f>'exerzitien-katalog'!$F7</f>
        <v>2023-11-29</v>
      </c>
      <c r="M8" t="str">
        <f>'exerzitien-katalog'!$F7</f>
        <v>2023-11-29</v>
      </c>
      <c r="N8" t="str">
        <f>'exerzitien-katalog'!$F7</f>
        <v>2023-11-29</v>
      </c>
      <c r="O8" t="str">
        <f>'exerzitien-katalog'!$F7</f>
        <v>2023-11-29</v>
      </c>
      <c r="P8" t="str">
        <f>'exerzitien-katalog'!$F7</f>
        <v>2023-11-29</v>
      </c>
      <c r="Q8" t="str">
        <f>'exerzitien-katalog'!$F7</f>
        <v>2023-11-29</v>
      </c>
    </row>
    <row r="9" spans="1:17" x14ac:dyDescent="0.25">
      <c r="B9" t="str">
        <f>'exerzitien-katalog'!$G3</f>
        <v>2025-12-25</v>
      </c>
      <c r="C9" t="str">
        <f>'exerzitien-katalog'!$G4</f>
        <v>2025-04-27</v>
      </c>
      <c r="D9" s="1" t="str">
        <f>'exerzitien-katalog'!$G5</f>
        <v>2025-01-05</v>
      </c>
      <c r="E9" t="str">
        <f>'exerzitien-katalog'!$G6</f>
        <v>2024-04-07</v>
      </c>
      <c r="F9" t="str">
        <f>'exerzitien-katalog'!$G7</f>
        <v>2023-12-25</v>
      </c>
      <c r="G9" t="str">
        <f>'exerzitien-katalog'!$G8</f>
        <v>2023-04-16</v>
      </c>
      <c r="H9" t="str">
        <f>'exerzitien-katalog'!$G9</f>
        <v>2023-01-01</v>
      </c>
      <c r="I9" t="str">
        <f>'exerzitien-katalog'!$G7</f>
        <v>2023-12-25</v>
      </c>
      <c r="J9" t="str">
        <f>'exerzitien-katalog'!$G7</f>
        <v>2023-12-25</v>
      </c>
      <c r="K9" t="str">
        <f>'exerzitien-katalog'!$G7</f>
        <v>2023-12-25</v>
      </c>
      <c r="L9" t="str">
        <f>'exerzitien-katalog'!$G7</f>
        <v>2023-12-25</v>
      </c>
      <c r="M9" t="str">
        <f>'exerzitien-katalog'!$G7</f>
        <v>2023-12-25</v>
      </c>
      <c r="N9" t="str">
        <f>'exerzitien-katalog'!$G7</f>
        <v>2023-12-25</v>
      </c>
      <c r="O9" t="str">
        <f>'exerzitien-katalog'!$G7</f>
        <v>2023-12-25</v>
      </c>
      <c r="P9" t="str">
        <f>'exerzitien-katalog'!$G7</f>
        <v>2023-12-25</v>
      </c>
      <c r="Q9" t="str">
        <f>'exerzitien-katalog'!$G7</f>
        <v>2023-12-25</v>
      </c>
    </row>
    <row r="10" spans="1:17" x14ac:dyDescent="0.25">
      <c r="A10" s="3" t="s">
        <v>4</v>
      </c>
      <c r="B10" t="s">
        <v>5</v>
      </c>
      <c r="C10" t="s">
        <v>5</v>
      </c>
      <c r="D10" s="1" t="s">
        <v>5</v>
      </c>
      <c r="E10" s="1" t="s">
        <v>5</v>
      </c>
      <c r="F10" s="1" t="s">
        <v>5</v>
      </c>
      <c r="G10" s="1" t="s">
        <v>5</v>
      </c>
      <c r="H10" s="1" t="s">
        <v>5</v>
      </c>
      <c r="I10" s="1" t="s">
        <v>5</v>
      </c>
      <c r="J10" s="1" t="s">
        <v>5</v>
      </c>
      <c r="K10" s="1" t="s">
        <v>5</v>
      </c>
      <c r="L10" s="1" t="s">
        <v>5</v>
      </c>
      <c r="M10" s="1" t="s">
        <v>5</v>
      </c>
      <c r="N10" s="1" t="s">
        <v>5</v>
      </c>
      <c r="O10" s="1" t="s">
        <v>5</v>
      </c>
      <c r="P10" s="1" t="s">
        <v>5</v>
      </c>
      <c r="Q10" s="1" t="s">
        <v>5</v>
      </c>
    </row>
    <row r="11" spans="1:17" x14ac:dyDescent="0.25">
      <c r="A11" s="3" t="s">
        <v>6</v>
      </c>
      <c r="B11" t="s">
        <v>7</v>
      </c>
      <c r="C11" t="s">
        <v>7</v>
      </c>
      <c r="D11" s="1" t="s">
        <v>7</v>
      </c>
      <c r="E11" s="1" t="s">
        <v>7</v>
      </c>
      <c r="F11" s="1" t="s">
        <v>7</v>
      </c>
      <c r="G11" s="1" t="s">
        <v>7</v>
      </c>
      <c r="H11" s="1" t="s">
        <v>7</v>
      </c>
      <c r="I11" s="1" t="s">
        <v>7</v>
      </c>
      <c r="J11" s="1" t="s">
        <v>7</v>
      </c>
      <c r="K11" s="1" t="s">
        <v>7</v>
      </c>
      <c r="L11" s="1" t="s">
        <v>7</v>
      </c>
      <c r="M11" s="1" t="s">
        <v>7</v>
      </c>
      <c r="N11" s="1" t="s">
        <v>7</v>
      </c>
      <c r="O11" s="1" t="s">
        <v>7</v>
      </c>
      <c r="P11" s="1" t="s">
        <v>7</v>
      </c>
      <c r="Q11" s="1" t="s">
        <v>7</v>
      </c>
    </row>
    <row r="12" spans="1:17" x14ac:dyDescent="0.25">
      <c r="A12" s="4" t="s">
        <v>8</v>
      </c>
      <c r="B12" t="s">
        <v>9</v>
      </c>
      <c r="C12" t="s">
        <v>9</v>
      </c>
      <c r="D12" s="1" t="s">
        <v>9</v>
      </c>
      <c r="E12" s="1" t="s">
        <v>9</v>
      </c>
      <c r="F12" s="1" t="s">
        <v>9</v>
      </c>
      <c r="G12" s="1" t="s">
        <v>9</v>
      </c>
      <c r="H12" s="1" t="s">
        <v>9</v>
      </c>
      <c r="I12" s="1" t="s">
        <v>9</v>
      </c>
      <c r="J12" s="1" t="s">
        <v>9</v>
      </c>
      <c r="K12" s="1" t="s">
        <v>9</v>
      </c>
      <c r="L12" s="1" t="s">
        <v>9</v>
      </c>
      <c r="M12" s="1" t="s">
        <v>9</v>
      </c>
      <c r="N12" s="1" t="s">
        <v>9</v>
      </c>
      <c r="O12" s="1" t="s">
        <v>9</v>
      </c>
      <c r="P12" s="1" t="s">
        <v>9</v>
      </c>
      <c r="Q12" s="1" t="s">
        <v>9</v>
      </c>
    </row>
    <row r="13" spans="1:17" x14ac:dyDescent="0.25">
      <c r="A13" s="4" t="s">
        <v>10</v>
      </c>
      <c r="B13" t="s">
        <v>11</v>
      </c>
      <c r="C13" t="s">
        <v>11</v>
      </c>
      <c r="D13" s="1" t="s">
        <v>11</v>
      </c>
      <c r="E13" s="1" t="s">
        <v>11</v>
      </c>
      <c r="F13" s="1" t="s">
        <v>11</v>
      </c>
      <c r="G13" s="1" t="s">
        <v>11</v>
      </c>
      <c r="H13" s="1" t="s">
        <v>11</v>
      </c>
      <c r="I13" s="1" t="s">
        <v>11</v>
      </c>
      <c r="J13" s="1" t="s">
        <v>11</v>
      </c>
      <c r="K13" s="1" t="s">
        <v>11</v>
      </c>
      <c r="L13" s="1" t="s">
        <v>11</v>
      </c>
      <c r="M13" s="1" t="s">
        <v>11</v>
      </c>
      <c r="N13" s="1" t="s">
        <v>11</v>
      </c>
      <c r="O13" s="1" t="s">
        <v>11</v>
      </c>
      <c r="P13" s="1" t="s">
        <v>11</v>
      </c>
      <c r="Q13" s="1" t="s">
        <v>11</v>
      </c>
    </row>
    <row r="14" spans="1:17" x14ac:dyDescent="0.25">
      <c r="A14" s="4" t="s">
        <v>12</v>
      </c>
      <c r="B14" t="s">
        <v>13</v>
      </c>
      <c r="C14" t="s">
        <v>13</v>
      </c>
      <c r="D14" s="1" t="s">
        <v>13</v>
      </c>
      <c r="E14" s="1" t="s">
        <v>13</v>
      </c>
      <c r="F14" s="1" t="s">
        <v>13</v>
      </c>
      <c r="G14" s="1" t="s">
        <v>13</v>
      </c>
      <c r="H14" s="1" t="s">
        <v>13</v>
      </c>
      <c r="I14" s="1" t="s">
        <v>13</v>
      </c>
      <c r="J14" s="1" t="s">
        <v>13</v>
      </c>
      <c r="K14" s="1" t="s">
        <v>13</v>
      </c>
      <c r="L14" s="1" t="s">
        <v>13</v>
      </c>
      <c r="M14" s="1" t="s">
        <v>13</v>
      </c>
      <c r="N14" s="1" t="s">
        <v>13</v>
      </c>
      <c r="O14" s="1" t="s">
        <v>13</v>
      </c>
      <c r="P14" s="1" t="s">
        <v>13</v>
      </c>
      <c r="Q14" s="1" t="s">
        <v>13</v>
      </c>
    </row>
    <row r="15" spans="1:17" x14ac:dyDescent="0.25">
      <c r="A15" s="4" t="s">
        <v>14</v>
      </c>
      <c r="B15" t="str">
        <f t="shared" ref="B15:Q15" si="0">"    &lt;title&gt;"&amp;B3&amp;"&lt;/title&gt;"</f>
        <v>    &lt;title&gt;Advent 2025 mit der heiligen Mirjam von Jesus, dem Gekreuzigten&lt;/title&gt;</v>
      </c>
      <c r="C15" t="str">
        <f t="shared" si="0"/>
        <v>    &lt;title&gt;Fastenzeit 2025 mit Thérèse von Lisieux und das Östergeheimnis&lt;/title&gt;</v>
      </c>
      <c r="D15" s="1" t="str">
        <f t="shared" si="0"/>
        <v>    &lt;title&gt;Advent 2024 mit der Hl. Thérèse vom Kind Jesu&lt;/title&gt;</v>
      </c>
      <c r="E15" s="1" t="str">
        <f t="shared" si="0"/>
        <v>    &lt;title&gt;Fastenzeit 2024 mit Pater Jacuqes von Jesus (1900-1945)&lt;/title&gt;</v>
      </c>
      <c r="F15" s="1" t="str">
        <f t="shared" si="0"/>
        <v>    &lt;title&gt;Advent 2023 mit der heiligen Teresa de Los Andes (1900-1920)&lt;/title&gt;</v>
      </c>
      <c r="G15" s="1" t="str">
        <f t="shared" si="0"/>
        <v>    &lt;title&gt;Fastenzeit 2023: Das Gebet&lt;/title&gt;</v>
      </c>
      <c r="H15" s="1" t="str">
        <f t="shared" si="0"/>
        <v>    &lt;title&gt;Advent 2022 in der Schule der Heiligen des Karmel&lt;/title&gt;</v>
      </c>
      <c r="I15" s="1" t="str">
        <f t="shared" si="0"/>
        <v>    &lt;title&gt;Advent 2023 mit der heiligen Teresa de Los Andes (1900-1920)&lt;/title&gt;</v>
      </c>
      <c r="J15" s="1" t="str">
        <f t="shared" si="0"/>
        <v>    &lt;title&gt;Advent 2023 mit der heiligen Teresa de Los Andes (1900-1920)&lt;/title&gt;</v>
      </c>
      <c r="K15" s="1" t="str">
        <f t="shared" si="0"/>
        <v>    &lt;title&gt;Advent 2023 mit der heiligen Teresa de Los Andes (1900-1920)&lt;/title&gt;</v>
      </c>
      <c r="L15" s="1" t="str">
        <f t="shared" si="0"/>
        <v>    &lt;title&gt;Advent 2023 mit der heiligen Teresa de Los Andes (1900-1920)&lt;/title&gt;</v>
      </c>
      <c r="M15" s="1" t="str">
        <f t="shared" si="0"/>
        <v>    &lt;title&gt;Advent 2023 mit der heiligen Teresa de Los Andes (1900-1920)&lt;/title&gt;</v>
      </c>
      <c r="N15" s="1" t="str">
        <f t="shared" si="0"/>
        <v>    &lt;title&gt;Advent 2023 mit der heiligen Teresa de Los Andes (1900-1920)&lt;/title&gt;</v>
      </c>
      <c r="O15" s="1" t="str">
        <f t="shared" si="0"/>
        <v>    &lt;title&gt;Advent 2023 mit der heiligen Teresa de Los Andes (1900-1920)&lt;/title&gt;</v>
      </c>
      <c r="P15" s="1" t="str">
        <f t="shared" si="0"/>
        <v>    &lt;title&gt;Advent 2023 mit der heiligen Teresa de Los Andes (1900-1920)&lt;/title&gt;</v>
      </c>
      <c r="Q15" s="1" t="str">
        <f t="shared" si="0"/>
        <v>    &lt;title&gt;Advent 2023 mit der heiligen Teresa de Los Andes (1900-1920)&lt;/title&gt;</v>
      </c>
    </row>
    <row r="16" spans="1:17" x14ac:dyDescent="0.25">
      <c r="A16" s="5"/>
      <c r="E16" s="1"/>
      <c r="F16" s="1"/>
      <c r="G16" s="1"/>
      <c r="H16" s="1"/>
      <c r="I16" s="1"/>
      <c r="J16" s="1"/>
      <c r="K16" s="1"/>
      <c r="L16" s="1"/>
      <c r="M16" s="1"/>
      <c r="N16" s="1"/>
      <c r="O16" s="1"/>
      <c r="P16" s="1"/>
      <c r="Q16" s="1"/>
    </row>
    <row r="17" spans="1:17" x14ac:dyDescent="0.25">
      <c r="A17" s="4" t="s">
        <v>15</v>
      </c>
      <c r="B17" t="s">
        <v>16</v>
      </c>
      <c r="C17" t="s">
        <v>16</v>
      </c>
      <c r="D17" s="1" t="s">
        <v>16</v>
      </c>
      <c r="E17" s="1" t="s">
        <v>16</v>
      </c>
      <c r="F17" s="1" t="s">
        <v>16</v>
      </c>
      <c r="G17" s="1" t="s">
        <v>16</v>
      </c>
      <c r="H17" s="1" t="s">
        <v>16</v>
      </c>
      <c r="I17" s="1" t="s">
        <v>16</v>
      </c>
      <c r="J17" s="1" t="s">
        <v>16</v>
      </c>
      <c r="K17" s="1" t="s">
        <v>16</v>
      </c>
      <c r="L17" s="1" t="s">
        <v>16</v>
      </c>
      <c r="M17" s="1" t="s">
        <v>16</v>
      </c>
      <c r="N17" s="1" t="s">
        <v>16</v>
      </c>
      <c r="O17" s="1" t="s">
        <v>16</v>
      </c>
      <c r="P17" s="1" t="s">
        <v>16</v>
      </c>
      <c r="Q17" s="1" t="s">
        <v>16</v>
      </c>
    </row>
    <row r="18" spans="1:17" x14ac:dyDescent="0.25">
      <c r="A18" s="4" t="s">
        <v>17</v>
      </c>
      <c r="B18" t="s">
        <v>18</v>
      </c>
      <c r="C18" t="s">
        <v>18</v>
      </c>
      <c r="D18" s="1" t="s">
        <v>18</v>
      </c>
      <c r="E18" s="1" t="s">
        <v>18</v>
      </c>
      <c r="F18" s="1" t="s">
        <v>18</v>
      </c>
      <c r="G18" s="1" t="s">
        <v>18</v>
      </c>
      <c r="H18" s="1" t="s">
        <v>18</v>
      </c>
      <c r="I18" s="1" t="s">
        <v>18</v>
      </c>
      <c r="J18" s="1" t="s">
        <v>18</v>
      </c>
      <c r="K18" s="1" t="s">
        <v>18</v>
      </c>
      <c r="L18" s="1" t="s">
        <v>18</v>
      </c>
      <c r="M18" s="1" t="s">
        <v>18</v>
      </c>
      <c r="N18" s="1" t="s">
        <v>18</v>
      </c>
      <c r="O18" s="1" t="s">
        <v>18</v>
      </c>
      <c r="P18" s="1" t="s">
        <v>18</v>
      </c>
      <c r="Q18" s="1" t="s">
        <v>18</v>
      </c>
    </row>
    <row r="19" spans="1:17" x14ac:dyDescent="0.25">
      <c r="A19" s="4" t="s">
        <v>19</v>
      </c>
      <c r="B19" t="s">
        <v>20</v>
      </c>
      <c r="C19" t="s">
        <v>20</v>
      </c>
      <c r="D19" s="1" t="s">
        <v>20</v>
      </c>
      <c r="E19" s="1" t="s">
        <v>20</v>
      </c>
      <c r="F19" s="1" t="s">
        <v>20</v>
      </c>
      <c r="G19" s="1" t="s">
        <v>20</v>
      </c>
      <c r="H19" s="1" t="s">
        <v>20</v>
      </c>
      <c r="I19" s="1" t="s">
        <v>20</v>
      </c>
      <c r="J19" s="1" t="s">
        <v>20</v>
      </c>
      <c r="K19" s="1" t="s">
        <v>20</v>
      </c>
      <c r="L19" s="1" t="s">
        <v>20</v>
      </c>
      <c r="M19" s="1" t="s">
        <v>20</v>
      </c>
      <c r="N19" s="1" t="s">
        <v>20</v>
      </c>
      <c r="O19" s="1" t="s">
        <v>20</v>
      </c>
      <c r="P19" s="1" t="s">
        <v>20</v>
      </c>
      <c r="Q19" s="1" t="s">
        <v>20</v>
      </c>
    </row>
    <row r="20" spans="1:17" x14ac:dyDescent="0.25">
      <c r="A20" s="4" t="s">
        <v>21</v>
      </c>
      <c r="B20" t="s">
        <v>22</v>
      </c>
      <c r="C20" t="s">
        <v>22</v>
      </c>
      <c r="D20" s="1" t="s">
        <v>22</v>
      </c>
      <c r="E20" s="1" t="s">
        <v>22</v>
      </c>
      <c r="F20" s="1" t="s">
        <v>22</v>
      </c>
      <c r="G20" s="1" t="s">
        <v>22</v>
      </c>
      <c r="H20" s="1" t="s">
        <v>22</v>
      </c>
      <c r="I20" s="1" t="s">
        <v>22</v>
      </c>
      <c r="J20" s="1" t="s">
        <v>22</v>
      </c>
      <c r="K20" s="1" t="s">
        <v>22</v>
      </c>
      <c r="L20" s="1" t="s">
        <v>22</v>
      </c>
      <c r="M20" s="1" t="s">
        <v>22</v>
      </c>
      <c r="N20" s="1" t="s">
        <v>22</v>
      </c>
      <c r="O20" s="1" t="s">
        <v>22</v>
      </c>
      <c r="P20" s="1" t="s">
        <v>22</v>
      </c>
      <c r="Q20" s="1" t="s">
        <v>22</v>
      </c>
    </row>
    <row r="21" spans="1:17" x14ac:dyDescent="0.25">
      <c r="A21" s="4" t="s">
        <v>23</v>
      </c>
      <c r="B21" t="s">
        <v>24</v>
      </c>
      <c r="C21" t="s">
        <v>24</v>
      </c>
      <c r="D21" s="1" t="s">
        <v>24</v>
      </c>
      <c r="E21" s="1" t="s">
        <v>24</v>
      </c>
      <c r="F21" s="1" t="s">
        <v>24</v>
      </c>
      <c r="G21" s="1" t="s">
        <v>24</v>
      </c>
      <c r="H21" s="1" t="s">
        <v>24</v>
      </c>
      <c r="I21" s="1" t="s">
        <v>24</v>
      </c>
      <c r="J21" s="1" t="s">
        <v>24</v>
      </c>
      <c r="K21" s="1" t="s">
        <v>24</v>
      </c>
      <c r="L21" s="1" t="s">
        <v>24</v>
      </c>
      <c r="M21" s="1" t="s">
        <v>24</v>
      </c>
      <c r="N21" s="1" t="s">
        <v>24</v>
      </c>
      <c r="O21" s="1" t="s">
        <v>24</v>
      </c>
      <c r="P21" s="1" t="s">
        <v>24</v>
      </c>
      <c r="Q21" s="1" t="s">
        <v>24</v>
      </c>
    </row>
    <row r="22" spans="1:17" x14ac:dyDescent="0.25">
      <c r="A22" s="4" t="s">
        <v>25</v>
      </c>
      <c r="B22" t="s">
        <v>26</v>
      </c>
      <c r="C22" t="s">
        <v>26</v>
      </c>
      <c r="D22" s="1" t="s">
        <v>26</v>
      </c>
      <c r="E22" s="1" t="s">
        <v>26</v>
      </c>
      <c r="F22" s="1" t="s">
        <v>26</v>
      </c>
      <c r="G22" s="1" t="s">
        <v>26</v>
      </c>
      <c r="H22" s="1" t="s">
        <v>26</v>
      </c>
      <c r="I22" s="1" t="s">
        <v>26</v>
      </c>
      <c r="J22" s="1" t="s">
        <v>26</v>
      </c>
      <c r="K22" s="1" t="s">
        <v>26</v>
      </c>
      <c r="L22" s="1" t="s">
        <v>26</v>
      </c>
      <c r="M22" s="1" t="s">
        <v>26</v>
      </c>
      <c r="N22" s="1" t="s">
        <v>26</v>
      </c>
      <c r="O22" s="1" t="s">
        <v>26</v>
      </c>
      <c r="P22" s="1" t="s">
        <v>26</v>
      </c>
      <c r="Q22" s="1" t="s">
        <v>26</v>
      </c>
    </row>
    <row r="23" spans="1:17" x14ac:dyDescent="0.25">
      <c r="A23" s="4" t="s">
        <v>27</v>
      </c>
      <c r="B23" t="s">
        <v>28</v>
      </c>
      <c r="C23" t="s">
        <v>28</v>
      </c>
      <c r="D23" s="1" t="s">
        <v>28</v>
      </c>
      <c r="E23" s="1" t="s">
        <v>28</v>
      </c>
      <c r="F23" s="1" t="s">
        <v>28</v>
      </c>
      <c r="G23" s="1" t="s">
        <v>28</v>
      </c>
      <c r="H23" s="1" t="s">
        <v>28</v>
      </c>
      <c r="I23" s="1" t="s">
        <v>28</v>
      </c>
      <c r="J23" s="1" t="s">
        <v>28</v>
      </c>
      <c r="K23" s="1" t="s">
        <v>28</v>
      </c>
      <c r="L23" s="1" t="s">
        <v>28</v>
      </c>
      <c r="M23" s="1" t="s">
        <v>28</v>
      </c>
      <c r="N23" s="1" t="s">
        <v>28</v>
      </c>
      <c r="O23" s="1" t="s">
        <v>28</v>
      </c>
      <c r="P23" s="1" t="s">
        <v>28</v>
      </c>
      <c r="Q23" s="1" t="s">
        <v>28</v>
      </c>
    </row>
    <row r="24" spans="1:17" x14ac:dyDescent="0.25">
      <c r="A24" s="4" t="s">
        <v>29</v>
      </c>
      <c r="B24" t="s">
        <v>30</v>
      </c>
      <c r="C24" t="s">
        <v>30</v>
      </c>
      <c r="D24" s="1" t="s">
        <v>30</v>
      </c>
      <c r="E24" s="1" t="s">
        <v>30</v>
      </c>
      <c r="F24" s="1" t="s">
        <v>30</v>
      </c>
      <c r="G24" s="1" t="s">
        <v>30</v>
      </c>
      <c r="H24" s="1" t="s">
        <v>30</v>
      </c>
      <c r="I24" s="1" t="s">
        <v>30</v>
      </c>
      <c r="J24" s="1" t="s">
        <v>30</v>
      </c>
      <c r="K24" s="1" t="s">
        <v>30</v>
      </c>
      <c r="L24" s="1" t="s">
        <v>30</v>
      </c>
      <c r="M24" s="1" t="s">
        <v>30</v>
      </c>
      <c r="N24" s="1" t="s">
        <v>30</v>
      </c>
      <c r="O24" s="1" t="s">
        <v>30</v>
      </c>
      <c r="P24" s="1" t="s">
        <v>30</v>
      </c>
      <c r="Q24" s="1" t="s">
        <v>30</v>
      </c>
    </row>
    <row r="25" spans="1:17" x14ac:dyDescent="0.25">
      <c r="A25" s="4" t="s">
        <v>31</v>
      </c>
      <c r="B25" t="s">
        <v>32</v>
      </c>
      <c r="C25" t="s">
        <v>32</v>
      </c>
      <c r="D25" s="1" t="s">
        <v>32</v>
      </c>
      <c r="E25" s="1" t="s">
        <v>32</v>
      </c>
      <c r="F25" s="1" t="s">
        <v>32</v>
      </c>
      <c r="G25" s="1" t="s">
        <v>32</v>
      </c>
      <c r="H25" s="1" t="s">
        <v>32</v>
      </c>
      <c r="I25" s="1" t="s">
        <v>32</v>
      </c>
      <c r="J25" s="1" t="s">
        <v>32</v>
      </c>
      <c r="K25" s="1" t="s">
        <v>32</v>
      </c>
      <c r="L25" s="1" t="s">
        <v>32</v>
      </c>
      <c r="M25" s="1" t="s">
        <v>32</v>
      </c>
      <c r="N25" s="1" t="s">
        <v>32</v>
      </c>
      <c r="O25" s="1" t="s">
        <v>32</v>
      </c>
      <c r="P25" s="1" t="s">
        <v>32</v>
      </c>
      <c r="Q25" s="1" t="s">
        <v>32</v>
      </c>
    </row>
    <row r="26" spans="1:17" x14ac:dyDescent="0.25">
      <c r="A26" s="4" t="s">
        <v>33</v>
      </c>
      <c r="B26" t="s">
        <v>34</v>
      </c>
      <c r="C26" t="s">
        <v>34</v>
      </c>
      <c r="D26" s="1" t="s">
        <v>34</v>
      </c>
      <c r="E26" s="1" t="s">
        <v>34</v>
      </c>
      <c r="F26" s="1" t="s">
        <v>34</v>
      </c>
      <c r="G26" s="1" t="s">
        <v>34</v>
      </c>
      <c r="H26" s="1" t="s">
        <v>34</v>
      </c>
      <c r="I26" s="1" t="s">
        <v>34</v>
      </c>
      <c r="J26" s="1" t="s">
        <v>34</v>
      </c>
      <c r="K26" s="1" t="s">
        <v>34</v>
      </c>
      <c r="L26" s="1" t="s">
        <v>34</v>
      </c>
      <c r="M26" s="1" t="s">
        <v>34</v>
      </c>
      <c r="N26" s="1" t="s">
        <v>34</v>
      </c>
      <c r="O26" s="1" t="s">
        <v>34</v>
      </c>
      <c r="P26" s="1" t="s">
        <v>34</v>
      </c>
      <c r="Q26" s="1" t="s">
        <v>34</v>
      </c>
    </row>
    <row r="27" spans="1:17" x14ac:dyDescent="0.25">
      <c r="A27" s="4" t="s">
        <v>35</v>
      </c>
      <c r="B27" t="s">
        <v>36</v>
      </c>
      <c r="C27" t="s">
        <v>36</v>
      </c>
      <c r="D27" s="1" t="s">
        <v>36</v>
      </c>
      <c r="E27" s="1" t="s">
        <v>36</v>
      </c>
      <c r="F27" s="1" t="s">
        <v>36</v>
      </c>
      <c r="G27" s="1" t="s">
        <v>36</v>
      </c>
      <c r="H27" s="1" t="s">
        <v>36</v>
      </c>
      <c r="I27" s="1" t="s">
        <v>36</v>
      </c>
      <c r="J27" s="1" t="s">
        <v>36</v>
      </c>
      <c r="K27" s="1" t="s">
        <v>36</v>
      </c>
      <c r="L27" s="1" t="s">
        <v>36</v>
      </c>
      <c r="M27" s="1" t="s">
        <v>36</v>
      </c>
      <c r="N27" s="1" t="s">
        <v>36</v>
      </c>
      <c r="O27" s="1" t="s">
        <v>36</v>
      </c>
      <c r="P27" s="1" t="s">
        <v>36</v>
      </c>
      <c r="Q27" s="1" t="s">
        <v>36</v>
      </c>
    </row>
    <row r="28" spans="1:17" x14ac:dyDescent="0.25">
      <c r="A28" s="4" t="s">
        <v>37</v>
      </c>
      <c r="B28" t="s">
        <v>38</v>
      </c>
      <c r="C28" t="s">
        <v>38</v>
      </c>
      <c r="D28" s="1" t="s">
        <v>38</v>
      </c>
      <c r="E28" s="1" t="s">
        <v>38</v>
      </c>
      <c r="F28" s="1" t="s">
        <v>38</v>
      </c>
      <c r="G28" s="1" t="s">
        <v>38</v>
      </c>
      <c r="H28" s="1" t="s">
        <v>38</v>
      </c>
      <c r="I28" s="1" t="s">
        <v>38</v>
      </c>
      <c r="J28" s="1" t="s">
        <v>38</v>
      </c>
      <c r="K28" s="1" t="s">
        <v>38</v>
      </c>
      <c r="L28" s="1" t="s">
        <v>38</v>
      </c>
      <c r="M28" s="1" t="s">
        <v>38</v>
      </c>
      <c r="N28" s="1" t="s">
        <v>38</v>
      </c>
      <c r="O28" s="1" t="s">
        <v>38</v>
      </c>
      <c r="P28" s="1" t="s">
        <v>38</v>
      </c>
      <c r="Q28" s="1" t="s">
        <v>38</v>
      </c>
    </row>
    <row r="29" spans="1:17" x14ac:dyDescent="0.25">
      <c r="A29" s="4" t="s">
        <v>39</v>
      </c>
      <c r="B29" t="s">
        <v>40</v>
      </c>
      <c r="C29" t="s">
        <v>40</v>
      </c>
      <c r="D29" s="1" t="s">
        <v>40</v>
      </c>
      <c r="E29" s="1" t="s">
        <v>40</v>
      </c>
      <c r="F29" s="1" t="s">
        <v>40</v>
      </c>
      <c r="G29" s="1" t="s">
        <v>40</v>
      </c>
      <c r="H29" s="1" t="s">
        <v>40</v>
      </c>
      <c r="I29" s="1" t="s">
        <v>40</v>
      </c>
      <c r="J29" s="1" t="s">
        <v>40</v>
      </c>
      <c r="K29" s="1" t="s">
        <v>40</v>
      </c>
      <c r="L29" s="1" t="s">
        <v>40</v>
      </c>
      <c r="M29" s="1" t="s">
        <v>40</v>
      </c>
      <c r="N29" s="1" t="s">
        <v>40</v>
      </c>
      <c r="O29" s="1" t="s">
        <v>40</v>
      </c>
      <c r="P29" s="1" t="s">
        <v>40</v>
      </c>
      <c r="Q29" s="1" t="s">
        <v>40</v>
      </c>
    </row>
    <row r="30" spans="1:17" x14ac:dyDescent="0.25">
      <c r="A30" s="4" t="s">
        <v>41</v>
      </c>
      <c r="B30" t="s">
        <v>42</v>
      </c>
      <c r="C30" t="s">
        <v>42</v>
      </c>
      <c r="D30" s="1" t="s">
        <v>42</v>
      </c>
      <c r="E30" s="1" t="s">
        <v>42</v>
      </c>
      <c r="F30" s="1" t="s">
        <v>42</v>
      </c>
      <c r="G30" s="1" t="s">
        <v>42</v>
      </c>
      <c r="H30" s="1" t="s">
        <v>42</v>
      </c>
      <c r="I30" s="1" t="s">
        <v>42</v>
      </c>
      <c r="J30" s="1" t="s">
        <v>42</v>
      </c>
      <c r="K30" s="1" t="s">
        <v>42</v>
      </c>
      <c r="L30" s="1" t="s">
        <v>42</v>
      </c>
      <c r="M30" s="1" t="s">
        <v>42</v>
      </c>
      <c r="N30" s="1" t="s">
        <v>42</v>
      </c>
      <c r="O30" s="1" t="s">
        <v>42</v>
      </c>
      <c r="P30" s="1" t="s">
        <v>42</v>
      </c>
      <c r="Q30" s="1" t="s">
        <v>42</v>
      </c>
    </row>
    <row r="31" spans="1:17" x14ac:dyDescent="0.25">
      <c r="A31" s="4" t="s">
        <v>43</v>
      </c>
      <c r="B31" t="s">
        <v>44</v>
      </c>
      <c r="C31" t="s">
        <v>44</v>
      </c>
      <c r="D31" s="1" t="s">
        <v>44</v>
      </c>
      <c r="E31" s="1" t="s">
        <v>44</v>
      </c>
      <c r="F31" s="1" t="s">
        <v>44</v>
      </c>
      <c r="G31" s="1" t="s">
        <v>44</v>
      </c>
      <c r="H31" s="1" t="s">
        <v>44</v>
      </c>
      <c r="I31" s="1" t="s">
        <v>44</v>
      </c>
      <c r="J31" s="1" t="s">
        <v>44</v>
      </c>
      <c r="K31" s="1" t="s">
        <v>44</v>
      </c>
      <c r="L31" s="1" t="s">
        <v>44</v>
      </c>
      <c r="M31" s="1" t="s">
        <v>44</v>
      </c>
      <c r="N31" s="1" t="s">
        <v>44</v>
      </c>
      <c r="O31" s="1" t="s">
        <v>44</v>
      </c>
      <c r="P31" s="1" t="s">
        <v>44</v>
      </c>
      <c r="Q31" s="1" t="s">
        <v>44</v>
      </c>
    </row>
    <row r="32" spans="1:17" x14ac:dyDescent="0.25">
      <c r="A32" s="4" t="s">
        <v>45</v>
      </c>
      <c r="B32" t="s">
        <v>46</v>
      </c>
      <c r="C32" t="s">
        <v>46</v>
      </c>
      <c r="D32" s="1" t="s">
        <v>47</v>
      </c>
      <c r="E32" s="1" t="s">
        <v>47</v>
      </c>
      <c r="F32" s="1" t="s">
        <v>47</v>
      </c>
      <c r="G32" s="1" t="s">
        <v>47</v>
      </c>
      <c r="H32" s="1" t="s">
        <v>47</v>
      </c>
      <c r="I32" s="1" t="s">
        <v>47</v>
      </c>
      <c r="J32" s="1" t="s">
        <v>47</v>
      </c>
      <c r="K32" s="1" t="s">
        <v>47</v>
      </c>
      <c r="L32" s="1" t="s">
        <v>47</v>
      </c>
      <c r="M32" s="1" t="s">
        <v>47</v>
      </c>
      <c r="N32" s="1" t="s">
        <v>47</v>
      </c>
      <c r="O32" s="1" t="s">
        <v>47</v>
      </c>
      <c r="P32" s="1" t="s">
        <v>47</v>
      </c>
      <c r="Q32" s="1" t="s">
        <v>47</v>
      </c>
    </row>
    <row r="33" spans="1:17" x14ac:dyDescent="0.25">
      <c r="A33" s="4" t="s">
        <v>48</v>
      </c>
      <c r="B33" t="s">
        <v>49</v>
      </c>
      <c r="C33" t="s">
        <v>49</v>
      </c>
      <c r="D33" s="1" t="s">
        <v>49</v>
      </c>
      <c r="E33" s="1" t="s">
        <v>49</v>
      </c>
      <c r="F33" s="1" t="s">
        <v>49</v>
      </c>
      <c r="G33" s="1" t="s">
        <v>49</v>
      </c>
      <c r="H33" s="1" t="s">
        <v>49</v>
      </c>
      <c r="I33" s="1" t="s">
        <v>49</v>
      </c>
      <c r="J33" s="1" t="s">
        <v>49</v>
      </c>
      <c r="K33" s="1" t="s">
        <v>49</v>
      </c>
      <c r="L33" s="1" t="s">
        <v>49</v>
      </c>
      <c r="M33" s="1" t="s">
        <v>49</v>
      </c>
      <c r="N33" s="1" t="s">
        <v>49</v>
      </c>
      <c r="O33" s="1" t="s">
        <v>49</v>
      </c>
      <c r="P33" s="1" t="s">
        <v>49</v>
      </c>
      <c r="Q33" s="1" t="s">
        <v>49</v>
      </c>
    </row>
    <row r="34" spans="1:17" x14ac:dyDescent="0.25">
      <c r="A34" s="4" t="s">
        <v>50</v>
      </c>
      <c r="B34" t="s">
        <v>51</v>
      </c>
      <c r="C34" t="s">
        <v>51</v>
      </c>
      <c r="D34" s="1" t="s">
        <v>51</v>
      </c>
      <c r="E34" s="1" t="s">
        <v>51</v>
      </c>
      <c r="F34" s="1" t="s">
        <v>51</v>
      </c>
      <c r="G34" s="1" t="s">
        <v>51</v>
      </c>
      <c r="H34" s="1" t="s">
        <v>51</v>
      </c>
      <c r="I34" s="1" t="s">
        <v>51</v>
      </c>
      <c r="J34" s="1" t="s">
        <v>51</v>
      </c>
      <c r="K34" s="1" t="s">
        <v>51</v>
      </c>
      <c r="L34" s="1" t="s">
        <v>51</v>
      </c>
      <c r="M34" s="1" t="s">
        <v>51</v>
      </c>
      <c r="N34" s="1" t="s">
        <v>51</v>
      </c>
      <c r="O34" s="1" t="s">
        <v>51</v>
      </c>
      <c r="P34" s="1" t="s">
        <v>51</v>
      </c>
      <c r="Q34" s="1" t="s">
        <v>51</v>
      </c>
    </row>
    <row r="35" spans="1:17" x14ac:dyDescent="0.25">
      <c r="A35" s="4" t="s">
        <v>52</v>
      </c>
      <c r="B35" t="s">
        <v>53</v>
      </c>
      <c r="C35" t="s">
        <v>53</v>
      </c>
      <c r="D35" s="1" t="s">
        <v>53</v>
      </c>
      <c r="E35" s="1" t="s">
        <v>53</v>
      </c>
      <c r="F35" s="1" t="s">
        <v>53</v>
      </c>
      <c r="G35" s="1" t="s">
        <v>53</v>
      </c>
      <c r="H35" s="1" t="s">
        <v>53</v>
      </c>
      <c r="I35" s="1" t="s">
        <v>53</v>
      </c>
      <c r="J35" s="1" t="s">
        <v>53</v>
      </c>
      <c r="K35" s="1" t="s">
        <v>53</v>
      </c>
      <c r="L35" s="1" t="s">
        <v>53</v>
      </c>
      <c r="M35" s="1" t="s">
        <v>53</v>
      </c>
      <c r="N35" s="1" t="s">
        <v>53</v>
      </c>
      <c r="O35" s="1" t="s">
        <v>53</v>
      </c>
      <c r="P35" s="1" t="s">
        <v>53</v>
      </c>
      <c r="Q35" s="1" t="s">
        <v>53</v>
      </c>
    </row>
    <row r="36" spans="1:17" x14ac:dyDescent="0.25">
      <c r="A36" s="4" t="s">
        <v>54</v>
      </c>
      <c r="B36" t="s">
        <v>55</v>
      </c>
      <c r="C36" t="s">
        <v>55</v>
      </c>
      <c r="D36" s="1" t="s">
        <v>55</v>
      </c>
      <c r="E36" s="1" t="s">
        <v>55</v>
      </c>
      <c r="F36" s="1" t="s">
        <v>55</v>
      </c>
      <c r="G36" s="1" t="s">
        <v>55</v>
      </c>
      <c r="H36" s="1" t="s">
        <v>55</v>
      </c>
      <c r="I36" s="1" t="s">
        <v>55</v>
      </c>
      <c r="J36" s="1" t="s">
        <v>55</v>
      </c>
      <c r="K36" s="1" t="s">
        <v>55</v>
      </c>
      <c r="L36" s="1" t="s">
        <v>55</v>
      </c>
      <c r="M36" s="1" t="s">
        <v>55</v>
      </c>
      <c r="N36" s="1" t="s">
        <v>55</v>
      </c>
      <c r="O36" s="1" t="s">
        <v>55</v>
      </c>
      <c r="P36" s="1" t="s">
        <v>55</v>
      </c>
      <c r="Q36" s="1" t="s">
        <v>55</v>
      </c>
    </row>
    <row r="37" spans="1:17" x14ac:dyDescent="0.25">
      <c r="A37" s="4" t="s">
        <v>56</v>
      </c>
      <c r="B37" t="s">
        <v>57</v>
      </c>
      <c r="C37" t="s">
        <v>57</v>
      </c>
      <c r="D37" s="1" t="s">
        <v>57</v>
      </c>
      <c r="E37" s="1" t="s">
        <v>57</v>
      </c>
      <c r="F37" s="1" t="s">
        <v>57</v>
      </c>
      <c r="G37" s="1" t="s">
        <v>57</v>
      </c>
      <c r="H37" s="1" t="s">
        <v>57</v>
      </c>
      <c r="I37" s="1" t="s">
        <v>57</v>
      </c>
      <c r="J37" s="1" t="s">
        <v>57</v>
      </c>
      <c r="K37" s="1" t="s">
        <v>57</v>
      </c>
      <c r="L37" s="1" t="s">
        <v>57</v>
      </c>
      <c r="M37" s="1" t="s">
        <v>57</v>
      </c>
      <c r="N37" s="1" t="s">
        <v>57</v>
      </c>
      <c r="O37" s="1" t="s">
        <v>57</v>
      </c>
      <c r="P37" s="1" t="s">
        <v>57</v>
      </c>
      <c r="Q37" s="1" t="s">
        <v>57</v>
      </c>
    </row>
    <row r="38" spans="1:17" x14ac:dyDescent="0.25">
      <c r="A38" s="4" t="s">
        <v>58</v>
      </c>
      <c r="B38" t="s">
        <v>59</v>
      </c>
      <c r="C38" t="s">
        <v>59</v>
      </c>
      <c r="D38" s="1" t="s">
        <v>59</v>
      </c>
      <c r="E38" s="1" t="s">
        <v>59</v>
      </c>
      <c r="F38" s="1" t="s">
        <v>59</v>
      </c>
      <c r="G38" s="1" t="s">
        <v>59</v>
      </c>
      <c r="H38" s="1" t="s">
        <v>59</v>
      </c>
      <c r="I38" s="1" t="s">
        <v>59</v>
      </c>
      <c r="J38" s="1" t="s">
        <v>59</v>
      </c>
      <c r="K38" s="1" t="s">
        <v>59</v>
      </c>
      <c r="L38" s="1" t="s">
        <v>59</v>
      </c>
      <c r="M38" s="1" t="s">
        <v>59</v>
      </c>
      <c r="N38" s="1" t="s">
        <v>59</v>
      </c>
      <c r="O38" s="1" t="s">
        <v>59</v>
      </c>
      <c r="P38" s="1" t="s">
        <v>59</v>
      </c>
      <c r="Q38" s="1" t="s">
        <v>59</v>
      </c>
    </row>
    <row r="39" spans="1:17" x14ac:dyDescent="0.25">
      <c r="A39" s="4" t="s">
        <v>60</v>
      </c>
      <c r="B39" t="s">
        <v>61</v>
      </c>
      <c r="C39" t="s">
        <v>61</v>
      </c>
      <c r="D39" s="1" t="s">
        <v>61</v>
      </c>
      <c r="E39" s="1" t="s">
        <v>61</v>
      </c>
      <c r="F39" s="1" t="s">
        <v>61</v>
      </c>
      <c r="G39" s="1" t="s">
        <v>61</v>
      </c>
      <c r="H39" s="1" t="s">
        <v>61</v>
      </c>
      <c r="I39" s="1" t="s">
        <v>61</v>
      </c>
      <c r="J39" s="1" t="s">
        <v>61</v>
      </c>
      <c r="K39" s="1" t="s">
        <v>61</v>
      </c>
      <c r="L39" s="1" t="s">
        <v>61</v>
      </c>
      <c r="M39" s="1" t="s">
        <v>61</v>
      </c>
      <c r="N39" s="1" t="s">
        <v>61</v>
      </c>
      <c r="O39" s="1" t="s">
        <v>61</v>
      </c>
      <c r="P39" s="1" t="s">
        <v>61</v>
      </c>
      <c r="Q39" s="1" t="s">
        <v>61</v>
      </c>
    </row>
    <row r="40" spans="1:17" x14ac:dyDescent="0.25">
      <c r="A40" s="5"/>
      <c r="E40" s="1"/>
      <c r="F40" s="1"/>
      <c r="G40" s="1"/>
      <c r="H40" s="1"/>
      <c r="I40" s="1"/>
      <c r="J40" s="1"/>
      <c r="K40" s="1"/>
      <c r="L40" s="1"/>
      <c r="M40" s="1"/>
      <c r="N40" s="1"/>
      <c r="O40" s="1"/>
      <c r="P40" s="1"/>
      <c r="Q40" s="1"/>
    </row>
    <row r="41" spans="1:17" x14ac:dyDescent="0.25">
      <c r="A41" s="4" t="s">
        <v>62</v>
      </c>
      <c r="B41" t="s">
        <v>63</v>
      </c>
      <c r="C41" t="s">
        <v>63</v>
      </c>
      <c r="D41" s="1" t="s">
        <v>63</v>
      </c>
      <c r="E41" s="1" t="s">
        <v>63</v>
      </c>
      <c r="F41" s="1" t="s">
        <v>63</v>
      </c>
      <c r="G41" s="1" t="s">
        <v>63</v>
      </c>
      <c r="H41" s="1" t="s">
        <v>63</v>
      </c>
      <c r="I41" s="1" t="s">
        <v>63</v>
      </c>
      <c r="J41" s="1" t="s">
        <v>63</v>
      </c>
      <c r="K41" s="1" t="s">
        <v>63</v>
      </c>
      <c r="L41" s="1" t="s">
        <v>63</v>
      </c>
      <c r="M41" s="1" t="s">
        <v>63</v>
      </c>
      <c r="N41" s="1" t="s">
        <v>63</v>
      </c>
      <c r="O41" s="1" t="s">
        <v>63</v>
      </c>
      <c r="P41" s="1" t="s">
        <v>63</v>
      </c>
      <c r="Q41" s="1" t="s">
        <v>63</v>
      </c>
    </row>
    <row r="42" spans="1:17" x14ac:dyDescent="0.25">
      <c r="A42" s="4" t="s">
        <v>64</v>
      </c>
      <c r="B42" t="s">
        <v>65</v>
      </c>
      <c r="C42" t="s">
        <v>65</v>
      </c>
      <c r="D42" s="1" t="s">
        <v>65</v>
      </c>
      <c r="E42" s="1" t="s">
        <v>65</v>
      </c>
      <c r="F42" s="1" t="s">
        <v>65</v>
      </c>
      <c r="G42" s="1" t="s">
        <v>65</v>
      </c>
      <c r="H42" s="1" t="s">
        <v>65</v>
      </c>
      <c r="I42" s="1" t="s">
        <v>65</v>
      </c>
      <c r="J42" s="1" t="s">
        <v>65</v>
      </c>
      <c r="K42" s="1" t="s">
        <v>65</v>
      </c>
      <c r="L42" s="1" t="s">
        <v>65</v>
      </c>
      <c r="M42" s="1" t="s">
        <v>65</v>
      </c>
      <c r="N42" s="1" t="s">
        <v>65</v>
      </c>
      <c r="O42" s="1" t="s">
        <v>65</v>
      </c>
      <c r="P42" s="1" t="s">
        <v>65</v>
      </c>
      <c r="Q42" s="1" t="s">
        <v>65</v>
      </c>
    </row>
    <row r="43" spans="1:17" x14ac:dyDescent="0.25">
      <c r="A43" s="4" t="s">
        <v>66</v>
      </c>
      <c r="B43" t="s">
        <v>67</v>
      </c>
      <c r="C43" t="s">
        <v>67</v>
      </c>
      <c r="D43" s="1" t="s">
        <v>67</v>
      </c>
      <c r="E43" s="1" t="s">
        <v>67</v>
      </c>
      <c r="F43" s="1" t="s">
        <v>67</v>
      </c>
      <c r="G43" s="1" t="s">
        <v>67</v>
      </c>
      <c r="H43" s="1" t="s">
        <v>67</v>
      </c>
      <c r="I43" s="1" t="s">
        <v>67</v>
      </c>
      <c r="J43" s="1" t="s">
        <v>67</v>
      </c>
      <c r="K43" s="1" t="s">
        <v>67</v>
      </c>
      <c r="L43" s="1" t="s">
        <v>67</v>
      </c>
      <c r="M43" s="1" t="s">
        <v>67</v>
      </c>
      <c r="N43" s="1" t="s">
        <v>67</v>
      </c>
      <c r="O43" s="1" t="s">
        <v>67</v>
      </c>
      <c r="P43" s="1" t="s">
        <v>67</v>
      </c>
      <c r="Q43" s="1" t="s">
        <v>67</v>
      </c>
    </row>
    <row r="44" spans="1:17" x14ac:dyDescent="0.25">
      <c r="A44" s="4" t="s">
        <v>68</v>
      </c>
      <c r="B44" t="s">
        <v>69</v>
      </c>
      <c r="C44" t="s">
        <v>69</v>
      </c>
      <c r="D44" s="1" t="s">
        <v>69</v>
      </c>
      <c r="E44" s="1" t="s">
        <v>69</v>
      </c>
      <c r="F44" s="1" t="s">
        <v>69</v>
      </c>
      <c r="G44" s="1" t="s">
        <v>69</v>
      </c>
      <c r="H44" s="1" t="s">
        <v>69</v>
      </c>
      <c r="I44" s="1" t="s">
        <v>69</v>
      </c>
      <c r="J44" s="1" t="s">
        <v>69</v>
      </c>
      <c r="K44" s="1" t="s">
        <v>69</v>
      </c>
      <c r="L44" s="1" t="s">
        <v>69</v>
      </c>
      <c r="M44" s="1" t="s">
        <v>69</v>
      </c>
      <c r="N44" s="1" t="s">
        <v>69</v>
      </c>
      <c r="O44" s="1" t="s">
        <v>69</v>
      </c>
      <c r="P44" s="1" t="s">
        <v>69</v>
      </c>
      <c r="Q44" s="1" t="s">
        <v>69</v>
      </c>
    </row>
    <row r="45" spans="1:17" x14ac:dyDescent="0.25">
      <c r="A45" s="4" t="s">
        <v>70</v>
      </c>
      <c r="B45" t="s">
        <v>71</v>
      </c>
      <c r="C45" t="s">
        <v>71</v>
      </c>
      <c r="D45" s="1" t="s">
        <v>71</v>
      </c>
      <c r="E45" s="1" t="s">
        <v>71</v>
      </c>
      <c r="F45" s="1" t="s">
        <v>71</v>
      </c>
      <c r="G45" s="1" t="s">
        <v>71</v>
      </c>
      <c r="H45" s="1" t="s">
        <v>71</v>
      </c>
      <c r="I45" s="1" t="s">
        <v>71</v>
      </c>
      <c r="J45" s="1" t="s">
        <v>71</v>
      </c>
      <c r="K45" s="1" t="s">
        <v>71</v>
      </c>
      <c r="L45" s="1" t="s">
        <v>71</v>
      </c>
      <c r="M45" s="1" t="s">
        <v>71</v>
      </c>
      <c r="N45" s="1" t="s">
        <v>71</v>
      </c>
      <c r="O45" s="1" t="s">
        <v>71</v>
      </c>
      <c r="P45" s="1" t="s">
        <v>71</v>
      </c>
      <c r="Q45" s="1" t="s">
        <v>71</v>
      </c>
    </row>
    <row r="46" spans="1:17" x14ac:dyDescent="0.25">
      <c r="A46" s="4" t="s">
        <v>72</v>
      </c>
      <c r="B46" t="s">
        <v>73</v>
      </c>
      <c r="C46" t="s">
        <v>73</v>
      </c>
      <c r="D46" s="1" t="s">
        <v>73</v>
      </c>
      <c r="E46" s="1" t="s">
        <v>73</v>
      </c>
      <c r="F46" s="1" t="s">
        <v>73</v>
      </c>
      <c r="G46" s="1" t="s">
        <v>73</v>
      </c>
      <c r="H46" s="1" t="s">
        <v>73</v>
      </c>
      <c r="I46" s="1" t="s">
        <v>73</v>
      </c>
      <c r="J46" s="1" t="s">
        <v>73</v>
      </c>
      <c r="K46" s="1" t="s">
        <v>73</v>
      </c>
      <c r="L46" s="1" t="s">
        <v>73</v>
      </c>
      <c r="M46" s="1" t="s">
        <v>73</v>
      </c>
      <c r="N46" s="1" t="s">
        <v>73</v>
      </c>
      <c r="O46" s="1" t="s">
        <v>73</v>
      </c>
      <c r="P46" s="1" t="s">
        <v>73</v>
      </c>
      <c r="Q46" s="1" t="s">
        <v>73</v>
      </c>
    </row>
    <row r="47" spans="1:17" x14ac:dyDescent="0.25">
      <c r="A47" s="4" t="s">
        <v>74</v>
      </c>
      <c r="B47" t="s">
        <v>75</v>
      </c>
      <c r="C47" t="s">
        <v>75</v>
      </c>
      <c r="D47" s="1" t="s">
        <v>75</v>
      </c>
      <c r="E47" s="1" t="s">
        <v>75</v>
      </c>
      <c r="F47" s="1" t="s">
        <v>75</v>
      </c>
      <c r="G47" s="1" t="s">
        <v>75</v>
      </c>
      <c r="H47" s="1" t="s">
        <v>75</v>
      </c>
      <c r="I47" s="1" t="s">
        <v>75</v>
      </c>
      <c r="J47" s="1" t="s">
        <v>75</v>
      </c>
      <c r="K47" s="1" t="s">
        <v>75</v>
      </c>
      <c r="L47" s="1" t="s">
        <v>75</v>
      </c>
      <c r="M47" s="1" t="s">
        <v>75</v>
      </c>
      <c r="N47" s="1" t="s">
        <v>75</v>
      </c>
      <c r="O47" s="1" t="s">
        <v>75</v>
      </c>
      <c r="P47" s="1" t="s">
        <v>75</v>
      </c>
      <c r="Q47" s="1" t="s">
        <v>75</v>
      </c>
    </row>
    <row r="48" spans="1:17" x14ac:dyDescent="0.25">
      <c r="A48" s="4" t="s">
        <v>76</v>
      </c>
      <c r="B48" t="s">
        <v>77</v>
      </c>
      <c r="C48" t="s">
        <v>77</v>
      </c>
      <c r="D48" s="1" t="s">
        <v>77</v>
      </c>
      <c r="E48" s="1" t="s">
        <v>77</v>
      </c>
      <c r="F48" s="1" t="s">
        <v>77</v>
      </c>
      <c r="G48" s="1" t="s">
        <v>77</v>
      </c>
      <c r="H48" s="1" t="s">
        <v>77</v>
      </c>
      <c r="I48" s="1" t="s">
        <v>77</v>
      </c>
      <c r="J48" s="1" t="s">
        <v>77</v>
      </c>
      <c r="K48" s="1" t="s">
        <v>77</v>
      </c>
      <c r="L48" s="1" t="s">
        <v>77</v>
      </c>
      <c r="M48" s="1" t="s">
        <v>77</v>
      </c>
      <c r="N48" s="1" t="s">
        <v>77</v>
      </c>
      <c r="O48" s="1" t="s">
        <v>77</v>
      </c>
      <c r="P48" s="1" t="s">
        <v>77</v>
      </c>
      <c r="Q48" s="1" t="s">
        <v>77</v>
      </c>
    </row>
    <row r="49" spans="1:17" x14ac:dyDescent="0.25">
      <c r="A49" s="4" t="s">
        <v>78</v>
      </c>
      <c r="B49" t="s">
        <v>79</v>
      </c>
      <c r="C49" t="s">
        <v>79</v>
      </c>
      <c r="D49" s="1" t="s">
        <v>79</v>
      </c>
      <c r="E49" s="1" t="s">
        <v>79</v>
      </c>
      <c r="F49" s="1" t="s">
        <v>79</v>
      </c>
      <c r="G49" s="1" t="s">
        <v>79</v>
      </c>
      <c r="H49" s="1" t="s">
        <v>79</v>
      </c>
      <c r="I49" s="1" t="s">
        <v>79</v>
      </c>
      <c r="J49" s="1" t="s">
        <v>79</v>
      </c>
      <c r="K49" s="1" t="s">
        <v>79</v>
      </c>
      <c r="L49" s="1" t="s">
        <v>79</v>
      </c>
      <c r="M49" s="1" t="s">
        <v>79</v>
      </c>
      <c r="N49" s="1" t="s">
        <v>79</v>
      </c>
      <c r="O49" s="1" t="s">
        <v>79</v>
      </c>
      <c r="P49" s="1" t="s">
        <v>79</v>
      </c>
      <c r="Q49" s="1" t="s">
        <v>79</v>
      </c>
    </row>
    <row r="50" spans="1:17" x14ac:dyDescent="0.25">
      <c r="A50" s="4" t="s">
        <v>80</v>
      </c>
      <c r="B50" t="s">
        <v>81</v>
      </c>
      <c r="C50" t="s">
        <v>81</v>
      </c>
      <c r="D50" s="1" t="s">
        <v>82</v>
      </c>
      <c r="E50" s="1" t="s">
        <v>82</v>
      </c>
      <c r="F50" s="1" t="s">
        <v>82</v>
      </c>
      <c r="G50" s="1" t="s">
        <v>82</v>
      </c>
      <c r="H50" s="1" t="s">
        <v>82</v>
      </c>
      <c r="I50" s="1" t="s">
        <v>82</v>
      </c>
      <c r="J50" s="1" t="s">
        <v>82</v>
      </c>
      <c r="K50" s="1" t="s">
        <v>82</v>
      </c>
      <c r="L50" s="1" t="s">
        <v>82</v>
      </c>
      <c r="M50" s="1" t="s">
        <v>82</v>
      </c>
      <c r="N50" s="1" t="s">
        <v>82</v>
      </c>
      <c r="O50" s="1" t="s">
        <v>82</v>
      </c>
      <c r="P50" s="1" t="s">
        <v>82</v>
      </c>
      <c r="Q50" s="1" t="s">
        <v>82</v>
      </c>
    </row>
    <row r="51" spans="1:17" x14ac:dyDescent="0.25">
      <c r="A51" s="4" t="s">
        <v>83</v>
      </c>
      <c r="B51" t="s">
        <v>84</v>
      </c>
      <c r="C51" t="s">
        <v>84</v>
      </c>
      <c r="D51" s="1" t="s">
        <v>84</v>
      </c>
      <c r="E51" s="1" t="s">
        <v>84</v>
      </c>
      <c r="F51" s="1" t="s">
        <v>84</v>
      </c>
      <c r="G51" s="1" t="s">
        <v>84</v>
      </c>
      <c r="H51" s="1" t="s">
        <v>84</v>
      </c>
      <c r="I51" s="1" t="s">
        <v>84</v>
      </c>
      <c r="J51" s="1" t="s">
        <v>84</v>
      </c>
      <c r="K51" s="1" t="s">
        <v>84</v>
      </c>
      <c r="L51" s="1" t="s">
        <v>84</v>
      </c>
      <c r="M51" s="1" t="s">
        <v>84</v>
      </c>
      <c r="N51" s="1" t="s">
        <v>84</v>
      </c>
      <c r="O51" s="1" t="s">
        <v>84</v>
      </c>
      <c r="P51" s="1" t="s">
        <v>84</v>
      </c>
      <c r="Q51" s="1" t="s">
        <v>84</v>
      </c>
    </row>
    <row r="52" spans="1:17" x14ac:dyDescent="0.25">
      <c r="A52" s="4" t="s">
        <v>85</v>
      </c>
      <c r="B52" t="s">
        <v>86</v>
      </c>
      <c r="C52" t="s">
        <v>86</v>
      </c>
      <c r="D52" s="1" t="s">
        <v>86</v>
      </c>
      <c r="E52" s="1" t="s">
        <v>86</v>
      </c>
      <c r="F52" s="1" t="s">
        <v>86</v>
      </c>
      <c r="G52" s="1" t="s">
        <v>86</v>
      </c>
      <c r="H52" s="1" t="s">
        <v>86</v>
      </c>
      <c r="I52" s="1" t="s">
        <v>86</v>
      </c>
      <c r="J52" s="1" t="s">
        <v>86</v>
      </c>
      <c r="K52" s="1" t="s">
        <v>86</v>
      </c>
      <c r="L52" s="1" t="s">
        <v>86</v>
      </c>
      <c r="M52" s="1" t="s">
        <v>86</v>
      </c>
      <c r="N52" s="1" t="s">
        <v>86</v>
      </c>
      <c r="O52" s="1" t="s">
        <v>86</v>
      </c>
      <c r="P52" s="1" t="s">
        <v>86</v>
      </c>
      <c r="Q52" s="1" t="s">
        <v>86</v>
      </c>
    </row>
    <row r="53" spans="1:17" x14ac:dyDescent="0.25">
      <c r="A53" s="4" t="s">
        <v>87</v>
      </c>
      <c r="B53" t="s">
        <v>88</v>
      </c>
      <c r="C53" t="s">
        <v>88</v>
      </c>
      <c r="D53" s="1" t="s">
        <v>88</v>
      </c>
      <c r="E53" s="1" t="s">
        <v>88</v>
      </c>
      <c r="F53" s="1" t="s">
        <v>88</v>
      </c>
      <c r="G53" s="1" t="s">
        <v>88</v>
      </c>
      <c r="H53" s="1" t="s">
        <v>88</v>
      </c>
      <c r="I53" s="1" t="s">
        <v>88</v>
      </c>
      <c r="J53" s="1" t="s">
        <v>88</v>
      </c>
      <c r="K53" s="1" t="s">
        <v>88</v>
      </c>
      <c r="L53" s="1" t="s">
        <v>88</v>
      </c>
      <c r="M53" s="1" t="s">
        <v>88</v>
      </c>
      <c r="N53" s="1" t="s">
        <v>88</v>
      </c>
      <c r="O53" s="1" t="s">
        <v>88</v>
      </c>
      <c r="P53" s="1" t="s">
        <v>88</v>
      </c>
      <c r="Q53" s="1" t="s">
        <v>88</v>
      </c>
    </row>
    <row r="54" spans="1:17" x14ac:dyDescent="0.25">
      <c r="A54" s="4" t="s">
        <v>41</v>
      </c>
      <c r="B54" t="s">
        <v>42</v>
      </c>
      <c r="C54" t="s">
        <v>42</v>
      </c>
      <c r="D54" s="1" t="s">
        <v>89</v>
      </c>
      <c r="E54" s="1" t="s">
        <v>89</v>
      </c>
      <c r="F54" s="1" t="s">
        <v>89</v>
      </c>
      <c r="G54" s="1" t="s">
        <v>89</v>
      </c>
      <c r="H54" s="1" t="s">
        <v>89</v>
      </c>
      <c r="I54" s="1" t="s">
        <v>89</v>
      </c>
      <c r="J54" s="1" t="s">
        <v>89</v>
      </c>
      <c r="K54" s="1" t="s">
        <v>89</v>
      </c>
      <c r="L54" s="1" t="s">
        <v>89</v>
      </c>
      <c r="M54" s="1" t="s">
        <v>89</v>
      </c>
      <c r="N54" s="1" t="s">
        <v>89</v>
      </c>
      <c r="O54" s="1" t="s">
        <v>89</v>
      </c>
      <c r="P54" s="1" t="s">
        <v>89</v>
      </c>
      <c r="Q54" s="1" t="s">
        <v>89</v>
      </c>
    </row>
    <row r="55" spans="1:17" x14ac:dyDescent="0.25">
      <c r="A55" s="5"/>
      <c r="E55" s="1"/>
      <c r="F55" s="1"/>
      <c r="G55" s="1"/>
      <c r="H55" s="1"/>
      <c r="I55" s="1"/>
      <c r="J55" s="1"/>
      <c r="K55" s="1"/>
      <c r="L55" s="1"/>
      <c r="M55" s="1"/>
      <c r="N55" s="1"/>
      <c r="O55" s="1"/>
      <c r="P55" s="1"/>
      <c r="Q55" s="1"/>
    </row>
    <row r="56" spans="1:17" x14ac:dyDescent="0.25">
      <c r="A56" s="5"/>
      <c r="E56" s="1"/>
      <c r="F56" s="1"/>
      <c r="G56" s="1"/>
      <c r="H56" s="1"/>
      <c r="I56" s="1"/>
      <c r="J56" s="1"/>
      <c r="K56" s="1"/>
      <c r="L56" s="1"/>
      <c r="M56" s="1"/>
      <c r="N56" s="1"/>
      <c r="O56" s="1"/>
      <c r="P56" s="1"/>
      <c r="Q56" s="1"/>
    </row>
    <row r="57" spans="1:17" x14ac:dyDescent="0.25">
      <c r="A57" s="4" t="s">
        <v>90</v>
      </c>
      <c r="B57" t="s">
        <v>91</v>
      </c>
      <c r="C57" t="s">
        <v>91</v>
      </c>
      <c r="D57" s="1" t="s">
        <v>91</v>
      </c>
      <c r="E57" s="1" t="s">
        <v>91</v>
      </c>
      <c r="F57" s="1" t="s">
        <v>91</v>
      </c>
      <c r="G57" s="1" t="s">
        <v>91</v>
      </c>
      <c r="H57" s="1" t="s">
        <v>91</v>
      </c>
      <c r="I57" s="1" t="s">
        <v>91</v>
      </c>
      <c r="J57" s="1" t="s">
        <v>91</v>
      </c>
      <c r="K57" s="1" t="s">
        <v>91</v>
      </c>
      <c r="L57" s="1" t="s">
        <v>91</v>
      </c>
      <c r="M57" s="1" t="s">
        <v>91</v>
      </c>
      <c r="N57" s="1" t="s">
        <v>91</v>
      </c>
      <c r="O57" s="1" t="s">
        <v>91</v>
      </c>
      <c r="P57" s="1" t="s">
        <v>91</v>
      </c>
      <c r="Q57" s="1" t="s">
        <v>91</v>
      </c>
    </row>
    <row r="58" spans="1:17" x14ac:dyDescent="0.25">
      <c r="A58" s="4" t="s">
        <v>92</v>
      </c>
      <c r="B58" t="s">
        <v>93</v>
      </c>
      <c r="C58" t="s">
        <v>93</v>
      </c>
      <c r="D58" s="1" t="s">
        <v>93</v>
      </c>
      <c r="E58" s="1" t="s">
        <v>93</v>
      </c>
      <c r="F58" s="1" t="s">
        <v>93</v>
      </c>
      <c r="G58" s="1" t="s">
        <v>93</v>
      </c>
      <c r="H58" s="1" t="s">
        <v>93</v>
      </c>
      <c r="I58" s="1" t="s">
        <v>93</v>
      </c>
      <c r="J58" s="1" t="s">
        <v>93</v>
      </c>
      <c r="K58" s="1" t="s">
        <v>93</v>
      </c>
      <c r="L58" s="1" t="s">
        <v>93</v>
      </c>
      <c r="M58" s="1" t="s">
        <v>93</v>
      </c>
      <c r="N58" s="1" t="s">
        <v>93</v>
      </c>
      <c r="O58" s="1" t="s">
        <v>93</v>
      </c>
      <c r="P58" s="1" t="s">
        <v>93</v>
      </c>
      <c r="Q58" s="1" t="s">
        <v>93</v>
      </c>
    </row>
    <row r="59" spans="1:17" x14ac:dyDescent="0.25">
      <c r="A59" s="4" t="s">
        <v>94</v>
      </c>
      <c r="B59" t="s">
        <v>95</v>
      </c>
      <c r="C59" t="s">
        <v>95</v>
      </c>
      <c r="D59" s="1" t="s">
        <v>95</v>
      </c>
      <c r="E59" s="1" t="s">
        <v>95</v>
      </c>
      <c r="F59" s="1" t="s">
        <v>95</v>
      </c>
      <c r="G59" s="1" t="s">
        <v>95</v>
      </c>
      <c r="H59" s="1" t="s">
        <v>95</v>
      </c>
      <c r="I59" s="1" t="s">
        <v>95</v>
      </c>
      <c r="J59" s="1" t="s">
        <v>95</v>
      </c>
      <c r="K59" s="1" t="s">
        <v>95</v>
      </c>
      <c r="L59" s="1" t="s">
        <v>95</v>
      </c>
      <c r="M59" s="1" t="s">
        <v>95</v>
      </c>
      <c r="N59" s="1" t="s">
        <v>95</v>
      </c>
      <c r="O59" s="1" t="s">
        <v>95</v>
      </c>
      <c r="P59" s="1" t="s">
        <v>95</v>
      </c>
      <c r="Q59" s="1" t="s">
        <v>95</v>
      </c>
    </row>
    <row r="60" spans="1:17" x14ac:dyDescent="0.25">
      <c r="A60" s="5"/>
      <c r="E60" s="1"/>
      <c r="F60" s="1"/>
      <c r="G60" s="1"/>
      <c r="H60" s="1"/>
      <c r="I60" s="1"/>
      <c r="J60" s="1"/>
      <c r="K60" s="1"/>
      <c r="L60" s="1"/>
      <c r="M60" s="1"/>
      <c r="N60" s="1"/>
      <c r="O60" s="1"/>
      <c r="P60" s="1"/>
      <c r="Q60" s="1"/>
    </row>
    <row r="61" spans="1:17" x14ac:dyDescent="0.25">
      <c r="A61" s="4" t="s">
        <v>96</v>
      </c>
      <c r="B61" t="str">
        <f t="shared" ref="B61:Q61" si="1">"          &lt;h1&gt;"&amp;B4&amp;"&lt;/h1&gt;"</f>
        <v>          &lt;h1&gt;Mariam oder der Weg der Armen des Herrn&lt;/h1&gt;</v>
      </c>
      <c r="C61" t="str">
        <f t="shared" si="1"/>
        <v>          &lt;h1&gt;„Aus Liebe sterben, das ist meine Hoffnung“&lt;/h1&gt;</v>
      </c>
      <c r="D61" s="1" t="str">
        <f t="shared" si="1"/>
        <v>          &lt;h1&gt;„Kind sein vor Gott“&lt;/h1&gt;</v>
      </c>
      <c r="E61" s="1" t="str">
        <f t="shared" si="1"/>
        <v>          &lt;h1&gt;Durch das Kreuz zum Licht&lt;/h1&gt;</v>
      </c>
      <c r="F61" s="1" t="str">
        <f t="shared" si="1"/>
        <v>          &lt;h1&gt;Leben in der Göttlichen Freude&lt;/h1&gt;</v>
      </c>
      <c r="G61" s="1" t="str">
        <f t="shared" si="1"/>
        <v>          &lt;h1&gt;Das Gebet - ein Weg, unsere Berufung als Kind Gottes zu leben&lt;/h1&gt;</v>
      </c>
      <c r="H61" s="1" t="str">
        <f t="shared" si="1"/>
        <v>          &lt;h1&gt;Die Gegenwart Gottes in unserem Leben erfahren&lt;/h1&gt;</v>
      </c>
      <c r="I61" s="1" t="str">
        <f t="shared" si="1"/>
        <v>          &lt;h1&gt;Leben in der Göttlichen Freude&lt;/h1&gt;</v>
      </c>
      <c r="J61" s="1" t="str">
        <f t="shared" si="1"/>
        <v>          &lt;h1&gt;Leben in der Göttlichen Freude&lt;/h1&gt;</v>
      </c>
      <c r="K61" s="1" t="str">
        <f t="shared" si="1"/>
        <v>          &lt;h1&gt;Leben in der Göttlichen Freude&lt;/h1&gt;</v>
      </c>
      <c r="L61" s="1" t="str">
        <f t="shared" si="1"/>
        <v>          &lt;h1&gt;Leben in der Göttlichen Freude&lt;/h1&gt;</v>
      </c>
      <c r="M61" s="1" t="str">
        <f t="shared" si="1"/>
        <v>          &lt;h1&gt;Leben in der Göttlichen Freude&lt;/h1&gt;</v>
      </c>
      <c r="N61" s="1" t="str">
        <f t="shared" si="1"/>
        <v>          &lt;h1&gt;Leben in der Göttlichen Freude&lt;/h1&gt;</v>
      </c>
      <c r="O61" s="1" t="str">
        <f t="shared" si="1"/>
        <v>          &lt;h1&gt;Leben in der Göttlichen Freude&lt;/h1&gt;</v>
      </c>
      <c r="P61" s="1" t="str">
        <f t="shared" si="1"/>
        <v>          &lt;h1&gt;Leben in der Göttlichen Freude&lt;/h1&gt;</v>
      </c>
      <c r="Q61" s="1" t="str">
        <f t="shared" si="1"/>
        <v>          &lt;h1&gt;Leben in der Göttlichen Freude&lt;/h1&gt;</v>
      </c>
    </row>
    <row r="62" spans="1:17" x14ac:dyDescent="0.25">
      <c r="A62" s="4" t="s">
        <v>97</v>
      </c>
      <c r="B62" t="str">
        <f t="shared" ref="B62:Q62" si="2">"          &lt;h2&gt;"&amp;B3&amp;"&lt;/h2&gt;"</f>
        <v>          &lt;h2&gt;Advent 2025 mit der heiligen Mirjam von Jesus, dem Gekreuzigten&lt;/h2&gt;</v>
      </c>
      <c r="C62" t="str">
        <f t="shared" si="2"/>
        <v>          &lt;h2&gt;Fastenzeit 2025 mit Thérèse von Lisieux und das Östergeheimnis&lt;/h2&gt;</v>
      </c>
      <c r="D62" s="1" t="str">
        <f t="shared" si="2"/>
        <v>          &lt;h2&gt;Advent 2024 mit der Hl. Thérèse vom Kind Jesu&lt;/h2&gt;</v>
      </c>
      <c r="E62" s="1" t="str">
        <f t="shared" si="2"/>
        <v>          &lt;h2&gt;Fastenzeit 2024 mit Pater Jacuqes von Jesus (1900-1945)&lt;/h2&gt;</v>
      </c>
      <c r="F62" s="1" t="str">
        <f t="shared" si="2"/>
        <v>          &lt;h2&gt;Advent 2023 mit der heiligen Teresa de Los Andes (1900-1920)&lt;/h2&gt;</v>
      </c>
      <c r="G62" s="1" t="str">
        <f t="shared" si="2"/>
        <v>          &lt;h2&gt;Fastenzeit 2023: Das Gebet&lt;/h2&gt;</v>
      </c>
      <c r="H62" s="1" t="str">
        <f t="shared" si="2"/>
        <v>          &lt;h2&gt;Advent 2022 in der Schule der Heiligen des Karmel&lt;/h2&gt;</v>
      </c>
      <c r="I62" s="1" t="str">
        <f t="shared" si="2"/>
        <v>          &lt;h2&gt;Advent 2023 mit der heiligen Teresa de Los Andes (1900-1920)&lt;/h2&gt;</v>
      </c>
      <c r="J62" s="1" t="str">
        <f t="shared" si="2"/>
        <v>          &lt;h2&gt;Advent 2023 mit der heiligen Teresa de Los Andes (1900-1920)&lt;/h2&gt;</v>
      </c>
      <c r="K62" s="1" t="str">
        <f t="shared" si="2"/>
        <v>          &lt;h2&gt;Advent 2023 mit der heiligen Teresa de Los Andes (1900-1920)&lt;/h2&gt;</v>
      </c>
      <c r="L62" s="1" t="str">
        <f t="shared" si="2"/>
        <v>          &lt;h2&gt;Advent 2023 mit der heiligen Teresa de Los Andes (1900-1920)&lt;/h2&gt;</v>
      </c>
      <c r="M62" s="1" t="str">
        <f t="shared" si="2"/>
        <v>          &lt;h2&gt;Advent 2023 mit der heiligen Teresa de Los Andes (1900-1920)&lt;/h2&gt;</v>
      </c>
      <c r="N62" s="1" t="str">
        <f t="shared" si="2"/>
        <v>          &lt;h2&gt;Advent 2023 mit der heiligen Teresa de Los Andes (1900-1920)&lt;/h2&gt;</v>
      </c>
      <c r="O62" s="1" t="str">
        <f t="shared" si="2"/>
        <v>          &lt;h2&gt;Advent 2023 mit der heiligen Teresa de Los Andes (1900-1920)&lt;/h2&gt;</v>
      </c>
      <c r="P62" s="1" t="str">
        <f t="shared" si="2"/>
        <v>          &lt;h2&gt;Advent 2023 mit der heiligen Teresa de Los Andes (1900-1920)&lt;/h2&gt;</v>
      </c>
      <c r="Q62" s="1" t="str">
        <f t="shared" si="2"/>
        <v>          &lt;h2&gt;Advent 2023 mit der heiligen Teresa de Los Andes (1900-1920)&lt;/h2&gt;</v>
      </c>
    </row>
    <row r="63" spans="1:17" x14ac:dyDescent="0.25">
      <c r="A63" s="3" t="s">
        <v>98</v>
      </c>
      <c r="B63" t="str">
        <f t="shared" ref="B63:Q63" si="3">"&lt;h3&gt;Vom "&amp;TEXT(B8,"t. MMMM")&amp;" bis "&amp;TEXT(B9,"t. MMMM JJJJ")&amp;"&lt;/h3&gt;"</f>
        <v>&lt;h3&gt;Vom 26. November bis 25. Dezember 2025&lt;/h3&gt;</v>
      </c>
      <c r="C63" t="str">
        <f t="shared" si="3"/>
        <v>&lt;h3&gt;Vom 5. März bis 27. April 2025&lt;/h3&gt;</v>
      </c>
      <c r="D63" s="1" t="str">
        <f t="shared" si="3"/>
        <v>&lt;h3&gt;Vom 27. November bis 5. Jänner 2025&lt;/h3&gt;</v>
      </c>
      <c r="E63" s="1" t="str">
        <f t="shared" si="3"/>
        <v>&lt;h3&gt;Vom 14. Februar bis 7. April 2024&lt;/h3&gt;</v>
      </c>
      <c r="F63" s="1" t="str">
        <f t="shared" si="3"/>
        <v>&lt;h3&gt;Vom 29. November bis 25. Dezember 2023&lt;/h3&gt;</v>
      </c>
      <c r="G63" s="1" t="str">
        <f t="shared" si="3"/>
        <v>&lt;h3&gt;Vom 22. Februar bis 16. April 2023&lt;/h3&gt;</v>
      </c>
      <c r="H63" s="1" t="str">
        <f t="shared" si="3"/>
        <v>&lt;h3&gt;Vom 23. November bis 1. Jänner 2023&lt;/h3&gt;</v>
      </c>
      <c r="I63" s="1" t="str">
        <f t="shared" si="3"/>
        <v>&lt;h3&gt;Vom 29. November bis 25. Dezember 2023&lt;/h3&gt;</v>
      </c>
      <c r="J63" s="1" t="str">
        <f t="shared" si="3"/>
        <v>&lt;h3&gt;Vom 29. November bis 25. Dezember 2023&lt;/h3&gt;</v>
      </c>
      <c r="K63" s="1" t="str">
        <f t="shared" si="3"/>
        <v>&lt;h3&gt;Vom 29. November bis 25. Dezember 2023&lt;/h3&gt;</v>
      </c>
      <c r="L63" s="1" t="str">
        <f t="shared" si="3"/>
        <v>&lt;h3&gt;Vom 29. November bis 25. Dezember 2023&lt;/h3&gt;</v>
      </c>
      <c r="M63" s="1" t="str">
        <f t="shared" si="3"/>
        <v>&lt;h3&gt;Vom 29. November bis 25. Dezember 2023&lt;/h3&gt;</v>
      </c>
      <c r="N63" s="1" t="str">
        <f t="shared" si="3"/>
        <v>&lt;h3&gt;Vom 29. November bis 25. Dezember 2023&lt;/h3&gt;</v>
      </c>
      <c r="O63" s="1" t="str">
        <f t="shared" si="3"/>
        <v>&lt;h3&gt;Vom 29. November bis 25. Dezember 2023&lt;/h3&gt;</v>
      </c>
      <c r="P63" s="1" t="str">
        <f t="shared" si="3"/>
        <v>&lt;h3&gt;Vom 29. November bis 25. Dezember 2023&lt;/h3&gt;</v>
      </c>
      <c r="Q63" s="1" t="str">
        <f t="shared" si="3"/>
        <v>&lt;h3&gt;Vom 29. November bis 25. Dezember 2023&lt;/h3&gt;</v>
      </c>
    </row>
    <row r="64" spans="1:17" x14ac:dyDescent="0.25">
      <c r="A64" s="3" t="s">
        <v>99</v>
      </c>
      <c r="B64" t="str">
        <f t="shared" ref="B64:Q64" si="4">"&lt;p&gt;"</f>
        <v>&lt;p&gt;</v>
      </c>
      <c r="C64" t="str">
        <f t="shared" si="4"/>
        <v>&lt;p&gt;</v>
      </c>
      <c r="D64" s="1" t="str">
        <f t="shared" si="4"/>
        <v>&lt;p&gt;</v>
      </c>
      <c r="E64" s="1" t="str">
        <f t="shared" si="4"/>
        <v>&lt;p&gt;</v>
      </c>
      <c r="F64" s="1" t="str">
        <f t="shared" si="4"/>
        <v>&lt;p&gt;</v>
      </c>
      <c r="G64" s="1" t="str">
        <f t="shared" si="4"/>
        <v>&lt;p&gt;</v>
      </c>
      <c r="H64" s="1" t="str">
        <f t="shared" si="4"/>
        <v>&lt;p&gt;</v>
      </c>
      <c r="I64" s="1" t="str">
        <f t="shared" si="4"/>
        <v>&lt;p&gt;</v>
      </c>
      <c r="J64" s="1" t="str">
        <f t="shared" si="4"/>
        <v>&lt;p&gt;</v>
      </c>
      <c r="K64" s="1" t="str">
        <f t="shared" si="4"/>
        <v>&lt;p&gt;</v>
      </c>
      <c r="L64" s="1" t="str">
        <f t="shared" si="4"/>
        <v>&lt;p&gt;</v>
      </c>
      <c r="M64" s="1" t="str">
        <f t="shared" si="4"/>
        <v>&lt;p&gt;</v>
      </c>
      <c r="N64" s="1" t="str">
        <f t="shared" si="4"/>
        <v>&lt;p&gt;</v>
      </c>
      <c r="O64" s="1" t="str">
        <f t="shared" si="4"/>
        <v>&lt;p&gt;</v>
      </c>
      <c r="P64" s="1" t="str">
        <f t="shared" si="4"/>
        <v>&lt;p&gt;</v>
      </c>
      <c r="Q64" s="1" t="str">
        <f t="shared" si="4"/>
        <v>&lt;p&gt;</v>
      </c>
    </row>
    <row r="65" spans="1:17" x14ac:dyDescent="0.25">
      <c r="A65" s="3" t="s">
        <v>100</v>
      </c>
      <c r="B65" t="str">
        <f t="shared" ref="B65:Q65" si="5">B5</f>
        <v>Die heilige Maria von Jesus, dem Gekreuzigten (1846-1878), die „kleine Araberin“, geboren im Heiligen Land, Analphabetin und demütige Karmelitin, gründete dennoch mehrere Karmelklöster im Orient und in Indien. Ihr schlichtes Leben im Glanz der Heiligkeit, geführt vom Heiligen Geist, lädt uns ein, uns von Jesus lieben und verwandeln zu lassen …</v>
      </c>
      <c r="C65" t="str">
        <f t="shared" si="5"/>
        <v>Die heilige Thérèse von Lisieux wird uns in sechs Schritten zur Osterfreude führen: 
-   1. Sonntag: „Selig jener, der würdig erachtet wurde, Anfechtung zu erleiden!“ 
-   2. Sonntag: „O [Heiliges] Antlitz, schöner als die Lilien und Rosen im Frühling!“ 
-   3. Sonntag: „Ich fühlte ein großes Verlangen, für die Bekehrung der Sünder zu arbeiten“
 -   4. Sonntag: „Hätte ich auch alle begehbaren Sünden auf dem Gewissen ...“ 
-   5. Sonntag: „Eine arme Sünderin wie ich“ 
-   Karwoche: „Schau Jesus ins Antlitz ... Da wirst du sehen, wie er uns liebt!“ 
-   Ostern: „Dies ist mein Himmel ... dies ist meine Bestimmung: Leben aus Liebe!!!...“ Jeden Freitag erhalten Sie eine E-Mail-Nachricht: Dort können Sie den Text herunterladen (in drei Formaten: PDF, Word, PDF im Handyformat) oder die Audio-Version als Podcast anhören. Der Inhalt der Betrachtung wird vom Sonntagsevangelium ausgehen und uns in die Schule der heiligen Thérèse von Lisieux führen. Ein Fastenkalender (Zitate und Bilder) wird Sie außerdem jeden Tag, von Montag bis Samstag, durch geistliche Impulse inspirieren.</v>
      </c>
      <c r="D65" s="1" t="str">
        <f t="shared" si="5"/>
        <v>Diese Online-Exerzitien wollen in den Geist und das Gebet der Jüngsten unter allen Kirchenlehrern einführen, deren Geburtstag sich letztes Jahr zum 150. Mal jährte: die hl. Thérèse vom Kinde Jesus (von Lisieux). Wir werden dies tun, indem wir uns in erster Linie auf die Schriften der Heiligen stützen, die uns ein umfangreiches schriftliches Werk hinterlassen hat. Doch diese erklären nicht alles. Thérèses fulminante Berufung kann nur vor dem Hintergrund des unergründlichen Geheimnisses, von dem ihr ganzes Leben Zeugnis ablegt, vollständig verstanden werden: dem der göttlichen Barmherzigkeit.</v>
      </c>
      <c r="E65" s="1" t="str">
        <f t="shared" si="5"/>
        <v>„Durch das Kreuz zum Licht“: So lautet der Anfang der Worte, die Pater Jacques von Jesus im März 1945 im Konzentrationslager Gusen (Österreich) mit Bleistift in ein Notizbuch kritzelte. Sie haben den Wert eines geistlichen Testaments. Dieser bemerkenswerte Erzieher, der im Januar 1944 im Karmeliterkloster von Avon von der Gestapo verhaftet worden war (ein Vorfall, der in dem Film „Auf Wiedersehen, Kinder“  von Louis Malle aufgegriffen wird) und dessen Seligsprechungsprozess im Gange ist, wird uns einen wirkkräftigen Fastenweg aufzeigen, um dem Licht Christi entgegenzugehen.</v>
      </c>
      <c r="F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G65" s="1" t="str">
        <f t="shared" si="5"/>
        <v>„Kinder Gottes: Wir sind es bereits im Keim durch unsere Taufe. Aber wie können wir unsere tiefe Berufung, für Gott Söhne und Töchter zu werden, voll und ganz verwirklichen? Das Gebet, das persönliche Gebet ist ein bevorzugter Weg für diese Neuschöpfung in Christus. Diese Exerzitien in der Fastenzeit werden uns helfen, unser geistliches Leben tiefgreifend zu erneuern, damit wir uns an der Ostergnade in kindlicher Dankbarkeit erfreuen können!"</v>
      </c>
      <c r="H65" s="1" t="str">
        <f t="shared" si="5"/>
        <v>Das Weihnachtsgeheimnis ist das Geheimnis Gottes, der sich in unserem Menschsein zu unserer Erlösung gegenwärtig macht. Vor 2000 Jahren in der Krippe von Bethlehem anwesend, ist Christus Jesus hier und jetzt, mitten unter uns und in jedem von uns gegenwärtig. Während dieser Einkehrtage im Advent werden wir uns in die Schule der Heiligen des Karmel begeben, um diese Gegenwart Gottes in unserem Leben auf erneuerte Weise zu empfangen. Gehen wir "auf dieser wunderbaren Straße der Gegenwart Gottes"!</v>
      </c>
      <c r="I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J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K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L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M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N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O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P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c r="Q65" s="1" t="str">
        <f t="shared" si="5"/>
        <v>„Gott ist unendliche Freude." Dieser berühmte Ausspruch der heiligen Teresa de Los Andes (1900-1920), der ersten Chilenin, die heiliggesprochen wurde, ist das Leitmotiv für diese Exerzitien im Advent 2023: Ja, Gott ist sehr viel liebenswürdiger, schöner und liebevoller als wir im Allgemeinen denken! Teresa wird uns dies erkennen lassen, indem sie uns das Beispiel einer liebenswürdigen Heiligkeit vor Augen führt und uns leicht verständliche Ratschläge gibt, damit auch wir unser Leben in der göttlichen Freude verankern können. In ihrer Schule werden wir erkennen, dass wir – an der Seite des göttlichen Neugeborenen – zu einer frohen Heiligkeit gelangen können …</v>
      </c>
    </row>
    <row r="66" spans="1:17" x14ac:dyDescent="0.25">
      <c r="A66" s="4" t="s">
        <v>101</v>
      </c>
      <c r="E66" s="1"/>
      <c r="F66" s="1"/>
      <c r="G66" s="1"/>
      <c r="H66" s="1"/>
      <c r="I66" s="1"/>
      <c r="J66" s="1"/>
      <c r="K66" s="1"/>
      <c r="L66" s="1"/>
      <c r="M66" s="1"/>
      <c r="N66" s="1"/>
      <c r="O66" s="1"/>
      <c r="P66" s="1"/>
      <c r="Q66" s="1"/>
    </row>
    <row r="67" spans="1:17" x14ac:dyDescent="0.25">
      <c r="A67" s="4" t="s">
        <v>102</v>
      </c>
      <c r="E67" s="1"/>
      <c r="F67" s="1"/>
      <c r="G67" s="1"/>
      <c r="H67" s="1"/>
      <c r="I67" s="1"/>
      <c r="J67" s="1"/>
      <c r="K67" s="1"/>
      <c r="L67" s="1"/>
      <c r="M67" s="1"/>
      <c r="N67" s="1"/>
      <c r="O67" s="1"/>
      <c r="P67" s="1"/>
      <c r="Q67" s="1"/>
    </row>
    <row r="68" spans="1:17" x14ac:dyDescent="0.25">
      <c r="A68" s="3" t="s">
        <v>103</v>
      </c>
      <c r="E68" s="1"/>
      <c r="F68" s="1"/>
      <c r="G68" s="1"/>
      <c r="H68" s="1"/>
      <c r="I68" s="1"/>
      <c r="J68" s="1"/>
      <c r="K68" s="1"/>
      <c r="L68" s="1"/>
      <c r="M68" s="1"/>
      <c r="N68" s="1"/>
      <c r="O68" s="1"/>
      <c r="P68" s="1"/>
      <c r="Q68" s="1"/>
    </row>
    <row r="69" spans="1:17" x14ac:dyDescent="0.25">
      <c r="A69" s="5"/>
      <c r="E69" s="1"/>
      <c r="F69" s="1"/>
      <c r="G69" s="1"/>
      <c r="H69" s="1"/>
      <c r="I69" s="1"/>
      <c r="J69" s="1"/>
      <c r="K69" s="1"/>
      <c r="L69" s="1"/>
      <c r="M69" s="1"/>
      <c r="N69" s="1"/>
      <c r="O69" s="1"/>
      <c r="P69" s="1"/>
      <c r="Q69" s="1"/>
    </row>
    <row r="70" spans="1:17" x14ac:dyDescent="0.25">
      <c r="A70" s="4" t="s">
        <v>104</v>
      </c>
      <c r="E70" s="1"/>
      <c r="F70" s="1"/>
      <c r="G70" s="1"/>
      <c r="H70" s="1"/>
      <c r="I70" s="1"/>
      <c r="J70" s="1"/>
      <c r="K70" s="1"/>
      <c r="L70" s="1"/>
      <c r="M70" s="1"/>
      <c r="N70" s="1"/>
      <c r="O70" s="1"/>
      <c r="P70" s="1"/>
      <c r="Q70" s="1"/>
    </row>
    <row r="71" spans="1:17" x14ac:dyDescent="0.25">
      <c r="A71" s="4" t="s">
        <v>105</v>
      </c>
      <c r="E71" s="1"/>
      <c r="F71" s="1"/>
      <c r="G71" s="1"/>
      <c r="H71" s="1"/>
      <c r="I71" s="1"/>
      <c r="J71" s="1"/>
      <c r="K71" s="1"/>
      <c r="L71" s="1"/>
      <c r="M71" s="1"/>
      <c r="N71" s="1"/>
      <c r="O71" s="1"/>
      <c r="P71" s="1"/>
      <c r="Q71" s="1"/>
    </row>
    <row r="72" spans="1:17" x14ac:dyDescent="0.25">
      <c r="A72" s="4" t="s">
        <v>106</v>
      </c>
      <c r="E72" s="1"/>
      <c r="F72" s="1"/>
      <c r="G72" s="1"/>
      <c r="H72" s="1"/>
      <c r="I72" s="1"/>
      <c r="J72" s="1"/>
      <c r="K72" s="1"/>
      <c r="L72" s="1"/>
      <c r="M72" s="1"/>
      <c r="N72" s="1"/>
      <c r="O72" s="1"/>
      <c r="P72" s="1"/>
      <c r="Q72" s="1"/>
    </row>
    <row r="73" spans="1:17" x14ac:dyDescent="0.25">
      <c r="A73" s="4" t="s">
        <v>107</v>
      </c>
      <c r="E73" s="1"/>
      <c r="F73" s="1"/>
      <c r="G73" s="1"/>
      <c r="H73" s="1"/>
      <c r="I73" s="1"/>
      <c r="J73" s="1"/>
      <c r="K73" s="1"/>
      <c r="L73" s="1"/>
      <c r="M73" s="1"/>
      <c r="N73" s="1"/>
      <c r="O73" s="1"/>
      <c r="P73" s="1"/>
      <c r="Q73" s="1"/>
    </row>
    <row r="74" spans="1:17" x14ac:dyDescent="0.25">
      <c r="A74" s="4" t="s">
        <v>108</v>
      </c>
      <c r="E74" s="1"/>
      <c r="F74" s="1"/>
      <c r="G74" s="1"/>
      <c r="H74" s="1"/>
      <c r="I74" s="1"/>
      <c r="J74" s="1"/>
      <c r="K74" s="1"/>
      <c r="L74" s="1"/>
      <c r="M74" s="1"/>
      <c r="N74" s="1"/>
      <c r="O74" s="1"/>
      <c r="P74" s="1"/>
      <c r="Q74" s="1"/>
    </row>
    <row r="75" spans="1:17" x14ac:dyDescent="0.25">
      <c r="A75" s="4" t="s">
        <v>109</v>
      </c>
      <c r="B75" t="s">
        <v>110</v>
      </c>
      <c r="C75" t="s">
        <v>110</v>
      </c>
      <c r="D75" s="1" t="s">
        <v>110</v>
      </c>
      <c r="E75" s="1" t="s">
        <v>110</v>
      </c>
      <c r="F75" s="1" t="s">
        <v>110</v>
      </c>
      <c r="G75" s="1" t="s">
        <v>110</v>
      </c>
      <c r="H75" s="1" t="s">
        <v>110</v>
      </c>
      <c r="I75" s="1" t="s">
        <v>110</v>
      </c>
      <c r="J75" s="1" t="s">
        <v>110</v>
      </c>
      <c r="K75" s="1" t="s">
        <v>110</v>
      </c>
      <c r="L75" s="1" t="s">
        <v>110</v>
      </c>
      <c r="M75" s="1" t="s">
        <v>110</v>
      </c>
      <c r="N75" s="1" t="s">
        <v>110</v>
      </c>
      <c r="O75" s="1" t="s">
        <v>110</v>
      </c>
      <c r="P75" s="1" t="s">
        <v>110</v>
      </c>
      <c r="Q75" s="1" t="s">
        <v>110</v>
      </c>
    </row>
    <row r="76" spans="1:17" x14ac:dyDescent="0.25">
      <c r="A76" s="4" t="s">
        <v>111</v>
      </c>
      <c r="B76" t="s">
        <v>112</v>
      </c>
      <c r="C76" t="s">
        <v>112</v>
      </c>
      <c r="D76" s="1" t="s">
        <v>112</v>
      </c>
      <c r="E76" s="1" t="s">
        <v>112</v>
      </c>
      <c r="F76" s="1" t="s">
        <v>112</v>
      </c>
      <c r="G76" s="1" t="s">
        <v>112</v>
      </c>
      <c r="H76" s="1" t="s">
        <v>112</v>
      </c>
      <c r="I76" s="1" t="s">
        <v>112</v>
      </c>
      <c r="J76" s="1" t="s">
        <v>112</v>
      </c>
      <c r="K76" s="1" t="s">
        <v>112</v>
      </c>
      <c r="L76" s="1" t="s">
        <v>112</v>
      </c>
      <c r="M76" s="1" t="s">
        <v>112</v>
      </c>
      <c r="N76" s="1" t="s">
        <v>112</v>
      </c>
      <c r="O76" s="1" t="s">
        <v>112</v>
      </c>
      <c r="P76" s="1" t="s">
        <v>112</v>
      </c>
      <c r="Q76" s="1" t="s">
        <v>112</v>
      </c>
    </row>
    <row r="77" spans="1:17" x14ac:dyDescent="0.25">
      <c r="A77" s="4" t="s">
        <v>113</v>
      </c>
      <c r="B77" t="str">
        <f t="shared" ref="B77:Q77" si="6">"&lt;img src=""../"&amp;B6&amp;""" alt=""""&gt;"</f>
        <v>&lt;img src="../img/AD25_header_DE.png" alt=""&gt;</v>
      </c>
      <c r="C77" t="str">
        <f t="shared" si="6"/>
        <v>&lt;img src="../img/FS25_header_DE.png" alt=""&gt;</v>
      </c>
      <c r="D77" s="1" t="str">
        <f t="shared" si="6"/>
        <v>&lt;img src="../img/AD24_header_DE.png" alt=""&gt;</v>
      </c>
      <c r="E77" s="1" t="str">
        <f t="shared" si="6"/>
        <v>&lt;img src="../img/FS24_header_DE.png" alt=""&gt;</v>
      </c>
      <c r="F77" s="1" t="str">
        <f t="shared" si="6"/>
        <v>&lt;img src="../img/AD23_header_DE.png" alt=""&gt;</v>
      </c>
      <c r="G77" s="1" t="str">
        <f t="shared" si="6"/>
        <v>&lt;img src="../img/FS23_header_DE.png" alt=""&gt;</v>
      </c>
      <c r="H77" s="1" t="str">
        <f t="shared" si="6"/>
        <v>&lt;img src="../img/AD22_header_DE.png" alt=""&gt;</v>
      </c>
      <c r="I77" s="1" t="str">
        <f t="shared" si="6"/>
        <v>&lt;img src="../img/AD23_header_DE.png" alt=""&gt;</v>
      </c>
      <c r="J77" s="1" t="str">
        <f t="shared" si="6"/>
        <v>&lt;img src="../img/AD23_header_DE.png" alt=""&gt;</v>
      </c>
      <c r="K77" s="1" t="str">
        <f t="shared" si="6"/>
        <v>&lt;img src="../img/AD23_header_DE.png" alt=""&gt;</v>
      </c>
      <c r="L77" s="1" t="str">
        <f t="shared" si="6"/>
        <v>&lt;img src="../img/AD23_header_DE.png" alt=""&gt;</v>
      </c>
      <c r="M77" s="1" t="str">
        <f t="shared" si="6"/>
        <v>&lt;img src="../img/AD23_header_DE.png" alt=""&gt;</v>
      </c>
      <c r="N77" s="1" t="str">
        <f t="shared" si="6"/>
        <v>&lt;img src="../img/AD23_header_DE.png" alt=""&gt;</v>
      </c>
      <c r="O77" s="1" t="str">
        <f t="shared" si="6"/>
        <v>&lt;img src="../img/AD23_header_DE.png" alt=""&gt;</v>
      </c>
      <c r="P77" s="1" t="str">
        <f t="shared" si="6"/>
        <v>&lt;img src="../img/AD23_header_DE.png" alt=""&gt;</v>
      </c>
      <c r="Q77" s="1" t="str">
        <f t="shared" si="6"/>
        <v>&lt;img src="../img/AD23_header_DE.png" alt=""&gt;</v>
      </c>
    </row>
    <row r="78" spans="1:17" x14ac:dyDescent="0.25">
      <c r="A78" s="4" t="s">
        <v>114</v>
      </c>
      <c r="B78" t="s">
        <v>115</v>
      </c>
      <c r="C78" t="s">
        <v>115</v>
      </c>
      <c r="D78" s="1" t="s">
        <v>115</v>
      </c>
      <c r="E78" s="1" t="s">
        <v>115</v>
      </c>
      <c r="F78" s="1" t="s">
        <v>115</v>
      </c>
      <c r="G78" s="1" t="s">
        <v>115</v>
      </c>
      <c r="H78" s="1" t="s">
        <v>115</v>
      </c>
      <c r="I78" s="1" t="s">
        <v>115</v>
      </c>
      <c r="J78" s="1" t="s">
        <v>115</v>
      </c>
      <c r="K78" s="1" t="s">
        <v>115</v>
      </c>
      <c r="L78" s="1" t="s">
        <v>115</v>
      </c>
      <c r="M78" s="1" t="s">
        <v>115</v>
      </c>
      <c r="N78" s="1" t="s">
        <v>115</v>
      </c>
      <c r="O78" s="1" t="s">
        <v>115</v>
      </c>
      <c r="P78" s="1" t="s">
        <v>115</v>
      </c>
      <c r="Q78" s="1" t="s">
        <v>115</v>
      </c>
    </row>
    <row r="79" spans="1:17" x14ac:dyDescent="0.25">
      <c r="A79" s="3" t="s">
        <v>116</v>
      </c>
      <c r="B79" t="s">
        <v>117</v>
      </c>
      <c r="C79" t="s">
        <v>117</v>
      </c>
      <c r="D79" s="1" t="s">
        <v>117</v>
      </c>
      <c r="E79" s="1" t="s">
        <v>117</v>
      </c>
      <c r="F79" s="1" t="s">
        <v>117</v>
      </c>
      <c r="G79" s="1" t="s">
        <v>117</v>
      </c>
      <c r="H79" s="1" t="s">
        <v>117</v>
      </c>
      <c r="I79" s="1" t="s">
        <v>117</v>
      </c>
      <c r="J79" s="1" t="s">
        <v>117</v>
      </c>
      <c r="K79" s="1" t="s">
        <v>117</v>
      </c>
      <c r="L79" s="1" t="s">
        <v>117</v>
      </c>
      <c r="M79" s="1" t="s">
        <v>117</v>
      </c>
      <c r="N79" s="1" t="s">
        <v>117</v>
      </c>
      <c r="O79" s="1" t="s">
        <v>117</v>
      </c>
      <c r="P79" s="1" t="s">
        <v>117</v>
      </c>
      <c r="Q79" s="1" t="s">
        <v>117</v>
      </c>
    </row>
    <row r="80" spans="1:17" x14ac:dyDescent="0.25">
      <c r="A80" s="4" t="s">
        <v>118</v>
      </c>
      <c r="B80" t="s">
        <v>119</v>
      </c>
      <c r="C80" t="s">
        <v>119</v>
      </c>
      <c r="D80" s="1" t="s">
        <v>119</v>
      </c>
      <c r="E80" s="1" t="s">
        <v>119</v>
      </c>
      <c r="F80" s="1" t="s">
        <v>119</v>
      </c>
      <c r="G80" s="1" t="s">
        <v>119</v>
      </c>
      <c r="H80" s="1" t="s">
        <v>119</v>
      </c>
      <c r="I80" s="1" t="s">
        <v>119</v>
      </c>
      <c r="J80" s="1" t="s">
        <v>119</v>
      </c>
      <c r="K80" s="1" t="s">
        <v>119</v>
      </c>
      <c r="L80" s="1" t="s">
        <v>119</v>
      </c>
      <c r="M80" s="1" t="s">
        <v>119</v>
      </c>
      <c r="N80" s="1" t="s">
        <v>119</v>
      </c>
      <c r="O80" s="1" t="s">
        <v>119</v>
      </c>
      <c r="P80" s="1" t="s">
        <v>119</v>
      </c>
      <c r="Q80" s="1" t="s">
        <v>119</v>
      </c>
    </row>
    <row r="81" spans="1:17" x14ac:dyDescent="0.25">
      <c r="A81" s="4" t="s">
        <v>120</v>
      </c>
      <c r="B81" t="s">
        <v>121</v>
      </c>
      <c r="C81" t="s">
        <v>121</v>
      </c>
      <c r="E81" s="1"/>
      <c r="F81" s="1"/>
      <c r="G81" s="1"/>
      <c r="H81" s="1"/>
      <c r="I81" s="1"/>
      <c r="J81" s="1"/>
      <c r="K81" s="1"/>
      <c r="L81" s="1"/>
      <c r="M81" s="1"/>
      <c r="N81" s="1"/>
      <c r="O81" s="1"/>
      <c r="P81" s="1"/>
      <c r="Q81" s="1"/>
    </row>
    <row r="82" spans="1:17" x14ac:dyDescent="0.25">
      <c r="A82" s="4" t="s">
        <v>94</v>
      </c>
      <c r="B82" t="s">
        <v>95</v>
      </c>
      <c r="C82" t="s">
        <v>95</v>
      </c>
      <c r="E82" s="1"/>
      <c r="F82" s="1"/>
      <c r="G82" s="1"/>
      <c r="H82" s="1"/>
      <c r="I82" s="1"/>
      <c r="J82" s="1"/>
      <c r="K82" s="1"/>
      <c r="L82" s="1"/>
      <c r="M82" s="1"/>
      <c r="N82" s="1"/>
      <c r="O82" s="1"/>
      <c r="P82" s="1"/>
      <c r="Q82" s="1"/>
    </row>
    <row r="83" spans="1:17" x14ac:dyDescent="0.25">
      <c r="A83" s="3" t="s">
        <v>122</v>
      </c>
      <c r="B83" t="s">
        <v>123</v>
      </c>
      <c r="C83" t="s">
        <v>123</v>
      </c>
      <c r="D83" s="1" t="s">
        <v>124</v>
      </c>
      <c r="E83" s="1" t="s">
        <v>124</v>
      </c>
      <c r="F83" s="1" t="s">
        <v>124</v>
      </c>
      <c r="G83" s="1" t="s">
        <v>124</v>
      </c>
      <c r="H83" s="1" t="s">
        <v>124</v>
      </c>
      <c r="I83" s="1" t="s">
        <v>124</v>
      </c>
      <c r="J83" s="1" t="s">
        <v>124</v>
      </c>
      <c r="K83" s="1" t="s">
        <v>124</v>
      </c>
      <c r="L83" s="1" t="s">
        <v>124</v>
      </c>
      <c r="M83" s="1" t="s">
        <v>124</v>
      </c>
      <c r="N83" s="1" t="s">
        <v>124</v>
      </c>
      <c r="O83" s="1" t="s">
        <v>124</v>
      </c>
      <c r="P83" s="1" t="s">
        <v>124</v>
      </c>
      <c r="Q83" s="1" t="s">
        <v>124</v>
      </c>
    </row>
    <row r="84" spans="1:17" x14ac:dyDescent="0.25">
      <c r="A84" s="4" t="s">
        <v>125</v>
      </c>
      <c r="B84" t="s">
        <v>126</v>
      </c>
      <c r="C84" t="s">
        <v>126</v>
      </c>
      <c r="D84" s="1" t="s">
        <v>127</v>
      </c>
      <c r="E84" s="1" t="s">
        <v>127</v>
      </c>
      <c r="F84" s="1" t="s">
        <v>127</v>
      </c>
      <c r="G84" s="1" t="s">
        <v>127</v>
      </c>
      <c r="H84" s="1" t="s">
        <v>127</v>
      </c>
      <c r="I84" s="1" t="s">
        <v>127</v>
      </c>
      <c r="J84" s="1" t="s">
        <v>127</v>
      </c>
      <c r="K84" s="1" t="s">
        <v>127</v>
      </c>
      <c r="L84" s="1" t="s">
        <v>127</v>
      </c>
      <c r="M84" s="1" t="s">
        <v>127</v>
      </c>
      <c r="N84" s="1" t="s">
        <v>127</v>
      </c>
      <c r="O84" s="1" t="s">
        <v>127</v>
      </c>
      <c r="P84" s="1" t="s">
        <v>127</v>
      </c>
      <c r="Q84" s="1" t="s">
        <v>127</v>
      </c>
    </row>
    <row r="85" spans="1:17" x14ac:dyDescent="0.25">
      <c r="A85" s="4" t="s">
        <v>128</v>
      </c>
      <c r="B85" t="s">
        <v>129</v>
      </c>
      <c r="C85" t="s">
        <v>129</v>
      </c>
      <c r="D85" s="1" t="s">
        <v>130</v>
      </c>
      <c r="E85" s="1" t="s">
        <v>130</v>
      </c>
      <c r="F85" s="1" t="s">
        <v>130</v>
      </c>
      <c r="G85" s="1" t="s">
        <v>130</v>
      </c>
      <c r="H85" s="1" t="s">
        <v>130</v>
      </c>
      <c r="I85" s="1" t="s">
        <v>130</v>
      </c>
      <c r="J85" s="1" t="s">
        <v>130</v>
      </c>
      <c r="K85" s="1" t="s">
        <v>130</v>
      </c>
      <c r="L85" s="1" t="s">
        <v>130</v>
      </c>
      <c r="M85" s="1" t="s">
        <v>130</v>
      </c>
      <c r="N85" s="1" t="s">
        <v>130</v>
      </c>
      <c r="O85" s="1" t="s">
        <v>130</v>
      </c>
      <c r="P85" s="1" t="s">
        <v>130</v>
      </c>
      <c r="Q85" s="1" t="s">
        <v>130</v>
      </c>
    </row>
    <row r="86" spans="1:17" x14ac:dyDescent="0.25">
      <c r="A86" s="4" t="s">
        <v>131</v>
      </c>
      <c r="B86" t="s">
        <v>132</v>
      </c>
      <c r="C86" t="s">
        <v>132</v>
      </c>
      <c r="D86" s="1" t="s">
        <v>133</v>
      </c>
      <c r="E86" s="1" t="s">
        <v>133</v>
      </c>
      <c r="F86" s="1" t="s">
        <v>133</v>
      </c>
      <c r="G86" s="1" t="s">
        <v>133</v>
      </c>
      <c r="H86" s="1" t="s">
        <v>133</v>
      </c>
      <c r="I86" s="1" t="s">
        <v>133</v>
      </c>
      <c r="J86" s="1" t="s">
        <v>133</v>
      </c>
      <c r="K86" s="1" t="s">
        <v>133</v>
      </c>
      <c r="L86" s="1" t="s">
        <v>133</v>
      </c>
      <c r="M86" s="1" t="s">
        <v>133</v>
      </c>
      <c r="N86" s="1" t="s">
        <v>133</v>
      </c>
      <c r="O86" s="1" t="s">
        <v>133</v>
      </c>
      <c r="P86" s="1" t="s">
        <v>133</v>
      </c>
      <c r="Q86" s="1" t="s">
        <v>133</v>
      </c>
    </row>
    <row r="87" spans="1:17" x14ac:dyDescent="0.25">
      <c r="A87" s="4" t="s">
        <v>134</v>
      </c>
      <c r="B87" t="s">
        <v>134</v>
      </c>
      <c r="C87" t="s">
        <v>134</v>
      </c>
      <c r="D87" s="1" t="s">
        <v>135</v>
      </c>
      <c r="E87" s="1" t="s">
        <v>135</v>
      </c>
      <c r="F87" s="1" t="s">
        <v>135</v>
      </c>
      <c r="G87" s="1" t="s">
        <v>135</v>
      </c>
      <c r="H87" s="1" t="s">
        <v>135</v>
      </c>
      <c r="I87" s="1" t="s">
        <v>135</v>
      </c>
      <c r="J87" s="1" t="s">
        <v>135</v>
      </c>
      <c r="K87" s="1" t="s">
        <v>135</v>
      </c>
      <c r="L87" s="1" t="s">
        <v>135</v>
      </c>
      <c r="M87" s="1" t="s">
        <v>135</v>
      </c>
      <c r="N87" s="1" t="s">
        <v>135</v>
      </c>
      <c r="O87" s="1" t="s">
        <v>135</v>
      </c>
      <c r="P87" s="1" t="s">
        <v>135</v>
      </c>
      <c r="Q87" s="1" t="s">
        <v>135</v>
      </c>
    </row>
    <row r="88" spans="1:17" x14ac:dyDescent="0.25">
      <c r="A88" s="4" t="s">
        <v>136</v>
      </c>
      <c r="B88" t="s">
        <v>136</v>
      </c>
      <c r="C88" t="s">
        <v>136</v>
      </c>
      <c r="D88" s="1" t="s">
        <v>115</v>
      </c>
      <c r="E88" s="1" t="s">
        <v>115</v>
      </c>
      <c r="F88" s="1" t="s">
        <v>115</v>
      </c>
      <c r="G88" s="1" t="s">
        <v>115</v>
      </c>
      <c r="H88" s="1" t="s">
        <v>115</v>
      </c>
      <c r="I88" s="1" t="s">
        <v>115</v>
      </c>
      <c r="J88" s="1" t="s">
        <v>115</v>
      </c>
      <c r="K88" s="1" t="s">
        <v>115</v>
      </c>
      <c r="L88" s="1" t="s">
        <v>115</v>
      </c>
      <c r="M88" s="1" t="s">
        <v>115</v>
      </c>
      <c r="N88" s="1" t="s">
        <v>115</v>
      </c>
      <c r="O88" s="1" t="s">
        <v>115</v>
      </c>
      <c r="P88" s="1" t="s">
        <v>115</v>
      </c>
      <c r="Q88" s="1" t="s">
        <v>115</v>
      </c>
    </row>
    <row r="89" spans="1:17" x14ac:dyDescent="0.25">
      <c r="A89" s="4" t="s">
        <v>137</v>
      </c>
      <c r="B89" t="s">
        <v>137</v>
      </c>
      <c r="C89" t="s">
        <v>137</v>
      </c>
      <c r="E89" s="1"/>
      <c r="F89" s="1"/>
      <c r="G89" s="1"/>
      <c r="H89" s="1"/>
      <c r="I89" s="1"/>
      <c r="J89" s="1"/>
      <c r="K89" s="1"/>
      <c r="L89" s="1"/>
      <c r="M89" s="1"/>
      <c r="N89" s="1"/>
      <c r="O89" s="1"/>
      <c r="P89" s="1"/>
      <c r="Q89" s="1"/>
    </row>
    <row r="90" spans="1:17" x14ac:dyDescent="0.25">
      <c r="A90" s="4" t="s">
        <v>138</v>
      </c>
      <c r="B90" t="s">
        <v>139</v>
      </c>
      <c r="C90" t="s">
        <v>139</v>
      </c>
      <c r="D90" s="1" t="str">
        <f t="shared" ref="D90:Q90" si="7">"&lt;div class=""archive-grid"" id=""weeks-grid"" data-json=""../data/exerzitien/inhalt/"&amp;D2&amp;"_de-inhalt.json""&gt;"</f>
        <v>&lt;div class="archive-grid" id="weeks-grid" data-json="../data/exerzitien/inhalt/2024_ad_de-inhalt.json"&gt;</v>
      </c>
      <c r="E90" s="1" t="str">
        <f t="shared" si="7"/>
        <v>&lt;div class="archive-grid" id="weeks-grid" data-json="../data/exerzitien/inhalt/2024_fs_de-inhalt.json"&gt;</v>
      </c>
      <c r="F90" s="1" t="str">
        <f t="shared" si="7"/>
        <v>&lt;div class="archive-grid" id="weeks-grid" data-json="../data/exerzitien/inhalt/2023_ad_de-inhalt.json"&gt;</v>
      </c>
      <c r="G90" s="1" t="str">
        <f t="shared" si="7"/>
        <v>&lt;div class="archive-grid" id="weeks-grid" data-json="../data/exerzitien/inhalt/2023_fs_de-inhalt.json"&gt;</v>
      </c>
      <c r="H90" s="1" t="str">
        <f t="shared" si="7"/>
        <v>&lt;div class="archive-grid" id="weeks-grid" data-json="../data/exerzitien/inhalt/_de-inhalt.json"&gt;</v>
      </c>
      <c r="I90" s="1" t="str">
        <f t="shared" si="7"/>
        <v>&lt;div class="archive-grid" id="weeks-grid" data-json="../data/exerzitien/inhalt/_de-inhalt.json"&gt;</v>
      </c>
      <c r="J90" s="1" t="str">
        <f t="shared" si="7"/>
        <v>&lt;div class="archive-grid" id="weeks-grid" data-json="../data/exerzitien/inhalt/_de-inhalt.json"&gt;</v>
      </c>
      <c r="K90" s="1" t="str">
        <f t="shared" si="7"/>
        <v>&lt;div class="archive-grid" id="weeks-grid" data-json="../data/exerzitien/inhalt/_de-inhalt.json"&gt;</v>
      </c>
      <c r="L90" s="1" t="str">
        <f t="shared" si="7"/>
        <v>&lt;div class="archive-grid" id="weeks-grid" data-json="../data/exerzitien/inhalt/_de-inhalt.json"&gt;</v>
      </c>
      <c r="M90" s="1" t="str">
        <f t="shared" si="7"/>
        <v>&lt;div class="archive-grid" id="weeks-grid" data-json="../data/exerzitien/inhalt/_de-inhalt.json"&gt;</v>
      </c>
      <c r="N90" s="1" t="str">
        <f t="shared" si="7"/>
        <v>&lt;div class="archive-grid" id="weeks-grid" data-json="../data/exerzitien/inhalt/_de-inhalt.json"&gt;</v>
      </c>
      <c r="O90" s="1" t="str">
        <f t="shared" si="7"/>
        <v>&lt;div class="archive-grid" id="weeks-grid" data-json="../data/exerzitien/inhalt/_de-inhalt.json"&gt;</v>
      </c>
      <c r="P90" s="1" t="str">
        <f t="shared" si="7"/>
        <v>&lt;div class="archive-grid" id="weeks-grid" data-json="../data/exerzitien/inhalt/_de-inhalt.json"&gt;</v>
      </c>
      <c r="Q90" s="1" t="str">
        <f t="shared" si="7"/>
        <v>&lt;div class="archive-grid" id="weeks-grid" data-json="../data/exerzitien/inhalt/_de-inhalt.json"&gt;</v>
      </c>
    </row>
    <row r="91" spans="1:17" x14ac:dyDescent="0.25">
      <c r="A91" s="5"/>
      <c r="D91" s="1" t="s">
        <v>140</v>
      </c>
      <c r="E91" s="1" t="s">
        <v>140</v>
      </c>
      <c r="F91" s="1" t="s">
        <v>140</v>
      </c>
      <c r="G91" s="1" t="s">
        <v>140</v>
      </c>
      <c r="H91" s="1" t="s">
        <v>140</v>
      </c>
      <c r="I91" s="1" t="s">
        <v>140</v>
      </c>
      <c r="J91" s="1" t="s">
        <v>140</v>
      </c>
      <c r="K91" s="1" t="s">
        <v>140</v>
      </c>
      <c r="L91" s="1" t="s">
        <v>140</v>
      </c>
      <c r="M91" s="1" t="s">
        <v>140</v>
      </c>
      <c r="N91" s="1" t="s">
        <v>140</v>
      </c>
      <c r="O91" s="1" t="s">
        <v>140</v>
      </c>
      <c r="P91" s="1" t="s">
        <v>140</v>
      </c>
      <c r="Q91" s="1" t="s">
        <v>140</v>
      </c>
    </row>
    <row r="92" spans="1:17" x14ac:dyDescent="0.25">
      <c r="A92" s="4" t="s">
        <v>141</v>
      </c>
      <c r="B92" t="s">
        <v>142</v>
      </c>
      <c r="C92" t="s">
        <v>142</v>
      </c>
      <c r="D92" s="1" t="s">
        <v>143</v>
      </c>
      <c r="E92" s="1" t="s">
        <v>143</v>
      </c>
      <c r="F92" s="1" t="s">
        <v>143</v>
      </c>
      <c r="G92" s="1" t="s">
        <v>143</v>
      </c>
      <c r="H92" s="1" t="s">
        <v>143</v>
      </c>
      <c r="I92" s="1" t="s">
        <v>143</v>
      </c>
      <c r="J92" s="1" t="s">
        <v>143</v>
      </c>
      <c r="K92" s="1" t="s">
        <v>143</v>
      </c>
      <c r="L92" s="1" t="s">
        <v>143</v>
      </c>
      <c r="M92" s="1" t="s">
        <v>143</v>
      </c>
      <c r="N92" s="1" t="s">
        <v>143</v>
      </c>
      <c r="O92" s="1" t="s">
        <v>143</v>
      </c>
      <c r="P92" s="1" t="s">
        <v>143</v>
      </c>
      <c r="Q92" s="1" t="s">
        <v>143</v>
      </c>
    </row>
    <row r="93" spans="1:17" x14ac:dyDescent="0.25">
      <c r="A93" s="4" t="s">
        <v>144</v>
      </c>
      <c r="B93" t="s">
        <v>145</v>
      </c>
      <c r="C93" t="s">
        <v>145</v>
      </c>
      <c r="D93" s="1" t="s">
        <v>146</v>
      </c>
      <c r="E93" s="1" t="s">
        <v>146</v>
      </c>
      <c r="F93" s="1" t="s">
        <v>146</v>
      </c>
      <c r="G93" s="1" t="s">
        <v>146</v>
      </c>
      <c r="H93" s="1" t="s">
        <v>146</v>
      </c>
      <c r="I93" s="1" t="s">
        <v>146</v>
      </c>
      <c r="J93" s="1" t="s">
        <v>146</v>
      </c>
      <c r="K93" s="1" t="s">
        <v>146</v>
      </c>
      <c r="L93" s="1" t="s">
        <v>146</v>
      </c>
      <c r="M93" s="1" t="s">
        <v>146</v>
      </c>
      <c r="N93" s="1" t="s">
        <v>146</v>
      </c>
      <c r="O93" s="1" t="s">
        <v>146</v>
      </c>
      <c r="P93" s="1" t="s">
        <v>146</v>
      </c>
      <c r="Q93" s="1" t="s">
        <v>146</v>
      </c>
    </row>
    <row r="94" spans="1:17" x14ac:dyDescent="0.25">
      <c r="A94" s="4" t="s">
        <v>147</v>
      </c>
      <c r="B94" t="s">
        <v>148</v>
      </c>
      <c r="C94" t="s">
        <v>148</v>
      </c>
      <c r="D94" s="1" t="s">
        <v>88</v>
      </c>
      <c r="E94" s="1" t="s">
        <v>88</v>
      </c>
      <c r="F94" s="1" t="s">
        <v>88</v>
      </c>
      <c r="G94" s="1" t="s">
        <v>88</v>
      </c>
      <c r="H94" s="1" t="s">
        <v>88</v>
      </c>
      <c r="I94" s="1" t="s">
        <v>88</v>
      </c>
      <c r="J94" s="1" t="s">
        <v>88</v>
      </c>
      <c r="K94" s="1" t="s">
        <v>88</v>
      </c>
      <c r="L94" s="1" t="s">
        <v>88</v>
      </c>
      <c r="M94" s="1" t="s">
        <v>88</v>
      </c>
      <c r="N94" s="1" t="s">
        <v>88</v>
      </c>
      <c r="O94" s="1" t="s">
        <v>88</v>
      </c>
      <c r="P94" s="1" t="s">
        <v>88</v>
      </c>
      <c r="Q94" s="1" t="s">
        <v>88</v>
      </c>
    </row>
    <row r="95" spans="1:17" x14ac:dyDescent="0.25">
      <c r="A95" s="4" t="s">
        <v>78</v>
      </c>
      <c r="B95" t="s">
        <v>79</v>
      </c>
      <c r="C95" t="s">
        <v>79</v>
      </c>
      <c r="D95" s="1" t="s">
        <v>119</v>
      </c>
      <c r="E95" s="1" t="s">
        <v>119</v>
      </c>
      <c r="F95" s="1" t="s">
        <v>119</v>
      </c>
      <c r="G95" s="1" t="s">
        <v>119</v>
      </c>
      <c r="H95" s="1" t="s">
        <v>119</v>
      </c>
      <c r="I95" s="1" t="s">
        <v>119</v>
      </c>
      <c r="J95" s="1" t="s">
        <v>119</v>
      </c>
      <c r="K95" s="1" t="s">
        <v>119</v>
      </c>
      <c r="L95" s="1" t="s">
        <v>119</v>
      </c>
      <c r="M95" s="1" t="s">
        <v>119</v>
      </c>
      <c r="N95" s="1" t="s">
        <v>119</v>
      </c>
      <c r="O95" s="1" t="s">
        <v>119</v>
      </c>
      <c r="P95" s="1" t="s">
        <v>119</v>
      </c>
      <c r="Q95" s="1" t="s">
        <v>119</v>
      </c>
    </row>
    <row r="96" spans="1:17" x14ac:dyDescent="0.25">
      <c r="A96" s="4" t="s">
        <v>149</v>
      </c>
      <c r="B96" t="s">
        <v>150</v>
      </c>
      <c r="C96" t="s">
        <v>150</v>
      </c>
      <c r="D96" s="1" t="s">
        <v>121</v>
      </c>
      <c r="E96" s="1" t="s">
        <v>121</v>
      </c>
      <c r="F96" s="1" t="s">
        <v>121</v>
      </c>
      <c r="G96" s="1" t="s">
        <v>121</v>
      </c>
      <c r="H96" s="1" t="s">
        <v>121</v>
      </c>
      <c r="I96" s="1" t="s">
        <v>121</v>
      </c>
      <c r="J96" s="1" t="s">
        <v>121</v>
      </c>
      <c r="K96" s="1" t="s">
        <v>121</v>
      </c>
      <c r="L96" s="1" t="s">
        <v>121</v>
      </c>
      <c r="M96" s="1" t="s">
        <v>121</v>
      </c>
      <c r="N96" s="1" t="s">
        <v>121</v>
      </c>
      <c r="O96" s="1" t="s">
        <v>121</v>
      </c>
      <c r="P96" s="1" t="s">
        <v>121</v>
      </c>
      <c r="Q96" s="1" t="s">
        <v>121</v>
      </c>
    </row>
    <row r="97" spans="1:17" x14ac:dyDescent="0.25">
      <c r="A97" s="4" t="s">
        <v>151</v>
      </c>
      <c r="B97" t="s">
        <v>152</v>
      </c>
      <c r="C97" t="s">
        <v>152</v>
      </c>
      <c r="D97" s="1" t="s">
        <v>95</v>
      </c>
      <c r="E97" s="1" t="s">
        <v>95</v>
      </c>
      <c r="F97" s="1" t="s">
        <v>95</v>
      </c>
      <c r="G97" s="1" t="s">
        <v>95</v>
      </c>
      <c r="H97" s="1" t="s">
        <v>95</v>
      </c>
      <c r="I97" s="1" t="s">
        <v>95</v>
      </c>
      <c r="J97" s="1" t="s">
        <v>95</v>
      </c>
      <c r="K97" s="1" t="s">
        <v>95</v>
      </c>
      <c r="L97" s="1" t="s">
        <v>95</v>
      </c>
      <c r="M97" s="1" t="s">
        <v>95</v>
      </c>
      <c r="N97" s="1" t="s">
        <v>95</v>
      </c>
      <c r="O97" s="1" t="s">
        <v>95</v>
      </c>
      <c r="P97" s="1" t="s">
        <v>95</v>
      </c>
      <c r="Q97" s="1" t="s">
        <v>95</v>
      </c>
    </row>
    <row r="98" spans="1:17" x14ac:dyDescent="0.25">
      <c r="A98" s="4" t="s">
        <v>153</v>
      </c>
      <c r="B98" t="s">
        <v>154</v>
      </c>
      <c r="C98" t="s">
        <v>154</v>
      </c>
      <c r="D98" s="1" t="s">
        <v>123</v>
      </c>
      <c r="E98" s="1" t="s">
        <v>123</v>
      </c>
      <c r="F98" s="1" t="s">
        <v>123</v>
      </c>
      <c r="G98" s="1" t="s">
        <v>123</v>
      </c>
      <c r="H98" s="1" t="s">
        <v>123</v>
      </c>
      <c r="I98" s="1" t="s">
        <v>123</v>
      </c>
      <c r="J98" s="1" t="s">
        <v>123</v>
      </c>
      <c r="K98" s="1" t="s">
        <v>123</v>
      </c>
      <c r="L98" s="1" t="s">
        <v>123</v>
      </c>
      <c r="M98" s="1" t="s">
        <v>123</v>
      </c>
      <c r="N98" s="1" t="s">
        <v>123</v>
      </c>
      <c r="O98" s="1" t="s">
        <v>123</v>
      </c>
      <c r="P98" s="1" t="s">
        <v>123</v>
      </c>
      <c r="Q98" s="1" t="s">
        <v>123</v>
      </c>
    </row>
    <row r="99" spans="1:17" x14ac:dyDescent="0.25">
      <c r="A99" s="3" t="s">
        <v>155</v>
      </c>
      <c r="B99" t="s">
        <v>156</v>
      </c>
      <c r="C99" t="s">
        <v>156</v>
      </c>
      <c r="D99" s="1" t="s">
        <v>126</v>
      </c>
      <c r="E99" s="1" t="s">
        <v>126</v>
      </c>
      <c r="F99" s="1" t="s">
        <v>126</v>
      </c>
      <c r="G99" s="1" t="s">
        <v>126</v>
      </c>
      <c r="H99" s="1" t="s">
        <v>126</v>
      </c>
      <c r="I99" s="1" t="s">
        <v>126</v>
      </c>
      <c r="J99" s="1" t="s">
        <v>126</v>
      </c>
      <c r="K99" s="1" t="s">
        <v>126</v>
      </c>
      <c r="L99" s="1" t="s">
        <v>126</v>
      </c>
      <c r="M99" s="1" t="s">
        <v>126</v>
      </c>
      <c r="N99" s="1" t="s">
        <v>126</v>
      </c>
      <c r="O99" s="1" t="s">
        <v>126</v>
      </c>
      <c r="P99" s="1" t="s">
        <v>126</v>
      </c>
      <c r="Q99" s="1" t="s">
        <v>126</v>
      </c>
    </row>
    <row r="100" spans="1:17" x14ac:dyDescent="0.25">
      <c r="A100" s="3" t="s">
        <v>157</v>
      </c>
      <c r="B100" t="s">
        <v>158</v>
      </c>
      <c r="C100" t="s">
        <v>158</v>
      </c>
      <c r="D100" s="1" t="s">
        <v>129</v>
      </c>
      <c r="E100" s="1" t="s">
        <v>129</v>
      </c>
      <c r="F100" s="1" t="s">
        <v>129</v>
      </c>
      <c r="G100" s="1" t="s">
        <v>129</v>
      </c>
      <c r="H100" s="1" t="s">
        <v>129</v>
      </c>
      <c r="I100" s="1" t="s">
        <v>129</v>
      </c>
      <c r="J100" s="1" t="s">
        <v>129</v>
      </c>
      <c r="K100" s="1" t="s">
        <v>129</v>
      </c>
      <c r="L100" s="1" t="s">
        <v>129</v>
      </c>
      <c r="M100" s="1" t="s">
        <v>129</v>
      </c>
      <c r="N100" s="1" t="s">
        <v>129</v>
      </c>
      <c r="O100" s="1" t="s">
        <v>129</v>
      </c>
      <c r="P100" s="1" t="s">
        <v>129</v>
      </c>
      <c r="Q100" s="1" t="s">
        <v>129</v>
      </c>
    </row>
    <row r="101" spans="1:17" x14ac:dyDescent="0.25">
      <c r="A101" s="4" t="s">
        <v>159</v>
      </c>
      <c r="B101" t="s">
        <v>160</v>
      </c>
      <c r="C101" t="s">
        <v>160</v>
      </c>
      <c r="D101" s="1" t="s">
        <v>132</v>
      </c>
      <c r="E101" s="1" t="s">
        <v>132</v>
      </c>
      <c r="F101" s="1" t="s">
        <v>132</v>
      </c>
      <c r="G101" s="1" t="s">
        <v>132</v>
      </c>
      <c r="H101" s="1" t="s">
        <v>132</v>
      </c>
      <c r="I101" s="1" t="s">
        <v>132</v>
      </c>
      <c r="J101" s="1" t="s">
        <v>132</v>
      </c>
      <c r="K101" s="1" t="s">
        <v>132</v>
      </c>
      <c r="L101" s="1" t="s">
        <v>132</v>
      </c>
      <c r="M101" s="1" t="s">
        <v>132</v>
      </c>
      <c r="N101" s="1" t="s">
        <v>132</v>
      </c>
      <c r="O101" s="1" t="s">
        <v>132</v>
      </c>
      <c r="P101" s="1" t="s">
        <v>132</v>
      </c>
      <c r="Q101" s="1" t="s">
        <v>132</v>
      </c>
    </row>
    <row r="102" spans="1:17" x14ac:dyDescent="0.25">
      <c r="A102" s="4" t="s">
        <v>161</v>
      </c>
      <c r="B102" t="s">
        <v>162</v>
      </c>
      <c r="C102" t="s">
        <v>162</v>
      </c>
      <c r="D102" s="1" t="s">
        <v>134</v>
      </c>
      <c r="E102" s="1" t="s">
        <v>134</v>
      </c>
      <c r="F102" s="1" t="s">
        <v>134</v>
      </c>
      <c r="G102" s="1" t="s">
        <v>134</v>
      </c>
      <c r="H102" s="1" t="s">
        <v>134</v>
      </c>
      <c r="I102" s="1" t="s">
        <v>134</v>
      </c>
      <c r="J102" s="1" t="s">
        <v>134</v>
      </c>
      <c r="K102" s="1" t="s">
        <v>134</v>
      </c>
      <c r="L102" s="1" t="s">
        <v>134</v>
      </c>
      <c r="M102" s="1" t="s">
        <v>134</v>
      </c>
      <c r="N102" s="1" t="s">
        <v>134</v>
      </c>
      <c r="O102" s="1" t="s">
        <v>134</v>
      </c>
      <c r="P102" s="1" t="s">
        <v>134</v>
      </c>
      <c r="Q102" s="1" t="s">
        <v>134</v>
      </c>
    </row>
    <row r="103" spans="1:17" x14ac:dyDescent="0.25">
      <c r="A103" s="4" t="s">
        <v>163</v>
      </c>
      <c r="B103" t="s">
        <v>164</v>
      </c>
      <c r="C103" t="s">
        <v>164</v>
      </c>
      <c r="D103" s="1" t="s">
        <v>136</v>
      </c>
      <c r="E103" s="1" t="s">
        <v>136</v>
      </c>
      <c r="F103" s="1" t="s">
        <v>136</v>
      </c>
      <c r="G103" s="1" t="s">
        <v>136</v>
      </c>
      <c r="H103" s="1" t="s">
        <v>136</v>
      </c>
      <c r="I103" s="1" t="s">
        <v>136</v>
      </c>
      <c r="J103" s="1" t="s">
        <v>136</v>
      </c>
      <c r="K103" s="1" t="s">
        <v>136</v>
      </c>
      <c r="L103" s="1" t="s">
        <v>136</v>
      </c>
      <c r="M103" s="1" t="s">
        <v>136</v>
      </c>
      <c r="N103" s="1" t="s">
        <v>136</v>
      </c>
      <c r="O103" s="1" t="s">
        <v>136</v>
      </c>
      <c r="P103" s="1" t="s">
        <v>136</v>
      </c>
      <c r="Q103" s="1" t="s">
        <v>136</v>
      </c>
    </row>
    <row r="104" spans="1:17" x14ac:dyDescent="0.25">
      <c r="A104" s="4" t="s">
        <v>165</v>
      </c>
      <c r="B104" t="s">
        <v>166</v>
      </c>
      <c r="C104" t="s">
        <v>166</v>
      </c>
      <c r="D104" s="1" t="s">
        <v>137</v>
      </c>
      <c r="E104" s="1" t="s">
        <v>137</v>
      </c>
      <c r="F104" s="1" t="s">
        <v>137</v>
      </c>
      <c r="G104" s="1" t="s">
        <v>137</v>
      </c>
      <c r="H104" s="1" t="s">
        <v>137</v>
      </c>
      <c r="I104" s="1" t="s">
        <v>137</v>
      </c>
      <c r="J104" s="1" t="s">
        <v>137</v>
      </c>
      <c r="K104" s="1" t="s">
        <v>137</v>
      </c>
      <c r="L104" s="1" t="s">
        <v>137</v>
      </c>
      <c r="M104" s="1" t="s">
        <v>137</v>
      </c>
      <c r="N104" s="1" t="s">
        <v>137</v>
      </c>
      <c r="O104" s="1" t="s">
        <v>137</v>
      </c>
      <c r="P104" s="1" t="s">
        <v>137</v>
      </c>
      <c r="Q104" s="1" t="s">
        <v>137</v>
      </c>
    </row>
    <row r="105" spans="1:17" x14ac:dyDescent="0.25">
      <c r="A105" s="4" t="s">
        <v>167</v>
      </c>
      <c r="B105" t="s">
        <v>168</v>
      </c>
      <c r="C105" t="s">
        <v>168</v>
      </c>
      <c r="D105" s="1" t="s">
        <v>139</v>
      </c>
      <c r="E105" s="1" t="s">
        <v>139</v>
      </c>
      <c r="F105" s="1" t="s">
        <v>139</v>
      </c>
      <c r="G105" s="1" t="s">
        <v>139</v>
      </c>
      <c r="H105" s="1" t="s">
        <v>139</v>
      </c>
      <c r="I105" s="1" t="s">
        <v>139</v>
      </c>
      <c r="J105" s="1" t="s">
        <v>139</v>
      </c>
      <c r="K105" s="1" t="s">
        <v>139</v>
      </c>
      <c r="L105" s="1" t="s">
        <v>139</v>
      </c>
      <c r="M105" s="1" t="s">
        <v>139</v>
      </c>
      <c r="N105" s="1" t="s">
        <v>139</v>
      </c>
      <c r="O105" s="1" t="s">
        <v>139</v>
      </c>
      <c r="P105" s="1" t="s">
        <v>139</v>
      </c>
      <c r="Q105" s="1" t="s">
        <v>139</v>
      </c>
    </row>
    <row r="106" spans="1:17" x14ac:dyDescent="0.25">
      <c r="A106" s="4" t="s">
        <v>169</v>
      </c>
      <c r="B106" t="s">
        <v>170</v>
      </c>
      <c r="C106" t="s">
        <v>170</v>
      </c>
      <c r="E106" s="1"/>
      <c r="F106" s="1"/>
      <c r="G106" s="1"/>
      <c r="H106" s="1"/>
      <c r="I106" s="1"/>
      <c r="J106" s="1"/>
      <c r="K106" s="1"/>
      <c r="L106" s="1"/>
      <c r="M106" s="1"/>
      <c r="N106" s="1"/>
      <c r="O106" s="1"/>
      <c r="P106" s="1"/>
      <c r="Q106" s="1"/>
    </row>
    <row r="107" spans="1:17" x14ac:dyDescent="0.25">
      <c r="A107" s="4" t="s">
        <v>171</v>
      </c>
      <c r="B107" t="s">
        <v>172</v>
      </c>
      <c r="C107" t="s">
        <v>172</v>
      </c>
      <c r="D107" s="1" t="s">
        <v>142</v>
      </c>
      <c r="E107" s="1" t="s">
        <v>142</v>
      </c>
      <c r="F107" s="1" t="s">
        <v>142</v>
      </c>
      <c r="G107" s="1" t="s">
        <v>142</v>
      </c>
      <c r="H107" s="1" t="s">
        <v>142</v>
      </c>
      <c r="I107" s="1" t="s">
        <v>142</v>
      </c>
      <c r="J107" s="1" t="s">
        <v>142</v>
      </c>
      <c r="K107" s="1" t="s">
        <v>142</v>
      </c>
      <c r="L107" s="1" t="s">
        <v>142</v>
      </c>
      <c r="M107" s="1" t="s">
        <v>142</v>
      </c>
      <c r="N107" s="1" t="s">
        <v>142</v>
      </c>
      <c r="O107" s="1" t="s">
        <v>142</v>
      </c>
      <c r="P107" s="1" t="s">
        <v>142</v>
      </c>
      <c r="Q107" s="1" t="s">
        <v>142</v>
      </c>
    </row>
    <row r="108" spans="1:17" x14ac:dyDescent="0.25">
      <c r="A108" s="4" t="s">
        <v>173</v>
      </c>
      <c r="B108" t="s">
        <v>174</v>
      </c>
      <c r="C108" t="s">
        <v>174</v>
      </c>
      <c r="D108" s="1" t="s">
        <v>145</v>
      </c>
      <c r="E108" s="1" t="s">
        <v>145</v>
      </c>
      <c r="F108" s="1" t="s">
        <v>145</v>
      </c>
      <c r="G108" s="1" t="s">
        <v>145</v>
      </c>
      <c r="H108" s="1" t="s">
        <v>145</v>
      </c>
      <c r="I108" s="1" t="s">
        <v>145</v>
      </c>
      <c r="J108" s="1" t="s">
        <v>145</v>
      </c>
      <c r="K108" s="1" t="s">
        <v>145</v>
      </c>
      <c r="L108" s="1" t="s">
        <v>145</v>
      </c>
      <c r="M108" s="1" t="s">
        <v>145</v>
      </c>
      <c r="N108" s="1" t="s">
        <v>145</v>
      </c>
      <c r="O108" s="1" t="s">
        <v>145</v>
      </c>
      <c r="P108" s="1" t="s">
        <v>145</v>
      </c>
      <c r="Q108" s="1" t="s">
        <v>145</v>
      </c>
    </row>
    <row r="109" spans="1:17" x14ac:dyDescent="0.25">
      <c r="A109" s="4" t="s">
        <v>175</v>
      </c>
      <c r="B109" t="s">
        <v>176</v>
      </c>
      <c r="C109" t="s">
        <v>176</v>
      </c>
      <c r="D109" s="1" t="s">
        <v>148</v>
      </c>
      <c r="E109" s="1" t="s">
        <v>148</v>
      </c>
      <c r="F109" s="1" t="s">
        <v>148</v>
      </c>
      <c r="G109" s="1" t="s">
        <v>148</v>
      </c>
      <c r="H109" s="1" t="s">
        <v>148</v>
      </c>
      <c r="I109" s="1" t="s">
        <v>148</v>
      </c>
      <c r="J109" s="1" t="s">
        <v>148</v>
      </c>
      <c r="K109" s="1" t="s">
        <v>148</v>
      </c>
      <c r="L109" s="1" t="s">
        <v>148</v>
      </c>
      <c r="M109" s="1" t="s">
        <v>148</v>
      </c>
      <c r="N109" s="1" t="s">
        <v>148</v>
      </c>
      <c r="O109" s="1" t="s">
        <v>148</v>
      </c>
      <c r="P109" s="1" t="s">
        <v>148</v>
      </c>
      <c r="Q109" s="1" t="s">
        <v>148</v>
      </c>
    </row>
    <row r="110" spans="1:17" x14ac:dyDescent="0.25">
      <c r="A110" s="4" t="s">
        <v>177</v>
      </c>
      <c r="B110" t="s">
        <v>178</v>
      </c>
      <c r="C110" t="s">
        <v>178</v>
      </c>
      <c r="D110" s="1" t="s">
        <v>79</v>
      </c>
      <c r="E110" s="1" t="s">
        <v>79</v>
      </c>
      <c r="F110" s="1" t="s">
        <v>79</v>
      </c>
      <c r="G110" s="1" t="s">
        <v>79</v>
      </c>
      <c r="H110" s="1" t="s">
        <v>79</v>
      </c>
      <c r="I110" s="1" t="s">
        <v>79</v>
      </c>
      <c r="J110" s="1" t="s">
        <v>79</v>
      </c>
      <c r="K110" s="1" t="s">
        <v>79</v>
      </c>
      <c r="L110" s="1" t="s">
        <v>79</v>
      </c>
      <c r="M110" s="1" t="s">
        <v>79</v>
      </c>
      <c r="N110" s="1" t="s">
        <v>79</v>
      </c>
      <c r="O110" s="1" t="s">
        <v>79</v>
      </c>
      <c r="P110" s="1" t="s">
        <v>79</v>
      </c>
      <c r="Q110" s="1" t="s">
        <v>79</v>
      </c>
    </row>
    <row r="111" spans="1:17" x14ac:dyDescent="0.25">
      <c r="A111" s="4" t="s">
        <v>179</v>
      </c>
      <c r="B111" t="s">
        <v>180</v>
      </c>
      <c r="C111" t="s">
        <v>180</v>
      </c>
      <c r="D111" s="1" t="s">
        <v>150</v>
      </c>
      <c r="E111" s="1" t="s">
        <v>150</v>
      </c>
      <c r="F111" s="1" t="s">
        <v>150</v>
      </c>
      <c r="G111" s="1" t="s">
        <v>150</v>
      </c>
      <c r="H111" s="1" t="s">
        <v>150</v>
      </c>
      <c r="I111" s="1" t="s">
        <v>150</v>
      </c>
      <c r="J111" s="1" t="s">
        <v>150</v>
      </c>
      <c r="K111" s="1" t="s">
        <v>150</v>
      </c>
      <c r="L111" s="1" t="s">
        <v>150</v>
      </c>
      <c r="M111" s="1" t="s">
        <v>150</v>
      </c>
      <c r="N111" s="1" t="s">
        <v>150</v>
      </c>
      <c r="O111" s="1" t="s">
        <v>150</v>
      </c>
      <c r="P111" s="1" t="s">
        <v>150</v>
      </c>
      <c r="Q111" s="1" t="s">
        <v>150</v>
      </c>
    </row>
    <row r="112" spans="1:17" x14ac:dyDescent="0.25">
      <c r="A112" s="4" t="s">
        <v>181</v>
      </c>
      <c r="B112" t="s">
        <v>182</v>
      </c>
      <c r="C112" t="s">
        <v>182</v>
      </c>
      <c r="D112" s="1" t="s">
        <v>152</v>
      </c>
      <c r="E112" s="1" t="s">
        <v>152</v>
      </c>
      <c r="F112" s="1" t="s">
        <v>152</v>
      </c>
      <c r="G112" s="1" t="s">
        <v>152</v>
      </c>
      <c r="H112" s="1" t="s">
        <v>152</v>
      </c>
      <c r="I112" s="1" t="s">
        <v>152</v>
      </c>
      <c r="J112" s="1" t="s">
        <v>152</v>
      </c>
      <c r="K112" s="1" t="s">
        <v>152</v>
      </c>
      <c r="L112" s="1" t="s">
        <v>152</v>
      </c>
      <c r="M112" s="1" t="s">
        <v>152</v>
      </c>
      <c r="N112" s="1" t="s">
        <v>152</v>
      </c>
      <c r="O112" s="1" t="s">
        <v>152</v>
      </c>
      <c r="P112" s="1" t="s">
        <v>152</v>
      </c>
      <c r="Q112" s="1" t="s">
        <v>152</v>
      </c>
    </row>
    <row r="113" spans="1:17" x14ac:dyDescent="0.25">
      <c r="A113" s="4" t="s">
        <v>183</v>
      </c>
      <c r="B113" t="s">
        <v>184</v>
      </c>
      <c r="C113" t="s">
        <v>184</v>
      </c>
      <c r="D113" s="1" t="s">
        <v>154</v>
      </c>
      <c r="E113" s="1" t="s">
        <v>154</v>
      </c>
      <c r="F113" s="1" t="s">
        <v>154</v>
      </c>
      <c r="G113" s="1" t="s">
        <v>154</v>
      </c>
      <c r="H113" s="1" t="s">
        <v>154</v>
      </c>
      <c r="I113" s="1" t="s">
        <v>154</v>
      </c>
      <c r="J113" s="1" t="s">
        <v>154</v>
      </c>
      <c r="K113" s="1" t="s">
        <v>154</v>
      </c>
      <c r="L113" s="1" t="s">
        <v>154</v>
      </c>
      <c r="M113" s="1" t="s">
        <v>154</v>
      </c>
      <c r="N113" s="1" t="s">
        <v>154</v>
      </c>
      <c r="O113" s="1" t="s">
        <v>154</v>
      </c>
      <c r="P113" s="1" t="s">
        <v>154</v>
      </c>
      <c r="Q113" s="1" t="s">
        <v>154</v>
      </c>
    </row>
    <row r="114" spans="1:17" x14ac:dyDescent="0.25">
      <c r="A114" s="4" t="s">
        <v>185</v>
      </c>
      <c r="B114" t="s">
        <v>186</v>
      </c>
      <c r="C114" t="s">
        <v>186</v>
      </c>
      <c r="D114" s="1" t="s">
        <v>156</v>
      </c>
      <c r="E114" s="1" t="s">
        <v>156</v>
      </c>
      <c r="F114" s="1" t="s">
        <v>156</v>
      </c>
      <c r="G114" s="1" t="s">
        <v>156</v>
      </c>
      <c r="H114" s="1" t="s">
        <v>156</v>
      </c>
      <c r="I114" s="1" t="s">
        <v>156</v>
      </c>
      <c r="J114" s="1" t="s">
        <v>156</v>
      </c>
      <c r="K114" s="1" t="s">
        <v>156</v>
      </c>
      <c r="L114" s="1" t="s">
        <v>156</v>
      </c>
      <c r="M114" s="1" t="s">
        <v>156</v>
      </c>
      <c r="N114" s="1" t="s">
        <v>156</v>
      </c>
      <c r="O114" s="1" t="s">
        <v>156</v>
      </c>
      <c r="P114" s="1" t="s">
        <v>156</v>
      </c>
      <c r="Q114" s="1" t="s">
        <v>156</v>
      </c>
    </row>
    <row r="115" spans="1:17" x14ac:dyDescent="0.25">
      <c r="A115" s="4" t="s">
        <v>187</v>
      </c>
      <c r="B115" t="s">
        <v>188</v>
      </c>
      <c r="C115" t="s">
        <v>188</v>
      </c>
      <c r="D115" s="1" t="s">
        <v>158</v>
      </c>
      <c r="E115" s="1" t="s">
        <v>158</v>
      </c>
      <c r="F115" s="1" t="s">
        <v>158</v>
      </c>
      <c r="G115" s="1" t="s">
        <v>158</v>
      </c>
      <c r="H115" s="1" t="s">
        <v>158</v>
      </c>
      <c r="I115" s="1" t="s">
        <v>158</v>
      </c>
      <c r="J115" s="1" t="s">
        <v>158</v>
      </c>
      <c r="K115" s="1" t="s">
        <v>158</v>
      </c>
      <c r="L115" s="1" t="s">
        <v>158</v>
      </c>
      <c r="M115" s="1" t="s">
        <v>158</v>
      </c>
      <c r="N115" s="1" t="s">
        <v>158</v>
      </c>
      <c r="O115" s="1" t="s">
        <v>158</v>
      </c>
      <c r="P115" s="1" t="s">
        <v>158</v>
      </c>
      <c r="Q115" s="1" t="s">
        <v>158</v>
      </c>
    </row>
    <row r="116" spans="1:17" x14ac:dyDescent="0.25">
      <c r="A116" s="4" t="s">
        <v>189</v>
      </c>
      <c r="B116" t="s">
        <v>190</v>
      </c>
      <c r="C116" t="s">
        <v>190</v>
      </c>
      <c r="D116" s="1" t="s">
        <v>191</v>
      </c>
      <c r="E116" s="1" t="s">
        <v>191</v>
      </c>
      <c r="F116" s="1" t="s">
        <v>191</v>
      </c>
      <c r="G116" s="1" t="s">
        <v>191</v>
      </c>
      <c r="H116" s="1" t="s">
        <v>191</v>
      </c>
      <c r="I116" s="1" t="s">
        <v>191</v>
      </c>
      <c r="J116" s="1" t="s">
        <v>191</v>
      </c>
      <c r="K116" s="1" t="s">
        <v>191</v>
      </c>
      <c r="L116" s="1" t="s">
        <v>191</v>
      </c>
      <c r="M116" s="1" t="s">
        <v>191</v>
      </c>
      <c r="N116" s="1" t="s">
        <v>191</v>
      </c>
      <c r="O116" s="1" t="s">
        <v>191</v>
      </c>
      <c r="P116" s="1" t="s">
        <v>191</v>
      </c>
      <c r="Q116" s="1" t="s">
        <v>191</v>
      </c>
    </row>
    <row r="117" spans="1:17" x14ac:dyDescent="0.25">
      <c r="A117" s="4" t="s">
        <v>192</v>
      </c>
      <c r="B117" t="s">
        <v>193</v>
      </c>
      <c r="C117" t="s">
        <v>193</v>
      </c>
      <c r="D117" s="1" t="s">
        <v>162</v>
      </c>
      <c r="E117" s="1" t="s">
        <v>162</v>
      </c>
      <c r="F117" s="1" t="s">
        <v>162</v>
      </c>
      <c r="G117" s="1" t="s">
        <v>162</v>
      </c>
      <c r="H117" s="1" t="s">
        <v>162</v>
      </c>
      <c r="I117" s="1" t="s">
        <v>162</v>
      </c>
      <c r="J117" s="1" t="s">
        <v>162</v>
      </c>
      <c r="K117" s="1" t="s">
        <v>162</v>
      </c>
      <c r="L117" s="1" t="s">
        <v>162</v>
      </c>
      <c r="M117" s="1" t="s">
        <v>162</v>
      </c>
      <c r="N117" s="1" t="s">
        <v>162</v>
      </c>
      <c r="O117" s="1" t="s">
        <v>162</v>
      </c>
      <c r="P117" s="1" t="s">
        <v>162</v>
      </c>
      <c r="Q117" s="1" t="s">
        <v>162</v>
      </c>
    </row>
    <row r="118" spans="1:17" x14ac:dyDescent="0.25">
      <c r="A118" s="4" t="s">
        <v>194</v>
      </c>
      <c r="B118" t="s">
        <v>195</v>
      </c>
      <c r="C118" t="s">
        <v>195</v>
      </c>
      <c r="D118" s="1" t="s">
        <v>164</v>
      </c>
      <c r="E118" s="1" t="s">
        <v>164</v>
      </c>
      <c r="F118" s="1" t="s">
        <v>164</v>
      </c>
      <c r="G118" s="1" t="s">
        <v>164</v>
      </c>
      <c r="H118" s="1" t="s">
        <v>164</v>
      </c>
      <c r="I118" s="1" t="s">
        <v>164</v>
      </c>
      <c r="J118" s="1" t="s">
        <v>164</v>
      </c>
      <c r="K118" s="1" t="s">
        <v>164</v>
      </c>
      <c r="L118" s="1" t="s">
        <v>164</v>
      </c>
      <c r="M118" s="1" t="s">
        <v>164</v>
      </c>
      <c r="N118" s="1" t="s">
        <v>164</v>
      </c>
      <c r="O118" s="1" t="s">
        <v>164</v>
      </c>
      <c r="P118" s="1" t="s">
        <v>164</v>
      </c>
      <c r="Q118" s="1" t="s">
        <v>164</v>
      </c>
    </row>
    <row r="119" spans="1:17" x14ac:dyDescent="0.25">
      <c r="A119" s="4" t="s">
        <v>196</v>
      </c>
      <c r="B119" t="s">
        <v>197</v>
      </c>
      <c r="C119" t="s">
        <v>197</v>
      </c>
      <c r="D119" s="1" t="s">
        <v>166</v>
      </c>
      <c r="E119" s="1" t="s">
        <v>166</v>
      </c>
      <c r="F119" s="1" t="s">
        <v>166</v>
      </c>
      <c r="G119" s="1" t="s">
        <v>166</v>
      </c>
      <c r="H119" s="1" t="s">
        <v>166</v>
      </c>
      <c r="I119" s="1" t="s">
        <v>166</v>
      </c>
      <c r="J119" s="1" t="s">
        <v>166</v>
      </c>
      <c r="K119" s="1" t="s">
        <v>166</v>
      </c>
      <c r="L119" s="1" t="s">
        <v>166</v>
      </c>
      <c r="M119" s="1" t="s">
        <v>166</v>
      </c>
      <c r="N119" s="1" t="s">
        <v>166</v>
      </c>
      <c r="O119" s="1" t="s">
        <v>166</v>
      </c>
      <c r="P119" s="1" t="s">
        <v>166</v>
      </c>
      <c r="Q119" s="1" t="s">
        <v>166</v>
      </c>
    </row>
    <row r="120" spans="1:17" x14ac:dyDescent="0.25">
      <c r="A120" s="4" t="s">
        <v>198</v>
      </c>
      <c r="B120" t="s">
        <v>199</v>
      </c>
      <c r="C120" t="s">
        <v>199</v>
      </c>
      <c r="D120" s="1" t="s">
        <v>168</v>
      </c>
      <c r="E120" s="1" t="s">
        <v>168</v>
      </c>
      <c r="F120" s="1" t="s">
        <v>168</v>
      </c>
      <c r="G120" s="1" t="s">
        <v>168</v>
      </c>
      <c r="H120" s="1" t="s">
        <v>168</v>
      </c>
      <c r="I120" s="1" t="s">
        <v>168</v>
      </c>
      <c r="J120" s="1" t="s">
        <v>168</v>
      </c>
      <c r="K120" s="1" t="s">
        <v>168</v>
      </c>
      <c r="L120" s="1" t="s">
        <v>168</v>
      </c>
      <c r="M120" s="1" t="s">
        <v>168</v>
      </c>
      <c r="N120" s="1" t="s">
        <v>168</v>
      </c>
      <c r="O120" s="1" t="s">
        <v>168</v>
      </c>
      <c r="P120" s="1" t="s">
        <v>168</v>
      </c>
      <c r="Q120" s="1" t="s">
        <v>168</v>
      </c>
    </row>
    <row r="121" spans="1:17" x14ac:dyDescent="0.25">
      <c r="A121" s="4" t="s">
        <v>200</v>
      </c>
      <c r="B121" t="s">
        <v>201</v>
      </c>
      <c r="C121" t="s">
        <v>201</v>
      </c>
      <c r="D121" s="1" t="s">
        <v>170</v>
      </c>
      <c r="E121" s="1" t="s">
        <v>170</v>
      </c>
      <c r="F121" s="1" t="s">
        <v>170</v>
      </c>
      <c r="G121" s="1" t="s">
        <v>170</v>
      </c>
      <c r="H121" s="1" t="s">
        <v>170</v>
      </c>
      <c r="I121" s="1" t="s">
        <v>170</v>
      </c>
      <c r="J121" s="1" t="s">
        <v>170</v>
      </c>
      <c r="K121" s="1" t="s">
        <v>170</v>
      </c>
      <c r="L121" s="1" t="s">
        <v>170</v>
      </c>
      <c r="M121" s="1" t="s">
        <v>170</v>
      </c>
      <c r="N121" s="1" t="s">
        <v>170</v>
      </c>
      <c r="O121" s="1" t="s">
        <v>170</v>
      </c>
      <c r="P121" s="1" t="s">
        <v>170</v>
      </c>
      <c r="Q121" s="1" t="s">
        <v>170</v>
      </c>
    </row>
    <row r="122" spans="1:17" x14ac:dyDescent="0.25">
      <c r="A122" s="4" t="s">
        <v>202</v>
      </c>
      <c r="B122" t="s">
        <v>203</v>
      </c>
      <c r="C122" t="s">
        <v>203</v>
      </c>
      <c r="D122" s="1" t="s">
        <v>172</v>
      </c>
      <c r="E122" s="1" t="s">
        <v>172</v>
      </c>
      <c r="F122" s="1" t="s">
        <v>172</v>
      </c>
      <c r="G122" s="1" t="s">
        <v>172</v>
      </c>
      <c r="H122" s="1" t="s">
        <v>172</v>
      </c>
      <c r="I122" s="1" t="s">
        <v>172</v>
      </c>
      <c r="J122" s="1" t="s">
        <v>172</v>
      </c>
      <c r="K122" s="1" t="s">
        <v>172</v>
      </c>
      <c r="L122" s="1" t="s">
        <v>172</v>
      </c>
      <c r="M122" s="1" t="s">
        <v>172</v>
      </c>
      <c r="N122" s="1" t="s">
        <v>172</v>
      </c>
      <c r="O122" s="1" t="s">
        <v>172</v>
      </c>
      <c r="P122" s="1" t="s">
        <v>172</v>
      </c>
      <c r="Q122" s="1" t="s">
        <v>172</v>
      </c>
    </row>
    <row r="123" spans="1:17" x14ac:dyDescent="0.25">
      <c r="A123" s="4" t="s">
        <v>204</v>
      </c>
      <c r="B123" t="s">
        <v>205</v>
      </c>
      <c r="C123" t="s">
        <v>205</v>
      </c>
      <c r="D123" s="1" t="s">
        <v>174</v>
      </c>
      <c r="E123" s="1" t="s">
        <v>174</v>
      </c>
      <c r="F123" s="1" t="s">
        <v>174</v>
      </c>
      <c r="G123" s="1" t="s">
        <v>174</v>
      </c>
      <c r="H123" s="1" t="s">
        <v>174</v>
      </c>
      <c r="I123" s="1" t="s">
        <v>174</v>
      </c>
      <c r="J123" s="1" t="s">
        <v>174</v>
      </c>
      <c r="K123" s="1" t="s">
        <v>174</v>
      </c>
      <c r="L123" s="1" t="s">
        <v>174</v>
      </c>
      <c r="M123" s="1" t="s">
        <v>174</v>
      </c>
      <c r="N123" s="1" t="s">
        <v>174</v>
      </c>
      <c r="O123" s="1" t="s">
        <v>174</v>
      </c>
      <c r="P123" s="1" t="s">
        <v>174</v>
      </c>
      <c r="Q123" s="1" t="s">
        <v>174</v>
      </c>
    </row>
    <row r="124" spans="1:17" x14ac:dyDescent="0.25">
      <c r="A124" s="4" t="s">
        <v>206</v>
      </c>
      <c r="B124" t="s">
        <v>207</v>
      </c>
      <c r="C124" t="s">
        <v>207</v>
      </c>
      <c r="D124" s="1" t="s">
        <v>208</v>
      </c>
      <c r="E124" s="1" t="s">
        <v>208</v>
      </c>
      <c r="F124" s="1" t="s">
        <v>208</v>
      </c>
      <c r="G124" s="1" t="s">
        <v>208</v>
      </c>
      <c r="H124" s="1" t="s">
        <v>208</v>
      </c>
      <c r="I124" s="1" t="s">
        <v>208</v>
      </c>
      <c r="J124" s="1" t="s">
        <v>208</v>
      </c>
      <c r="K124" s="1" t="s">
        <v>208</v>
      </c>
      <c r="L124" s="1" t="s">
        <v>208</v>
      </c>
      <c r="M124" s="1" t="s">
        <v>208</v>
      </c>
      <c r="N124" s="1" t="s">
        <v>208</v>
      </c>
      <c r="O124" s="1" t="s">
        <v>208</v>
      </c>
      <c r="P124" s="1" t="s">
        <v>208</v>
      </c>
      <c r="Q124" s="1" t="s">
        <v>208</v>
      </c>
    </row>
    <row r="125" spans="1:17" x14ac:dyDescent="0.25">
      <c r="A125" s="4" t="s">
        <v>209</v>
      </c>
      <c r="B125" t="s">
        <v>210</v>
      </c>
      <c r="C125" t="s">
        <v>210</v>
      </c>
      <c r="D125" s="1" t="s">
        <v>211</v>
      </c>
      <c r="E125" s="1" t="s">
        <v>211</v>
      </c>
      <c r="F125" s="1" t="s">
        <v>211</v>
      </c>
      <c r="G125" s="1" t="s">
        <v>211</v>
      </c>
      <c r="H125" s="1" t="s">
        <v>211</v>
      </c>
      <c r="I125" s="1" t="s">
        <v>211</v>
      </c>
      <c r="J125" s="1" t="s">
        <v>211</v>
      </c>
      <c r="K125" s="1" t="s">
        <v>211</v>
      </c>
      <c r="L125" s="1" t="s">
        <v>211</v>
      </c>
      <c r="M125" s="1" t="s">
        <v>211</v>
      </c>
      <c r="N125" s="1" t="s">
        <v>211</v>
      </c>
      <c r="O125" s="1" t="s">
        <v>211</v>
      </c>
      <c r="P125" s="1" t="s">
        <v>211</v>
      </c>
      <c r="Q125" s="1" t="s">
        <v>211</v>
      </c>
    </row>
    <row r="126" spans="1:17" x14ac:dyDescent="0.25">
      <c r="A126" s="4" t="s">
        <v>212</v>
      </c>
      <c r="B126" t="s">
        <v>213</v>
      </c>
      <c r="C126" t="s">
        <v>213</v>
      </c>
      <c r="D126" s="1" t="s">
        <v>214</v>
      </c>
      <c r="E126" s="1" t="s">
        <v>214</v>
      </c>
      <c r="F126" s="1" t="s">
        <v>214</v>
      </c>
      <c r="G126" s="1" t="s">
        <v>214</v>
      </c>
      <c r="H126" s="1" t="s">
        <v>214</v>
      </c>
      <c r="I126" s="1" t="s">
        <v>214</v>
      </c>
      <c r="J126" s="1" t="s">
        <v>214</v>
      </c>
      <c r="K126" s="1" t="s">
        <v>214</v>
      </c>
      <c r="L126" s="1" t="s">
        <v>214</v>
      </c>
      <c r="M126" s="1" t="s">
        <v>214</v>
      </c>
      <c r="N126" s="1" t="s">
        <v>214</v>
      </c>
      <c r="O126" s="1" t="s">
        <v>214</v>
      </c>
      <c r="P126" s="1" t="s">
        <v>214</v>
      </c>
      <c r="Q126" s="1" t="s">
        <v>214</v>
      </c>
    </row>
    <row r="127" spans="1:17" x14ac:dyDescent="0.25">
      <c r="A127" s="4" t="s">
        <v>215</v>
      </c>
      <c r="B127" t="s">
        <v>216</v>
      </c>
      <c r="C127" t="s">
        <v>216</v>
      </c>
      <c r="D127" s="1" t="s">
        <v>217</v>
      </c>
      <c r="E127" s="1" t="s">
        <v>217</v>
      </c>
      <c r="F127" s="1" t="s">
        <v>217</v>
      </c>
      <c r="G127" s="1" t="s">
        <v>217</v>
      </c>
      <c r="H127" s="1" t="s">
        <v>217</v>
      </c>
      <c r="I127" s="1" t="s">
        <v>217</v>
      </c>
      <c r="J127" s="1" t="s">
        <v>217</v>
      </c>
      <c r="K127" s="1" t="s">
        <v>217</v>
      </c>
      <c r="L127" s="1" t="s">
        <v>217</v>
      </c>
      <c r="M127" s="1" t="s">
        <v>217</v>
      </c>
      <c r="N127" s="1" t="s">
        <v>217</v>
      </c>
      <c r="O127" s="1" t="s">
        <v>217</v>
      </c>
      <c r="P127" s="1" t="s">
        <v>217</v>
      </c>
      <c r="Q127" s="1" t="s">
        <v>217</v>
      </c>
    </row>
    <row r="128" spans="1:17" x14ac:dyDescent="0.25">
      <c r="A128" s="4" t="s">
        <v>218</v>
      </c>
      <c r="B128" t="s">
        <v>219</v>
      </c>
      <c r="C128" t="s">
        <v>219</v>
      </c>
      <c r="D128" s="1" t="s">
        <v>220</v>
      </c>
      <c r="E128" s="1" t="s">
        <v>220</v>
      </c>
      <c r="F128" s="1" t="s">
        <v>220</v>
      </c>
      <c r="G128" s="1" t="s">
        <v>220</v>
      </c>
      <c r="H128" s="1" t="s">
        <v>220</v>
      </c>
      <c r="I128" s="1" t="s">
        <v>220</v>
      </c>
      <c r="J128" s="1" t="s">
        <v>220</v>
      </c>
      <c r="K128" s="1" t="s">
        <v>220</v>
      </c>
      <c r="L128" s="1" t="s">
        <v>220</v>
      </c>
      <c r="M128" s="1" t="s">
        <v>220</v>
      </c>
      <c r="N128" s="1" t="s">
        <v>220</v>
      </c>
      <c r="O128" s="1" t="s">
        <v>220</v>
      </c>
      <c r="P128" s="1" t="s">
        <v>220</v>
      </c>
      <c r="Q128" s="1" t="s">
        <v>220</v>
      </c>
    </row>
    <row r="129" spans="1:17" x14ac:dyDescent="0.25">
      <c r="A129" s="4" t="s">
        <v>221</v>
      </c>
      <c r="B129" t="s">
        <v>222</v>
      </c>
      <c r="C129" t="s">
        <v>222</v>
      </c>
      <c r="D129" s="1" t="s">
        <v>223</v>
      </c>
      <c r="E129" s="1" t="s">
        <v>223</v>
      </c>
      <c r="F129" s="1" t="s">
        <v>223</v>
      </c>
      <c r="G129" s="1" t="s">
        <v>223</v>
      </c>
      <c r="H129" s="1" t="s">
        <v>223</v>
      </c>
      <c r="I129" s="1" t="s">
        <v>223</v>
      </c>
      <c r="J129" s="1" t="s">
        <v>223</v>
      </c>
      <c r="K129" s="1" t="s">
        <v>223</v>
      </c>
      <c r="L129" s="1" t="s">
        <v>223</v>
      </c>
      <c r="M129" s="1" t="s">
        <v>223</v>
      </c>
      <c r="N129" s="1" t="s">
        <v>223</v>
      </c>
      <c r="O129" s="1" t="s">
        <v>223</v>
      </c>
      <c r="P129" s="1" t="s">
        <v>223</v>
      </c>
      <c r="Q129" s="1" t="s">
        <v>223</v>
      </c>
    </row>
    <row r="130" spans="1:17" x14ac:dyDescent="0.25">
      <c r="A130" s="4" t="s">
        <v>224</v>
      </c>
      <c r="B130" t="s">
        <v>225</v>
      </c>
      <c r="C130" t="s">
        <v>225</v>
      </c>
      <c r="D130" s="1" t="s">
        <v>226</v>
      </c>
      <c r="E130" s="1" t="s">
        <v>226</v>
      </c>
      <c r="F130" s="1" t="s">
        <v>226</v>
      </c>
      <c r="G130" s="1" t="s">
        <v>226</v>
      </c>
      <c r="H130" s="1" t="s">
        <v>226</v>
      </c>
      <c r="I130" s="1" t="s">
        <v>226</v>
      </c>
      <c r="J130" s="1" t="s">
        <v>226</v>
      </c>
      <c r="K130" s="1" t="s">
        <v>226</v>
      </c>
      <c r="L130" s="1" t="s">
        <v>226</v>
      </c>
      <c r="M130" s="1" t="s">
        <v>226</v>
      </c>
      <c r="N130" s="1" t="s">
        <v>226</v>
      </c>
      <c r="O130" s="1" t="s">
        <v>226</v>
      </c>
      <c r="P130" s="1" t="s">
        <v>226</v>
      </c>
      <c r="Q130" s="1" t="s">
        <v>226</v>
      </c>
    </row>
    <row r="131" spans="1:17" x14ac:dyDescent="0.25">
      <c r="A131" s="8" t="s">
        <v>227</v>
      </c>
      <c r="B131" t="s">
        <v>227</v>
      </c>
      <c r="C131" t="s">
        <v>227</v>
      </c>
      <c r="D131" s="1" t="s">
        <v>228</v>
      </c>
      <c r="E131" s="1" t="s">
        <v>228</v>
      </c>
      <c r="F131" s="1" t="s">
        <v>228</v>
      </c>
      <c r="G131" s="1" t="s">
        <v>228</v>
      </c>
      <c r="H131" s="1" t="s">
        <v>228</v>
      </c>
      <c r="I131" s="1" t="s">
        <v>228</v>
      </c>
      <c r="J131" s="1" t="s">
        <v>228</v>
      </c>
      <c r="K131" s="1" t="s">
        <v>228</v>
      </c>
      <c r="L131" s="1" t="s">
        <v>228</v>
      </c>
      <c r="M131" s="1" t="s">
        <v>228</v>
      </c>
      <c r="N131" s="1" t="s">
        <v>228</v>
      </c>
      <c r="O131" s="1" t="s">
        <v>228</v>
      </c>
      <c r="P131" s="1" t="s">
        <v>228</v>
      </c>
      <c r="Q131" s="1" t="s">
        <v>228</v>
      </c>
    </row>
    <row r="132" spans="1:17" x14ac:dyDescent="0.25">
      <c r="A132" s="8" t="s">
        <v>229</v>
      </c>
      <c r="B132" t="s">
        <v>229</v>
      </c>
      <c r="C132" t="s">
        <v>229</v>
      </c>
      <c r="D132" s="1" t="s">
        <v>230</v>
      </c>
      <c r="E132" s="1" t="s">
        <v>230</v>
      </c>
      <c r="F132" s="1" t="s">
        <v>230</v>
      </c>
      <c r="G132" s="1" t="s">
        <v>230</v>
      </c>
      <c r="H132" s="1" t="s">
        <v>230</v>
      </c>
      <c r="I132" s="1" t="s">
        <v>230</v>
      </c>
      <c r="J132" s="1" t="s">
        <v>230</v>
      </c>
      <c r="K132" s="1" t="s">
        <v>230</v>
      </c>
      <c r="L132" s="1" t="s">
        <v>230</v>
      </c>
      <c r="M132" s="1" t="s">
        <v>230</v>
      </c>
      <c r="N132" s="1" t="s">
        <v>230</v>
      </c>
      <c r="O132" s="1" t="s">
        <v>230</v>
      </c>
      <c r="P132" s="1" t="s">
        <v>230</v>
      </c>
      <c r="Q132" s="1" t="s">
        <v>230</v>
      </c>
    </row>
    <row r="133" spans="1:17" x14ac:dyDescent="0.25">
      <c r="A133" s="8" t="s">
        <v>231</v>
      </c>
      <c r="B133" t="s">
        <v>231</v>
      </c>
      <c r="C133" t="s">
        <v>231</v>
      </c>
      <c r="D133" s="1" t="s">
        <v>232</v>
      </c>
      <c r="E133" s="1" t="s">
        <v>232</v>
      </c>
      <c r="F133" s="1" t="s">
        <v>232</v>
      </c>
      <c r="G133" s="1" t="s">
        <v>232</v>
      </c>
      <c r="H133" s="1" t="s">
        <v>232</v>
      </c>
      <c r="I133" s="1" t="s">
        <v>232</v>
      </c>
      <c r="J133" s="1" t="s">
        <v>232</v>
      </c>
      <c r="K133" s="1" t="s">
        <v>232</v>
      </c>
      <c r="L133" s="1" t="s">
        <v>232</v>
      </c>
      <c r="M133" s="1" t="s">
        <v>232</v>
      </c>
      <c r="N133" s="1" t="s">
        <v>232</v>
      </c>
      <c r="O133" s="1" t="s">
        <v>232</v>
      </c>
      <c r="P133" s="1" t="s">
        <v>232</v>
      </c>
      <c r="Q133" s="1" t="s">
        <v>232</v>
      </c>
    </row>
    <row r="134" spans="1:17" x14ac:dyDescent="0.25">
      <c r="A134" s="4" t="s">
        <v>196</v>
      </c>
      <c r="B134" t="s">
        <v>197</v>
      </c>
      <c r="C134" t="s">
        <v>197</v>
      </c>
      <c r="D134" s="1" t="s">
        <v>233</v>
      </c>
      <c r="E134" s="1" t="s">
        <v>233</v>
      </c>
      <c r="F134" s="1" t="s">
        <v>233</v>
      </c>
      <c r="G134" s="1" t="s">
        <v>233</v>
      </c>
      <c r="H134" s="1" t="s">
        <v>233</v>
      </c>
      <c r="I134" s="1" t="s">
        <v>233</v>
      </c>
      <c r="J134" s="1" t="s">
        <v>233</v>
      </c>
      <c r="K134" s="1" t="s">
        <v>233</v>
      </c>
      <c r="L134" s="1" t="s">
        <v>233</v>
      </c>
      <c r="M134" s="1" t="s">
        <v>233</v>
      </c>
      <c r="N134" s="1" t="s">
        <v>233</v>
      </c>
      <c r="O134" s="1" t="s">
        <v>233</v>
      </c>
      <c r="P134" s="1" t="s">
        <v>233</v>
      </c>
      <c r="Q134" s="1" t="s">
        <v>233</v>
      </c>
    </row>
    <row r="135" spans="1:17" x14ac:dyDescent="0.25">
      <c r="A135" s="4" t="s">
        <v>234</v>
      </c>
      <c r="B135" t="s">
        <v>235</v>
      </c>
      <c r="C135" t="s">
        <v>235</v>
      </c>
      <c r="D135" s="1" t="s">
        <v>236</v>
      </c>
      <c r="E135" s="1" t="s">
        <v>236</v>
      </c>
      <c r="F135" s="1" t="s">
        <v>236</v>
      </c>
      <c r="G135" s="1" t="s">
        <v>236</v>
      </c>
      <c r="H135" s="1" t="s">
        <v>236</v>
      </c>
      <c r="I135" s="1" t="s">
        <v>236</v>
      </c>
      <c r="J135" s="1" t="s">
        <v>236</v>
      </c>
      <c r="K135" s="1" t="s">
        <v>236</v>
      </c>
      <c r="L135" s="1" t="s">
        <v>236</v>
      </c>
      <c r="M135" s="1" t="s">
        <v>236</v>
      </c>
      <c r="N135" s="1" t="s">
        <v>236</v>
      </c>
      <c r="O135" s="1" t="s">
        <v>236</v>
      </c>
      <c r="P135" s="1" t="s">
        <v>236</v>
      </c>
      <c r="Q135" s="1" t="s">
        <v>236</v>
      </c>
    </row>
    <row r="136" spans="1:17" x14ac:dyDescent="0.25">
      <c r="A136" s="4" t="s">
        <v>237</v>
      </c>
      <c r="B136" t="s">
        <v>238</v>
      </c>
      <c r="C136" t="s">
        <v>238</v>
      </c>
      <c r="D136" s="1" t="s">
        <v>239</v>
      </c>
      <c r="E136" s="1" t="s">
        <v>239</v>
      </c>
      <c r="F136" s="1" t="s">
        <v>239</v>
      </c>
      <c r="G136" s="1" t="s">
        <v>239</v>
      </c>
      <c r="H136" s="1" t="s">
        <v>239</v>
      </c>
      <c r="I136" s="1" t="s">
        <v>239</v>
      </c>
      <c r="J136" s="1" t="s">
        <v>239</v>
      </c>
      <c r="K136" s="1" t="s">
        <v>239</v>
      </c>
      <c r="L136" s="1" t="s">
        <v>239</v>
      </c>
      <c r="M136" s="1" t="s">
        <v>239</v>
      </c>
      <c r="N136" s="1" t="s">
        <v>239</v>
      </c>
      <c r="O136" s="1" t="s">
        <v>239</v>
      </c>
      <c r="P136" s="1" t="s">
        <v>239</v>
      </c>
      <c r="Q136" s="1" t="s">
        <v>239</v>
      </c>
    </row>
    <row r="137" spans="1:17" x14ac:dyDescent="0.25">
      <c r="A137" s="4" t="s">
        <v>240</v>
      </c>
      <c r="B137" t="s">
        <v>241</v>
      </c>
      <c r="C137" t="s">
        <v>241</v>
      </c>
      <c r="D137" s="1" t="s">
        <v>242</v>
      </c>
      <c r="E137" s="1" t="s">
        <v>242</v>
      </c>
      <c r="F137" s="1" t="s">
        <v>242</v>
      </c>
      <c r="G137" s="1" t="s">
        <v>242</v>
      </c>
      <c r="H137" s="1" t="s">
        <v>242</v>
      </c>
      <c r="I137" s="1" t="s">
        <v>242</v>
      </c>
      <c r="J137" s="1" t="s">
        <v>242</v>
      </c>
      <c r="K137" s="1" t="s">
        <v>242</v>
      </c>
      <c r="L137" s="1" t="s">
        <v>242</v>
      </c>
      <c r="M137" s="1" t="s">
        <v>242</v>
      </c>
      <c r="N137" s="1" t="s">
        <v>242</v>
      </c>
      <c r="O137" s="1" t="s">
        <v>242</v>
      </c>
      <c r="P137" s="1" t="s">
        <v>242</v>
      </c>
      <c r="Q137" s="1" t="s">
        <v>242</v>
      </c>
    </row>
    <row r="138" spans="1:17" x14ac:dyDescent="0.25">
      <c r="A138" s="4" t="s">
        <v>243</v>
      </c>
      <c r="B138" t="s">
        <v>211</v>
      </c>
      <c r="C138" t="s">
        <v>211</v>
      </c>
      <c r="D138" s="1" t="s">
        <v>244</v>
      </c>
      <c r="E138" s="1" t="s">
        <v>244</v>
      </c>
      <c r="F138" s="1" t="s">
        <v>244</v>
      </c>
      <c r="G138" s="1" t="s">
        <v>244</v>
      </c>
      <c r="H138" s="1" t="s">
        <v>244</v>
      </c>
      <c r="I138" s="1" t="s">
        <v>244</v>
      </c>
      <c r="J138" s="1" t="s">
        <v>244</v>
      </c>
      <c r="K138" s="1" t="s">
        <v>244</v>
      </c>
      <c r="L138" s="1" t="s">
        <v>244</v>
      </c>
      <c r="M138" s="1" t="s">
        <v>244</v>
      </c>
      <c r="N138" s="1" t="s">
        <v>244</v>
      </c>
      <c r="O138" s="1" t="s">
        <v>244</v>
      </c>
      <c r="P138" s="1" t="s">
        <v>244</v>
      </c>
      <c r="Q138" s="1" t="s">
        <v>244</v>
      </c>
    </row>
    <row r="139" spans="1:17" x14ac:dyDescent="0.25">
      <c r="A139" s="4" t="s">
        <v>245</v>
      </c>
      <c r="B139" t="s">
        <v>214</v>
      </c>
      <c r="C139" t="s">
        <v>214</v>
      </c>
      <c r="D139" s="1" t="s">
        <v>246</v>
      </c>
      <c r="E139" s="1" t="s">
        <v>246</v>
      </c>
      <c r="F139" s="1" t="s">
        <v>246</v>
      </c>
      <c r="G139" s="1" t="s">
        <v>246</v>
      </c>
      <c r="H139" s="1" t="s">
        <v>246</v>
      </c>
      <c r="I139" s="1" t="s">
        <v>246</v>
      </c>
      <c r="J139" s="1" t="s">
        <v>246</v>
      </c>
      <c r="K139" s="1" t="s">
        <v>246</v>
      </c>
      <c r="L139" s="1" t="s">
        <v>246</v>
      </c>
      <c r="M139" s="1" t="s">
        <v>246</v>
      </c>
      <c r="N139" s="1" t="s">
        <v>246</v>
      </c>
      <c r="O139" s="1" t="s">
        <v>246</v>
      </c>
      <c r="P139" s="1" t="s">
        <v>246</v>
      </c>
      <c r="Q139" s="1" t="s">
        <v>246</v>
      </c>
    </row>
    <row r="140" spans="1:17" x14ac:dyDescent="0.25">
      <c r="A140" s="4" t="s">
        <v>247</v>
      </c>
      <c r="B140" t="s">
        <v>217</v>
      </c>
      <c r="C140" t="s">
        <v>217</v>
      </c>
      <c r="D140" s="1" t="s">
        <v>248</v>
      </c>
      <c r="E140" s="1" t="s">
        <v>248</v>
      </c>
      <c r="F140" s="1" t="s">
        <v>248</v>
      </c>
      <c r="G140" s="1" t="s">
        <v>248</v>
      </c>
      <c r="H140" s="1" t="s">
        <v>248</v>
      </c>
      <c r="I140" s="1" t="s">
        <v>248</v>
      </c>
      <c r="J140" s="1" t="s">
        <v>248</v>
      </c>
      <c r="K140" s="1" t="s">
        <v>248</v>
      </c>
      <c r="L140" s="1" t="s">
        <v>248</v>
      </c>
      <c r="M140" s="1" t="s">
        <v>248</v>
      </c>
      <c r="N140" s="1" t="s">
        <v>248</v>
      </c>
      <c r="O140" s="1" t="s">
        <v>248</v>
      </c>
      <c r="P140" s="1" t="s">
        <v>248</v>
      </c>
      <c r="Q140" s="1" t="s">
        <v>248</v>
      </c>
    </row>
    <row r="141" spans="1:17" x14ac:dyDescent="0.25">
      <c r="A141" s="4" t="s">
        <v>249</v>
      </c>
      <c r="B141" t="s">
        <v>220</v>
      </c>
      <c r="C141" t="s">
        <v>220</v>
      </c>
      <c r="D141" s="1" t="s">
        <v>250</v>
      </c>
      <c r="E141" s="1" t="s">
        <v>250</v>
      </c>
      <c r="F141" s="1" t="s">
        <v>250</v>
      </c>
      <c r="G141" s="1" t="s">
        <v>250</v>
      </c>
      <c r="H141" s="1" t="s">
        <v>250</v>
      </c>
      <c r="I141" s="1" t="s">
        <v>250</v>
      </c>
      <c r="J141" s="1" t="s">
        <v>250</v>
      </c>
      <c r="K141" s="1" t="s">
        <v>250</v>
      </c>
      <c r="L141" s="1" t="s">
        <v>250</v>
      </c>
      <c r="M141" s="1" t="s">
        <v>250</v>
      </c>
      <c r="N141" s="1" t="s">
        <v>250</v>
      </c>
      <c r="O141" s="1" t="s">
        <v>250</v>
      </c>
      <c r="P141" s="1" t="s">
        <v>250</v>
      </c>
      <c r="Q141" s="1" t="s">
        <v>250</v>
      </c>
    </row>
    <row r="142" spans="1:17" x14ac:dyDescent="0.25">
      <c r="A142" s="4" t="s">
        <v>251</v>
      </c>
      <c r="B142" t="s">
        <v>223</v>
      </c>
      <c r="C142" t="s">
        <v>223</v>
      </c>
      <c r="D142" s="1" t="s">
        <v>176</v>
      </c>
      <c r="E142" s="1" t="s">
        <v>176</v>
      </c>
      <c r="F142" s="1" t="s">
        <v>176</v>
      </c>
      <c r="G142" s="1" t="s">
        <v>176</v>
      </c>
      <c r="H142" s="1" t="s">
        <v>176</v>
      </c>
      <c r="I142" s="1" t="s">
        <v>176</v>
      </c>
      <c r="J142" s="1" t="s">
        <v>176</v>
      </c>
      <c r="K142" s="1" t="s">
        <v>176</v>
      </c>
      <c r="L142" s="1" t="s">
        <v>176</v>
      </c>
      <c r="M142" s="1" t="s">
        <v>176</v>
      </c>
      <c r="N142" s="1" t="s">
        <v>176</v>
      </c>
      <c r="O142" s="1" t="s">
        <v>176</v>
      </c>
      <c r="P142" s="1" t="s">
        <v>176</v>
      </c>
      <c r="Q142" s="1" t="s">
        <v>176</v>
      </c>
    </row>
    <row r="143" spans="1:17" x14ac:dyDescent="0.25">
      <c r="A143" s="4" t="s">
        <v>252</v>
      </c>
      <c r="B143" t="s">
        <v>226</v>
      </c>
      <c r="C143" t="s">
        <v>226</v>
      </c>
      <c r="D143" s="1" t="s">
        <v>253</v>
      </c>
      <c r="E143" s="1" t="s">
        <v>253</v>
      </c>
      <c r="F143" s="1" t="s">
        <v>253</v>
      </c>
      <c r="G143" s="1" t="s">
        <v>253</v>
      </c>
      <c r="H143" s="1" t="s">
        <v>253</v>
      </c>
      <c r="I143" s="1" t="s">
        <v>253</v>
      </c>
      <c r="J143" s="1" t="s">
        <v>253</v>
      </c>
      <c r="K143" s="1" t="s">
        <v>253</v>
      </c>
      <c r="L143" s="1" t="s">
        <v>253</v>
      </c>
      <c r="M143" s="1" t="s">
        <v>253</v>
      </c>
      <c r="N143" s="1" t="s">
        <v>253</v>
      </c>
      <c r="O143" s="1" t="s">
        <v>253</v>
      </c>
      <c r="P143" s="1" t="s">
        <v>253</v>
      </c>
      <c r="Q143" s="1" t="s">
        <v>253</v>
      </c>
    </row>
    <row r="144" spans="1:17" x14ac:dyDescent="0.25">
      <c r="A144" s="4" t="s">
        <v>254</v>
      </c>
      <c r="B144" t="s">
        <v>228</v>
      </c>
      <c r="C144" t="s">
        <v>228</v>
      </c>
      <c r="D144" s="1" t="s">
        <v>255</v>
      </c>
      <c r="E144" s="1" t="s">
        <v>255</v>
      </c>
      <c r="F144" s="1" t="s">
        <v>255</v>
      </c>
      <c r="G144" s="1" t="s">
        <v>255</v>
      </c>
      <c r="H144" s="1" t="s">
        <v>255</v>
      </c>
      <c r="I144" s="1" t="s">
        <v>255</v>
      </c>
      <c r="J144" s="1" t="s">
        <v>255</v>
      </c>
      <c r="K144" s="1" t="s">
        <v>255</v>
      </c>
      <c r="L144" s="1" t="s">
        <v>255</v>
      </c>
      <c r="M144" s="1" t="s">
        <v>255</v>
      </c>
      <c r="N144" s="1" t="s">
        <v>255</v>
      </c>
      <c r="O144" s="1" t="s">
        <v>255</v>
      </c>
      <c r="P144" s="1" t="s">
        <v>255</v>
      </c>
      <c r="Q144" s="1" t="s">
        <v>255</v>
      </c>
    </row>
    <row r="145" spans="1:17" x14ac:dyDescent="0.25">
      <c r="A145" s="4" t="s">
        <v>256</v>
      </c>
      <c r="B145" t="s">
        <v>230</v>
      </c>
      <c r="C145" t="s">
        <v>230</v>
      </c>
      <c r="D145" s="1" t="s">
        <v>180</v>
      </c>
      <c r="E145" s="1" t="s">
        <v>180</v>
      </c>
      <c r="F145" s="1" t="s">
        <v>180</v>
      </c>
      <c r="G145" s="1" t="s">
        <v>180</v>
      </c>
      <c r="H145" s="1" t="s">
        <v>180</v>
      </c>
      <c r="I145" s="1" t="s">
        <v>180</v>
      </c>
      <c r="J145" s="1" t="s">
        <v>180</v>
      </c>
      <c r="K145" s="1" t="s">
        <v>180</v>
      </c>
      <c r="L145" s="1" t="s">
        <v>180</v>
      </c>
      <c r="M145" s="1" t="s">
        <v>180</v>
      </c>
      <c r="N145" s="1" t="s">
        <v>180</v>
      </c>
      <c r="O145" s="1" t="s">
        <v>180</v>
      </c>
      <c r="P145" s="1" t="s">
        <v>180</v>
      </c>
      <c r="Q145" s="1" t="s">
        <v>180</v>
      </c>
    </row>
    <row r="146" spans="1:17" x14ac:dyDescent="0.25">
      <c r="A146" s="4" t="s">
        <v>257</v>
      </c>
      <c r="B146" t="s">
        <v>232</v>
      </c>
      <c r="C146" t="s">
        <v>232</v>
      </c>
      <c r="D146" s="1" t="s">
        <v>182</v>
      </c>
      <c r="E146" s="1" t="s">
        <v>182</v>
      </c>
      <c r="F146" s="1" t="s">
        <v>182</v>
      </c>
      <c r="G146" s="1" t="s">
        <v>182</v>
      </c>
      <c r="H146" s="1" t="s">
        <v>182</v>
      </c>
      <c r="I146" s="1" t="s">
        <v>182</v>
      </c>
      <c r="J146" s="1" t="s">
        <v>182</v>
      </c>
      <c r="K146" s="1" t="s">
        <v>182</v>
      </c>
      <c r="L146" s="1" t="s">
        <v>182</v>
      </c>
      <c r="M146" s="1" t="s">
        <v>182</v>
      </c>
      <c r="N146" s="1" t="s">
        <v>182</v>
      </c>
      <c r="O146" s="1" t="s">
        <v>182</v>
      </c>
      <c r="P146" s="1" t="s">
        <v>182</v>
      </c>
      <c r="Q146" s="1" t="s">
        <v>182</v>
      </c>
    </row>
    <row r="147" spans="1:17" x14ac:dyDescent="0.25">
      <c r="A147" s="4" t="s">
        <v>258</v>
      </c>
      <c r="B147" t="s">
        <v>233</v>
      </c>
      <c r="C147" t="s">
        <v>233</v>
      </c>
      <c r="D147" s="1" t="s">
        <v>259</v>
      </c>
      <c r="E147" s="1" t="s">
        <v>259</v>
      </c>
      <c r="F147" s="1" t="s">
        <v>259</v>
      </c>
      <c r="G147" s="1" t="s">
        <v>259</v>
      </c>
      <c r="H147" s="1" t="s">
        <v>259</v>
      </c>
      <c r="I147" s="1" t="s">
        <v>259</v>
      </c>
      <c r="J147" s="1" t="s">
        <v>259</v>
      </c>
      <c r="K147" s="1" t="s">
        <v>259</v>
      </c>
      <c r="L147" s="1" t="s">
        <v>259</v>
      </c>
      <c r="M147" s="1" t="s">
        <v>259</v>
      </c>
      <c r="N147" s="1" t="s">
        <v>259</v>
      </c>
      <c r="O147" s="1" t="s">
        <v>259</v>
      </c>
      <c r="P147" s="1" t="s">
        <v>259</v>
      </c>
      <c r="Q147" s="1" t="s">
        <v>259</v>
      </c>
    </row>
    <row r="148" spans="1:17" x14ac:dyDescent="0.25">
      <c r="A148" s="4" t="s">
        <v>260</v>
      </c>
      <c r="B148" t="s">
        <v>236</v>
      </c>
      <c r="C148" t="s">
        <v>236</v>
      </c>
      <c r="D148" s="1" t="s">
        <v>186</v>
      </c>
      <c r="E148" s="1" t="s">
        <v>186</v>
      </c>
      <c r="F148" s="1" t="s">
        <v>186</v>
      </c>
      <c r="G148" s="1" t="s">
        <v>186</v>
      </c>
      <c r="H148" s="1" t="s">
        <v>186</v>
      </c>
      <c r="I148" s="1" t="s">
        <v>186</v>
      </c>
      <c r="J148" s="1" t="s">
        <v>186</v>
      </c>
      <c r="K148" s="1" t="s">
        <v>186</v>
      </c>
      <c r="L148" s="1" t="s">
        <v>186</v>
      </c>
      <c r="M148" s="1" t="s">
        <v>186</v>
      </c>
      <c r="N148" s="1" t="s">
        <v>186</v>
      </c>
      <c r="O148" s="1" t="s">
        <v>186</v>
      </c>
      <c r="P148" s="1" t="s">
        <v>186</v>
      </c>
      <c r="Q148" s="1" t="s">
        <v>186</v>
      </c>
    </row>
    <row r="149" spans="1:17" x14ac:dyDescent="0.25">
      <c r="A149" s="4" t="s">
        <v>261</v>
      </c>
      <c r="B149" t="s">
        <v>262</v>
      </c>
      <c r="C149" t="s">
        <v>262</v>
      </c>
      <c r="D149" s="1" t="s">
        <v>188</v>
      </c>
      <c r="E149" s="1" t="s">
        <v>188</v>
      </c>
      <c r="F149" s="1" t="s">
        <v>188</v>
      </c>
      <c r="G149" s="1" t="s">
        <v>188</v>
      </c>
      <c r="H149" s="1" t="s">
        <v>188</v>
      </c>
      <c r="I149" s="1" t="s">
        <v>188</v>
      </c>
      <c r="J149" s="1" t="s">
        <v>188</v>
      </c>
      <c r="K149" s="1" t="s">
        <v>188</v>
      </c>
      <c r="L149" s="1" t="s">
        <v>188</v>
      </c>
      <c r="M149" s="1" t="s">
        <v>188</v>
      </c>
      <c r="N149" s="1" t="s">
        <v>188</v>
      </c>
      <c r="O149" s="1" t="s">
        <v>188</v>
      </c>
      <c r="P149" s="1" t="s">
        <v>188</v>
      </c>
      <c r="Q149" s="1" t="s">
        <v>188</v>
      </c>
    </row>
    <row r="150" spans="1:17" x14ac:dyDescent="0.25">
      <c r="A150" s="4" t="s">
        <v>263</v>
      </c>
      <c r="B150" t="s">
        <v>264</v>
      </c>
      <c r="C150" t="s">
        <v>264</v>
      </c>
      <c r="D150" s="1" t="s">
        <v>190</v>
      </c>
      <c r="E150" s="1" t="s">
        <v>190</v>
      </c>
      <c r="F150" s="1" t="s">
        <v>190</v>
      </c>
      <c r="G150" s="1" t="s">
        <v>190</v>
      </c>
      <c r="H150" s="1" t="s">
        <v>190</v>
      </c>
      <c r="I150" s="1" t="s">
        <v>190</v>
      </c>
      <c r="J150" s="1" t="s">
        <v>190</v>
      </c>
      <c r="K150" s="1" t="s">
        <v>190</v>
      </c>
      <c r="L150" s="1" t="s">
        <v>190</v>
      </c>
      <c r="M150" s="1" t="s">
        <v>190</v>
      </c>
      <c r="N150" s="1" t="s">
        <v>190</v>
      </c>
      <c r="O150" s="1" t="s">
        <v>190</v>
      </c>
      <c r="P150" s="1" t="s">
        <v>190</v>
      </c>
      <c r="Q150" s="1" t="s">
        <v>190</v>
      </c>
    </row>
    <row r="151" spans="1:17" x14ac:dyDescent="0.25">
      <c r="A151" s="4" t="s">
        <v>265</v>
      </c>
      <c r="B151" t="s">
        <v>266</v>
      </c>
      <c r="C151" t="s">
        <v>266</v>
      </c>
      <c r="D151" s="1" t="s">
        <v>193</v>
      </c>
      <c r="E151" s="1" t="s">
        <v>193</v>
      </c>
      <c r="F151" s="1" t="s">
        <v>193</v>
      </c>
      <c r="G151" s="1" t="s">
        <v>193</v>
      </c>
      <c r="H151" s="1" t="s">
        <v>193</v>
      </c>
      <c r="I151" s="1" t="s">
        <v>193</v>
      </c>
      <c r="J151" s="1" t="s">
        <v>193</v>
      </c>
      <c r="K151" s="1" t="s">
        <v>193</v>
      </c>
      <c r="L151" s="1" t="s">
        <v>193</v>
      </c>
      <c r="M151" s="1" t="s">
        <v>193</v>
      </c>
      <c r="N151" s="1" t="s">
        <v>193</v>
      </c>
      <c r="O151" s="1" t="s">
        <v>193</v>
      </c>
      <c r="P151" s="1" t="s">
        <v>193</v>
      </c>
      <c r="Q151" s="1" t="s">
        <v>193</v>
      </c>
    </row>
    <row r="152" spans="1:17" x14ac:dyDescent="0.25">
      <c r="A152" s="4" t="s">
        <v>267</v>
      </c>
      <c r="B152" t="s">
        <v>246</v>
      </c>
      <c r="C152" t="s">
        <v>246</v>
      </c>
      <c r="D152" s="1" t="s">
        <v>195</v>
      </c>
      <c r="E152" s="1" t="s">
        <v>195</v>
      </c>
      <c r="F152" s="1" t="s">
        <v>195</v>
      </c>
      <c r="G152" s="1" t="s">
        <v>195</v>
      </c>
      <c r="H152" s="1" t="s">
        <v>195</v>
      </c>
      <c r="I152" s="1" t="s">
        <v>195</v>
      </c>
      <c r="J152" s="1" t="s">
        <v>195</v>
      </c>
      <c r="K152" s="1" t="s">
        <v>195</v>
      </c>
      <c r="L152" s="1" t="s">
        <v>195</v>
      </c>
      <c r="M152" s="1" t="s">
        <v>195</v>
      </c>
      <c r="N152" s="1" t="s">
        <v>195</v>
      </c>
      <c r="O152" s="1" t="s">
        <v>195</v>
      </c>
      <c r="P152" s="1" t="s">
        <v>195</v>
      </c>
      <c r="Q152" s="1" t="s">
        <v>195</v>
      </c>
    </row>
    <row r="153" spans="1:17" x14ac:dyDescent="0.25">
      <c r="A153" s="4" t="s">
        <v>268</v>
      </c>
      <c r="B153" t="s">
        <v>269</v>
      </c>
      <c r="C153" t="s">
        <v>269</v>
      </c>
      <c r="D153" s="1" t="s">
        <v>197</v>
      </c>
      <c r="E153" s="1" t="s">
        <v>197</v>
      </c>
      <c r="F153" s="1" t="s">
        <v>197</v>
      </c>
      <c r="G153" s="1" t="s">
        <v>197</v>
      </c>
      <c r="H153" s="1" t="s">
        <v>197</v>
      </c>
      <c r="I153" s="1" t="s">
        <v>197</v>
      </c>
      <c r="J153" s="1" t="s">
        <v>197</v>
      </c>
      <c r="K153" s="1" t="s">
        <v>197</v>
      </c>
      <c r="L153" s="1" t="s">
        <v>197</v>
      </c>
      <c r="M153" s="1" t="s">
        <v>197</v>
      </c>
      <c r="N153" s="1" t="s">
        <v>197</v>
      </c>
      <c r="O153" s="1" t="s">
        <v>197</v>
      </c>
      <c r="P153" s="1" t="s">
        <v>197</v>
      </c>
      <c r="Q153" s="1" t="s">
        <v>197</v>
      </c>
    </row>
    <row r="154" spans="1:17" x14ac:dyDescent="0.25">
      <c r="A154" s="4" t="s">
        <v>270</v>
      </c>
      <c r="B154" t="s">
        <v>271</v>
      </c>
      <c r="C154" t="s">
        <v>271</v>
      </c>
      <c r="D154" s="1" t="s">
        <v>199</v>
      </c>
      <c r="E154" s="1" t="s">
        <v>199</v>
      </c>
      <c r="F154" s="1" t="s">
        <v>199</v>
      </c>
      <c r="G154" s="1" t="s">
        <v>199</v>
      </c>
      <c r="H154" s="1" t="s">
        <v>199</v>
      </c>
      <c r="I154" s="1" t="s">
        <v>199</v>
      </c>
      <c r="J154" s="1" t="s">
        <v>199</v>
      </c>
      <c r="K154" s="1" t="s">
        <v>199</v>
      </c>
      <c r="L154" s="1" t="s">
        <v>199</v>
      </c>
      <c r="M154" s="1" t="s">
        <v>199</v>
      </c>
      <c r="N154" s="1" t="s">
        <v>199</v>
      </c>
      <c r="O154" s="1" t="s">
        <v>199</v>
      </c>
      <c r="P154" s="1" t="s">
        <v>199</v>
      </c>
      <c r="Q154" s="1" t="s">
        <v>199</v>
      </c>
    </row>
    <row r="155" spans="1:17" x14ac:dyDescent="0.25">
      <c r="A155" s="4" t="s">
        <v>272</v>
      </c>
      <c r="B155" t="s">
        <v>273</v>
      </c>
      <c r="C155" t="s">
        <v>273</v>
      </c>
      <c r="D155" s="1" t="s">
        <v>201</v>
      </c>
      <c r="E155" s="1" t="s">
        <v>201</v>
      </c>
      <c r="F155" s="1" t="s">
        <v>201</v>
      </c>
      <c r="G155" s="1" t="s">
        <v>201</v>
      </c>
      <c r="H155" s="1" t="s">
        <v>201</v>
      </c>
      <c r="I155" s="1" t="s">
        <v>201</v>
      </c>
      <c r="J155" s="1" t="s">
        <v>201</v>
      </c>
      <c r="K155" s="1" t="s">
        <v>201</v>
      </c>
      <c r="L155" s="1" t="s">
        <v>201</v>
      </c>
      <c r="M155" s="1" t="s">
        <v>201</v>
      </c>
      <c r="N155" s="1" t="s">
        <v>201</v>
      </c>
      <c r="O155" s="1" t="s">
        <v>201</v>
      </c>
      <c r="P155" s="1" t="s">
        <v>201</v>
      </c>
      <c r="Q155" s="1" t="s">
        <v>201</v>
      </c>
    </row>
    <row r="156" spans="1:17" x14ac:dyDescent="0.25">
      <c r="A156" s="4" t="s">
        <v>274</v>
      </c>
      <c r="B156" t="s">
        <v>275</v>
      </c>
      <c r="C156" t="s">
        <v>275</v>
      </c>
      <c r="D156" s="1" t="s">
        <v>276</v>
      </c>
      <c r="E156" s="1" t="s">
        <v>276</v>
      </c>
      <c r="F156" s="1" t="s">
        <v>276</v>
      </c>
      <c r="G156" s="1" t="s">
        <v>276</v>
      </c>
      <c r="H156" s="1" t="s">
        <v>276</v>
      </c>
      <c r="I156" s="1" t="s">
        <v>276</v>
      </c>
      <c r="J156" s="1" t="s">
        <v>276</v>
      </c>
      <c r="K156" s="1" t="s">
        <v>276</v>
      </c>
      <c r="L156" s="1" t="s">
        <v>276</v>
      </c>
      <c r="M156" s="1" t="s">
        <v>276</v>
      </c>
      <c r="N156" s="1" t="s">
        <v>276</v>
      </c>
      <c r="O156" s="1" t="s">
        <v>276</v>
      </c>
      <c r="P156" s="1" t="s">
        <v>276</v>
      </c>
      <c r="Q156" s="1" t="s">
        <v>276</v>
      </c>
    </row>
    <row r="157" spans="1:17" x14ac:dyDescent="0.25">
      <c r="A157" s="4" t="s">
        <v>277</v>
      </c>
      <c r="B157" t="s">
        <v>278</v>
      </c>
      <c r="C157" t="s">
        <v>278</v>
      </c>
      <c r="D157" s="1" t="s">
        <v>205</v>
      </c>
      <c r="E157" s="1" t="s">
        <v>205</v>
      </c>
      <c r="F157" s="1" t="s">
        <v>205</v>
      </c>
      <c r="G157" s="1" t="s">
        <v>205</v>
      </c>
      <c r="H157" s="1" t="s">
        <v>205</v>
      </c>
      <c r="I157" s="1" t="s">
        <v>205</v>
      </c>
      <c r="J157" s="1" t="s">
        <v>205</v>
      </c>
      <c r="K157" s="1" t="s">
        <v>205</v>
      </c>
      <c r="L157" s="1" t="s">
        <v>205</v>
      </c>
      <c r="M157" s="1" t="s">
        <v>205</v>
      </c>
      <c r="N157" s="1" t="s">
        <v>205</v>
      </c>
      <c r="O157" s="1" t="s">
        <v>205</v>
      </c>
      <c r="P157" s="1" t="s">
        <v>205</v>
      </c>
      <c r="Q157" s="1" t="s">
        <v>205</v>
      </c>
    </row>
    <row r="158" spans="1:17" x14ac:dyDescent="0.25">
      <c r="A158" s="4" t="s">
        <v>279</v>
      </c>
      <c r="B158" t="s">
        <v>279</v>
      </c>
      <c r="C158" t="s">
        <v>279</v>
      </c>
      <c r="D158" s="1" t="s">
        <v>207</v>
      </c>
      <c r="E158" s="1" t="s">
        <v>207</v>
      </c>
      <c r="F158" s="1" t="s">
        <v>207</v>
      </c>
      <c r="G158" s="1" t="s">
        <v>207</v>
      </c>
      <c r="H158" s="1" t="s">
        <v>207</v>
      </c>
      <c r="I158" s="1" t="s">
        <v>207</v>
      </c>
      <c r="J158" s="1" t="s">
        <v>207</v>
      </c>
      <c r="K158" s="1" t="s">
        <v>207</v>
      </c>
      <c r="L158" s="1" t="s">
        <v>207</v>
      </c>
      <c r="M158" s="1" t="s">
        <v>207</v>
      </c>
      <c r="N158" s="1" t="s">
        <v>207</v>
      </c>
      <c r="O158" s="1" t="s">
        <v>207</v>
      </c>
      <c r="P158" s="1" t="s">
        <v>207</v>
      </c>
      <c r="Q158" s="1" t="s">
        <v>207</v>
      </c>
    </row>
    <row r="159" spans="1:17" x14ac:dyDescent="0.25">
      <c r="A159" s="4" t="s">
        <v>280</v>
      </c>
      <c r="B159" t="s">
        <v>280</v>
      </c>
      <c r="C159" t="s">
        <v>280</v>
      </c>
      <c r="D159" s="1" t="s">
        <v>210</v>
      </c>
      <c r="E159" s="1" t="s">
        <v>210</v>
      </c>
      <c r="F159" s="1" t="s">
        <v>210</v>
      </c>
      <c r="G159" s="1" t="s">
        <v>210</v>
      </c>
      <c r="H159" s="1" t="s">
        <v>210</v>
      </c>
      <c r="I159" s="1" t="s">
        <v>210</v>
      </c>
      <c r="J159" s="1" t="s">
        <v>210</v>
      </c>
      <c r="K159" s="1" t="s">
        <v>210</v>
      </c>
      <c r="L159" s="1" t="s">
        <v>210</v>
      </c>
      <c r="M159" s="1" t="s">
        <v>210</v>
      </c>
      <c r="N159" s="1" t="s">
        <v>210</v>
      </c>
      <c r="O159" s="1" t="s">
        <v>210</v>
      </c>
      <c r="P159" s="1" t="s">
        <v>210</v>
      </c>
      <c r="Q159" s="1" t="s">
        <v>210</v>
      </c>
    </row>
    <row r="160" spans="1:17" x14ac:dyDescent="0.25">
      <c r="A160" s="4" t="s">
        <v>281</v>
      </c>
      <c r="B160" t="s">
        <v>282</v>
      </c>
      <c r="C160" t="s">
        <v>282</v>
      </c>
      <c r="D160" s="1" t="s">
        <v>213</v>
      </c>
      <c r="E160" s="1" t="s">
        <v>213</v>
      </c>
      <c r="F160" s="1" t="s">
        <v>213</v>
      </c>
      <c r="G160" s="1" t="s">
        <v>213</v>
      </c>
      <c r="H160" s="1" t="s">
        <v>213</v>
      </c>
      <c r="I160" s="1" t="s">
        <v>213</v>
      </c>
      <c r="J160" s="1" t="s">
        <v>213</v>
      </c>
      <c r="K160" s="1" t="s">
        <v>213</v>
      </c>
      <c r="L160" s="1" t="s">
        <v>213</v>
      </c>
      <c r="M160" s="1" t="s">
        <v>213</v>
      </c>
      <c r="N160" s="1" t="s">
        <v>213</v>
      </c>
      <c r="O160" s="1" t="s">
        <v>213</v>
      </c>
      <c r="P160" s="1" t="s">
        <v>213</v>
      </c>
      <c r="Q160" s="1" t="s">
        <v>213</v>
      </c>
    </row>
    <row r="161" spans="1:17" x14ac:dyDescent="0.25">
      <c r="A161" s="4" t="s">
        <v>283</v>
      </c>
      <c r="B161" t="s">
        <v>284</v>
      </c>
      <c r="C161" t="s">
        <v>284</v>
      </c>
      <c r="D161" s="1" t="s">
        <v>216</v>
      </c>
      <c r="E161" s="1" t="s">
        <v>216</v>
      </c>
      <c r="F161" s="1" t="s">
        <v>216</v>
      </c>
      <c r="G161" s="1" t="s">
        <v>216</v>
      </c>
      <c r="H161" s="1" t="s">
        <v>216</v>
      </c>
      <c r="I161" s="1" t="s">
        <v>216</v>
      </c>
      <c r="J161" s="1" t="s">
        <v>216</v>
      </c>
      <c r="K161" s="1" t="s">
        <v>216</v>
      </c>
      <c r="L161" s="1" t="s">
        <v>216</v>
      </c>
      <c r="M161" s="1" t="s">
        <v>216</v>
      </c>
      <c r="N161" s="1" t="s">
        <v>216</v>
      </c>
      <c r="O161" s="1" t="s">
        <v>216</v>
      </c>
      <c r="P161" s="1" t="s">
        <v>216</v>
      </c>
      <c r="Q161" s="1" t="s">
        <v>216</v>
      </c>
    </row>
    <row r="162" spans="1:17" x14ac:dyDescent="0.25">
      <c r="A162" s="4" t="s">
        <v>285</v>
      </c>
      <c r="B162" t="s">
        <v>286</v>
      </c>
      <c r="C162" t="s">
        <v>286</v>
      </c>
      <c r="D162" s="1" t="s">
        <v>219</v>
      </c>
      <c r="E162" s="1" t="s">
        <v>219</v>
      </c>
      <c r="F162" s="1" t="s">
        <v>219</v>
      </c>
      <c r="G162" s="1" t="s">
        <v>219</v>
      </c>
      <c r="H162" s="1" t="s">
        <v>219</v>
      </c>
      <c r="I162" s="1" t="s">
        <v>219</v>
      </c>
      <c r="J162" s="1" t="s">
        <v>219</v>
      </c>
      <c r="K162" s="1" t="s">
        <v>219</v>
      </c>
      <c r="L162" s="1" t="s">
        <v>219</v>
      </c>
      <c r="M162" s="1" t="s">
        <v>219</v>
      </c>
      <c r="N162" s="1" t="s">
        <v>219</v>
      </c>
      <c r="O162" s="1" t="s">
        <v>219</v>
      </c>
      <c r="P162" s="1" t="s">
        <v>219</v>
      </c>
      <c r="Q162" s="1" t="s">
        <v>219</v>
      </c>
    </row>
    <row r="163" spans="1:17" x14ac:dyDescent="0.25">
      <c r="A163" s="4" t="s">
        <v>287</v>
      </c>
      <c r="B163" t="s">
        <v>288</v>
      </c>
      <c r="C163" t="s">
        <v>288</v>
      </c>
      <c r="D163" s="1" t="s">
        <v>222</v>
      </c>
      <c r="E163" s="1" t="s">
        <v>222</v>
      </c>
      <c r="F163" s="1" t="s">
        <v>222</v>
      </c>
      <c r="G163" s="1" t="s">
        <v>222</v>
      </c>
      <c r="H163" s="1" t="s">
        <v>222</v>
      </c>
      <c r="I163" s="1" t="s">
        <v>222</v>
      </c>
      <c r="J163" s="1" t="s">
        <v>222</v>
      </c>
      <c r="K163" s="1" t="s">
        <v>222</v>
      </c>
      <c r="L163" s="1" t="s">
        <v>222</v>
      </c>
      <c r="M163" s="1" t="s">
        <v>222</v>
      </c>
      <c r="N163" s="1" t="s">
        <v>222</v>
      </c>
      <c r="O163" s="1" t="s">
        <v>222</v>
      </c>
      <c r="P163" s="1" t="s">
        <v>222</v>
      </c>
      <c r="Q163" s="1" t="s">
        <v>222</v>
      </c>
    </row>
    <row r="164" spans="1:17" x14ac:dyDescent="0.25">
      <c r="A164" s="4" t="s">
        <v>289</v>
      </c>
      <c r="B164" t="s">
        <v>290</v>
      </c>
      <c r="C164" t="s">
        <v>290</v>
      </c>
      <c r="D164" s="1" t="s">
        <v>225</v>
      </c>
      <c r="E164" s="1" t="s">
        <v>225</v>
      </c>
      <c r="F164" s="1" t="s">
        <v>225</v>
      </c>
      <c r="G164" s="1" t="s">
        <v>225</v>
      </c>
      <c r="H164" s="1" t="s">
        <v>225</v>
      </c>
      <c r="I164" s="1" t="s">
        <v>225</v>
      </c>
      <c r="J164" s="1" t="s">
        <v>225</v>
      </c>
      <c r="K164" s="1" t="s">
        <v>225</v>
      </c>
      <c r="L164" s="1" t="s">
        <v>225</v>
      </c>
      <c r="M164" s="1" t="s">
        <v>225</v>
      </c>
      <c r="N164" s="1" t="s">
        <v>225</v>
      </c>
      <c r="O164" s="1" t="s">
        <v>225</v>
      </c>
      <c r="P164" s="1" t="s">
        <v>225</v>
      </c>
      <c r="Q164" s="1" t="s">
        <v>225</v>
      </c>
    </row>
    <row r="165" spans="1:17" x14ac:dyDescent="0.25">
      <c r="A165" s="4" t="s">
        <v>291</v>
      </c>
      <c r="B165" t="s">
        <v>291</v>
      </c>
      <c r="C165" t="s">
        <v>291</v>
      </c>
      <c r="D165" s="1" t="s">
        <v>227</v>
      </c>
      <c r="E165" s="1" t="s">
        <v>227</v>
      </c>
      <c r="F165" s="1" t="s">
        <v>227</v>
      </c>
      <c r="G165" s="1" t="s">
        <v>227</v>
      </c>
      <c r="H165" s="1" t="s">
        <v>227</v>
      </c>
      <c r="I165" s="1" t="s">
        <v>227</v>
      </c>
      <c r="J165" s="1" t="s">
        <v>227</v>
      </c>
      <c r="K165" s="1" t="s">
        <v>227</v>
      </c>
      <c r="L165" s="1" t="s">
        <v>227</v>
      </c>
      <c r="M165" s="1" t="s">
        <v>227</v>
      </c>
      <c r="N165" s="1" t="s">
        <v>227</v>
      </c>
      <c r="O165" s="1" t="s">
        <v>227</v>
      </c>
      <c r="P165" s="1" t="s">
        <v>227</v>
      </c>
      <c r="Q165" s="1" t="s">
        <v>227</v>
      </c>
    </row>
    <row r="166" spans="1:17" x14ac:dyDescent="0.25">
      <c r="A166" s="4" t="s">
        <v>292</v>
      </c>
      <c r="B166" t="s">
        <v>293</v>
      </c>
      <c r="C166" t="s">
        <v>293</v>
      </c>
      <c r="D166" s="1" t="s">
        <v>229</v>
      </c>
      <c r="E166" s="1" t="s">
        <v>229</v>
      </c>
      <c r="F166" s="1" t="s">
        <v>229</v>
      </c>
      <c r="G166" s="1" t="s">
        <v>229</v>
      </c>
      <c r="H166" s="1" t="s">
        <v>229</v>
      </c>
      <c r="I166" s="1" t="s">
        <v>229</v>
      </c>
      <c r="J166" s="1" t="s">
        <v>229</v>
      </c>
      <c r="K166" s="1" t="s">
        <v>229</v>
      </c>
      <c r="L166" s="1" t="s">
        <v>229</v>
      </c>
      <c r="M166" s="1" t="s">
        <v>229</v>
      </c>
      <c r="N166" s="1" t="s">
        <v>229</v>
      </c>
      <c r="O166" s="1" t="s">
        <v>229</v>
      </c>
      <c r="P166" s="1" t="s">
        <v>229</v>
      </c>
      <c r="Q166" s="1" t="s">
        <v>229</v>
      </c>
    </row>
    <row r="167" spans="1:17" x14ac:dyDescent="0.25">
      <c r="A167" s="4" t="s">
        <v>294</v>
      </c>
      <c r="B167" t="s">
        <v>295</v>
      </c>
      <c r="C167" t="s">
        <v>295</v>
      </c>
      <c r="D167" s="1" t="s">
        <v>231</v>
      </c>
      <c r="E167" s="1" t="s">
        <v>231</v>
      </c>
      <c r="F167" s="1" t="s">
        <v>231</v>
      </c>
      <c r="G167" s="1" t="s">
        <v>231</v>
      </c>
      <c r="H167" s="1" t="s">
        <v>231</v>
      </c>
      <c r="I167" s="1" t="s">
        <v>231</v>
      </c>
      <c r="J167" s="1" t="s">
        <v>231</v>
      </c>
      <c r="K167" s="1" t="s">
        <v>231</v>
      </c>
      <c r="L167" s="1" t="s">
        <v>231</v>
      </c>
      <c r="M167" s="1" t="s">
        <v>231</v>
      </c>
      <c r="N167" s="1" t="s">
        <v>231</v>
      </c>
      <c r="O167" s="1" t="s">
        <v>231</v>
      </c>
      <c r="P167" s="1" t="s">
        <v>231</v>
      </c>
      <c r="Q167" s="1" t="s">
        <v>231</v>
      </c>
    </row>
    <row r="168" spans="1:17" x14ac:dyDescent="0.25">
      <c r="A168" s="4" t="s">
        <v>296</v>
      </c>
      <c r="B168" t="s">
        <v>296</v>
      </c>
      <c r="C168" t="s">
        <v>296</v>
      </c>
      <c r="D168" s="1" t="s">
        <v>197</v>
      </c>
      <c r="E168" s="1" t="s">
        <v>197</v>
      </c>
      <c r="F168" s="1" t="s">
        <v>197</v>
      </c>
      <c r="G168" s="1" t="s">
        <v>197</v>
      </c>
      <c r="H168" s="1" t="s">
        <v>197</v>
      </c>
      <c r="I168" s="1" t="s">
        <v>197</v>
      </c>
      <c r="J168" s="1" t="s">
        <v>197</v>
      </c>
      <c r="K168" s="1" t="s">
        <v>197</v>
      </c>
      <c r="L168" s="1" t="s">
        <v>197</v>
      </c>
      <c r="M168" s="1" t="s">
        <v>197</v>
      </c>
      <c r="N168" s="1" t="s">
        <v>197</v>
      </c>
      <c r="O168" s="1" t="s">
        <v>197</v>
      </c>
      <c r="P168" s="1" t="s">
        <v>197</v>
      </c>
      <c r="Q168" s="1" t="s">
        <v>197</v>
      </c>
    </row>
    <row r="169" spans="1:17" x14ac:dyDescent="0.25">
      <c r="A169" s="4" t="s">
        <v>297</v>
      </c>
      <c r="B169" t="s">
        <v>298</v>
      </c>
      <c r="C169" t="s">
        <v>298</v>
      </c>
      <c r="D169" s="1" t="s">
        <v>199</v>
      </c>
      <c r="E169" s="1" t="s">
        <v>199</v>
      </c>
      <c r="F169" s="1" t="s">
        <v>199</v>
      </c>
      <c r="G169" s="1" t="s">
        <v>199</v>
      </c>
      <c r="H169" s="1" t="s">
        <v>199</v>
      </c>
      <c r="I169" s="1" t="s">
        <v>199</v>
      </c>
      <c r="J169" s="1" t="s">
        <v>199</v>
      </c>
      <c r="K169" s="1" t="s">
        <v>199</v>
      </c>
      <c r="L169" s="1" t="s">
        <v>199</v>
      </c>
      <c r="M169" s="1" t="s">
        <v>199</v>
      </c>
      <c r="N169" s="1" t="s">
        <v>199</v>
      </c>
      <c r="O169" s="1" t="s">
        <v>199</v>
      </c>
      <c r="P169" s="1" t="s">
        <v>199</v>
      </c>
      <c r="Q169" s="1" t="s">
        <v>199</v>
      </c>
    </row>
    <row r="170" spans="1:17" x14ac:dyDescent="0.25">
      <c r="A170" s="4" t="s">
        <v>299</v>
      </c>
      <c r="B170" t="s">
        <v>300</v>
      </c>
      <c r="C170" t="s">
        <v>300</v>
      </c>
      <c r="D170" s="1" t="s">
        <v>235</v>
      </c>
      <c r="E170" s="1" t="s">
        <v>235</v>
      </c>
      <c r="F170" s="1" t="s">
        <v>235</v>
      </c>
      <c r="G170" s="1" t="s">
        <v>235</v>
      </c>
      <c r="H170" s="1" t="s">
        <v>235</v>
      </c>
      <c r="I170" s="1" t="s">
        <v>235</v>
      </c>
      <c r="J170" s="1" t="s">
        <v>235</v>
      </c>
      <c r="K170" s="1" t="s">
        <v>235</v>
      </c>
      <c r="L170" s="1" t="s">
        <v>235</v>
      </c>
      <c r="M170" s="1" t="s">
        <v>235</v>
      </c>
      <c r="N170" s="1" t="s">
        <v>235</v>
      </c>
      <c r="O170" s="1" t="s">
        <v>235</v>
      </c>
      <c r="P170" s="1" t="s">
        <v>235</v>
      </c>
      <c r="Q170" s="1" t="s">
        <v>235</v>
      </c>
    </row>
    <row r="171" spans="1:17" x14ac:dyDescent="0.25">
      <c r="A171" s="4" t="s">
        <v>301</v>
      </c>
      <c r="B171" t="s">
        <v>302</v>
      </c>
      <c r="C171" t="s">
        <v>302</v>
      </c>
      <c r="D171" s="1" t="s">
        <v>238</v>
      </c>
      <c r="E171" s="1" t="s">
        <v>238</v>
      </c>
      <c r="F171" s="1" t="s">
        <v>238</v>
      </c>
      <c r="G171" s="1" t="s">
        <v>238</v>
      </c>
      <c r="H171" s="1" t="s">
        <v>238</v>
      </c>
      <c r="I171" s="1" t="s">
        <v>238</v>
      </c>
      <c r="J171" s="1" t="s">
        <v>238</v>
      </c>
      <c r="K171" s="1" t="s">
        <v>238</v>
      </c>
      <c r="L171" s="1" t="s">
        <v>238</v>
      </c>
      <c r="M171" s="1" t="s">
        <v>238</v>
      </c>
      <c r="N171" s="1" t="s">
        <v>238</v>
      </c>
      <c r="O171" s="1" t="s">
        <v>238</v>
      </c>
      <c r="P171" s="1" t="s">
        <v>238</v>
      </c>
      <c r="Q171" s="1" t="s">
        <v>238</v>
      </c>
    </row>
    <row r="172" spans="1:17" x14ac:dyDescent="0.25">
      <c r="A172" s="3" t="s">
        <v>303</v>
      </c>
      <c r="B172" t="s">
        <v>304</v>
      </c>
      <c r="C172" t="s">
        <v>304</v>
      </c>
      <c r="D172" s="1" t="s">
        <v>269</v>
      </c>
      <c r="E172" s="1" t="s">
        <v>269</v>
      </c>
      <c r="F172" s="1" t="s">
        <v>269</v>
      </c>
      <c r="G172" s="1" t="s">
        <v>269</v>
      </c>
      <c r="H172" s="1" t="s">
        <v>269</v>
      </c>
      <c r="I172" s="1" t="s">
        <v>269</v>
      </c>
      <c r="J172" s="1" t="s">
        <v>269</v>
      </c>
      <c r="K172" s="1" t="s">
        <v>269</v>
      </c>
      <c r="L172" s="1" t="s">
        <v>269</v>
      </c>
      <c r="M172" s="1" t="s">
        <v>269</v>
      </c>
      <c r="N172" s="1" t="s">
        <v>269</v>
      </c>
      <c r="O172" s="1" t="s">
        <v>269</v>
      </c>
      <c r="P172" s="1" t="s">
        <v>269</v>
      </c>
      <c r="Q172" s="1" t="s">
        <v>269</v>
      </c>
    </row>
    <row r="173" spans="1:17" x14ac:dyDescent="0.25">
      <c r="A173" s="3" t="s">
        <v>305</v>
      </c>
      <c r="B173" t="s">
        <v>306</v>
      </c>
      <c r="C173" t="s">
        <v>306</v>
      </c>
      <c r="D173" s="1" t="s">
        <v>271</v>
      </c>
      <c r="E173" s="1" t="s">
        <v>271</v>
      </c>
      <c r="F173" s="1" t="s">
        <v>271</v>
      </c>
      <c r="G173" s="1" t="s">
        <v>271</v>
      </c>
      <c r="H173" s="1" t="s">
        <v>271</v>
      </c>
      <c r="I173" s="1" t="s">
        <v>271</v>
      </c>
      <c r="J173" s="1" t="s">
        <v>271</v>
      </c>
      <c r="K173" s="1" t="s">
        <v>271</v>
      </c>
      <c r="L173" s="1" t="s">
        <v>271</v>
      </c>
      <c r="M173" s="1" t="s">
        <v>271</v>
      </c>
      <c r="N173" s="1" t="s">
        <v>271</v>
      </c>
      <c r="O173" s="1" t="s">
        <v>271</v>
      </c>
      <c r="P173" s="1" t="s">
        <v>271</v>
      </c>
      <c r="Q173" s="1" t="s">
        <v>271</v>
      </c>
    </row>
    <row r="174" spans="1:17" x14ac:dyDescent="0.25">
      <c r="A174" s="4" t="s">
        <v>307</v>
      </c>
      <c r="B174" t="s">
        <v>308</v>
      </c>
      <c r="C174" t="s">
        <v>308</v>
      </c>
      <c r="D174" s="1" t="s">
        <v>273</v>
      </c>
      <c r="E174" s="1" t="s">
        <v>273</v>
      </c>
      <c r="F174" s="1" t="s">
        <v>273</v>
      </c>
      <c r="G174" s="1" t="s">
        <v>273</v>
      </c>
      <c r="H174" s="1" t="s">
        <v>273</v>
      </c>
      <c r="I174" s="1" t="s">
        <v>273</v>
      </c>
      <c r="J174" s="1" t="s">
        <v>273</v>
      </c>
      <c r="K174" s="1" t="s">
        <v>273</v>
      </c>
      <c r="L174" s="1" t="s">
        <v>273</v>
      </c>
      <c r="M174" s="1" t="s">
        <v>273</v>
      </c>
      <c r="N174" s="1" t="s">
        <v>273</v>
      </c>
      <c r="O174" s="1" t="s">
        <v>273</v>
      </c>
      <c r="P174" s="1" t="s">
        <v>273</v>
      </c>
      <c r="Q174" s="1" t="s">
        <v>273</v>
      </c>
    </row>
    <row r="175" spans="1:17" x14ac:dyDescent="0.25">
      <c r="A175" s="4" t="s">
        <v>309</v>
      </c>
      <c r="B175" t="s">
        <v>310</v>
      </c>
      <c r="C175" t="s">
        <v>310</v>
      </c>
      <c r="D175" s="1" t="s">
        <v>275</v>
      </c>
      <c r="E175" s="1" t="s">
        <v>275</v>
      </c>
      <c r="F175" s="1" t="s">
        <v>275</v>
      </c>
      <c r="G175" s="1" t="s">
        <v>275</v>
      </c>
      <c r="H175" s="1" t="s">
        <v>275</v>
      </c>
      <c r="I175" s="1" t="s">
        <v>275</v>
      </c>
      <c r="J175" s="1" t="s">
        <v>275</v>
      </c>
      <c r="K175" s="1" t="s">
        <v>275</v>
      </c>
      <c r="L175" s="1" t="s">
        <v>275</v>
      </c>
      <c r="M175" s="1" t="s">
        <v>275</v>
      </c>
      <c r="N175" s="1" t="s">
        <v>275</v>
      </c>
      <c r="O175" s="1" t="s">
        <v>275</v>
      </c>
      <c r="P175" s="1" t="s">
        <v>275</v>
      </c>
      <c r="Q175" s="1" t="s">
        <v>275</v>
      </c>
    </row>
    <row r="176" spans="1:17" x14ac:dyDescent="0.25">
      <c r="A176" s="4" t="s">
        <v>311</v>
      </c>
      <c r="B176" t="s">
        <v>312</v>
      </c>
      <c r="C176" t="s">
        <v>312</v>
      </c>
      <c r="D176" s="1" t="s">
        <v>313</v>
      </c>
      <c r="E176" s="1" t="s">
        <v>313</v>
      </c>
      <c r="F176" s="1" t="s">
        <v>313</v>
      </c>
      <c r="G176" s="1" t="s">
        <v>313</v>
      </c>
      <c r="H176" s="1" t="s">
        <v>313</v>
      </c>
      <c r="I176" s="1" t="s">
        <v>313</v>
      </c>
      <c r="J176" s="1" t="s">
        <v>313</v>
      </c>
      <c r="K176" s="1" t="s">
        <v>313</v>
      </c>
      <c r="L176" s="1" t="s">
        <v>313</v>
      </c>
      <c r="M176" s="1" t="s">
        <v>313</v>
      </c>
      <c r="N176" s="1" t="s">
        <v>313</v>
      </c>
      <c r="O176" s="1" t="s">
        <v>313</v>
      </c>
      <c r="P176" s="1" t="s">
        <v>313</v>
      </c>
      <c r="Q176" s="1" t="s">
        <v>313</v>
      </c>
    </row>
    <row r="177" spans="1:17" x14ac:dyDescent="0.25">
      <c r="A177" s="4" t="s">
        <v>314</v>
      </c>
      <c r="B177" t="s">
        <v>315</v>
      </c>
      <c r="C177" t="s">
        <v>315</v>
      </c>
      <c r="D177" s="1" t="s">
        <v>279</v>
      </c>
      <c r="E177" s="1" t="s">
        <v>279</v>
      </c>
      <c r="F177" s="1" t="s">
        <v>279</v>
      </c>
      <c r="G177" s="1" t="s">
        <v>279</v>
      </c>
      <c r="H177" s="1" t="s">
        <v>279</v>
      </c>
      <c r="I177" s="1" t="s">
        <v>279</v>
      </c>
      <c r="J177" s="1" t="s">
        <v>279</v>
      </c>
      <c r="K177" s="1" t="s">
        <v>279</v>
      </c>
      <c r="L177" s="1" t="s">
        <v>279</v>
      </c>
      <c r="M177" s="1" t="s">
        <v>279</v>
      </c>
      <c r="N177" s="1" t="s">
        <v>279</v>
      </c>
      <c r="O177" s="1" t="s">
        <v>279</v>
      </c>
      <c r="P177" s="1" t="s">
        <v>279</v>
      </c>
      <c r="Q177" s="1" t="s">
        <v>279</v>
      </c>
    </row>
    <row r="178" spans="1:17" x14ac:dyDescent="0.25">
      <c r="A178" s="3" t="s">
        <v>316</v>
      </c>
      <c r="B178" t="s">
        <v>317</v>
      </c>
      <c r="C178" t="s">
        <v>317</v>
      </c>
      <c r="D178" s="1" t="s">
        <v>280</v>
      </c>
      <c r="E178" s="1" t="s">
        <v>280</v>
      </c>
      <c r="F178" s="1" t="s">
        <v>280</v>
      </c>
      <c r="G178" s="1" t="s">
        <v>280</v>
      </c>
      <c r="H178" s="1" t="s">
        <v>280</v>
      </c>
      <c r="I178" s="1" t="s">
        <v>280</v>
      </c>
      <c r="J178" s="1" t="s">
        <v>280</v>
      </c>
      <c r="K178" s="1" t="s">
        <v>280</v>
      </c>
      <c r="L178" s="1" t="s">
        <v>280</v>
      </c>
      <c r="M178" s="1" t="s">
        <v>280</v>
      </c>
      <c r="N178" s="1" t="s">
        <v>280</v>
      </c>
      <c r="O178" s="1" t="s">
        <v>280</v>
      </c>
      <c r="P178" s="1" t="s">
        <v>280</v>
      </c>
      <c r="Q178" s="1" t="s">
        <v>280</v>
      </c>
    </row>
    <row r="179" spans="1:17" x14ac:dyDescent="0.25">
      <c r="A179" s="3" t="s">
        <v>116</v>
      </c>
      <c r="B179" t="s">
        <v>117</v>
      </c>
      <c r="C179" t="s">
        <v>117</v>
      </c>
      <c r="D179" s="1" t="s">
        <v>282</v>
      </c>
      <c r="E179" s="1" t="s">
        <v>282</v>
      </c>
      <c r="F179" s="1" t="s">
        <v>282</v>
      </c>
      <c r="G179" s="1" t="s">
        <v>282</v>
      </c>
      <c r="H179" s="1" t="s">
        <v>282</v>
      </c>
      <c r="I179" s="1" t="s">
        <v>282</v>
      </c>
      <c r="J179" s="1" t="s">
        <v>282</v>
      </c>
      <c r="K179" s="1" t="s">
        <v>282</v>
      </c>
      <c r="L179" s="1" t="s">
        <v>282</v>
      </c>
      <c r="M179" s="1" t="s">
        <v>282</v>
      </c>
      <c r="N179" s="1" t="s">
        <v>282</v>
      </c>
      <c r="O179" s="1" t="s">
        <v>282</v>
      </c>
      <c r="P179" s="1" t="s">
        <v>282</v>
      </c>
      <c r="Q179" s="1" t="s">
        <v>282</v>
      </c>
    </row>
    <row r="180" spans="1:17" x14ac:dyDescent="0.25">
      <c r="A180" s="4" t="s">
        <v>118</v>
      </c>
      <c r="B180" t="s">
        <v>119</v>
      </c>
      <c r="C180" t="s">
        <v>119</v>
      </c>
      <c r="D180" s="1" t="s">
        <v>284</v>
      </c>
      <c r="E180" s="1" t="s">
        <v>284</v>
      </c>
      <c r="F180" s="1" t="s">
        <v>284</v>
      </c>
      <c r="G180" s="1" t="s">
        <v>284</v>
      </c>
      <c r="H180" s="1" t="s">
        <v>284</v>
      </c>
      <c r="I180" s="1" t="s">
        <v>284</v>
      </c>
      <c r="J180" s="1" t="s">
        <v>284</v>
      </c>
      <c r="K180" s="1" t="s">
        <v>284</v>
      </c>
      <c r="L180" s="1" t="s">
        <v>284</v>
      </c>
      <c r="M180" s="1" t="s">
        <v>284</v>
      </c>
      <c r="N180" s="1" t="s">
        <v>284</v>
      </c>
      <c r="O180" s="1" t="s">
        <v>284</v>
      </c>
      <c r="P180" s="1" t="s">
        <v>284</v>
      </c>
      <c r="Q180" s="1" t="s">
        <v>284</v>
      </c>
    </row>
    <row r="181" spans="1:17" x14ac:dyDescent="0.25">
      <c r="A181" s="4" t="s">
        <v>318</v>
      </c>
      <c r="B181" t="s">
        <v>319</v>
      </c>
      <c r="C181" t="s">
        <v>319</v>
      </c>
      <c r="D181" s="1" t="s">
        <v>286</v>
      </c>
      <c r="E181" s="1" t="s">
        <v>286</v>
      </c>
      <c r="F181" s="1" t="s">
        <v>286</v>
      </c>
      <c r="G181" s="1" t="s">
        <v>286</v>
      </c>
      <c r="H181" s="1" t="s">
        <v>286</v>
      </c>
      <c r="I181" s="1" t="s">
        <v>286</v>
      </c>
      <c r="J181" s="1" t="s">
        <v>286</v>
      </c>
      <c r="K181" s="1" t="s">
        <v>286</v>
      </c>
      <c r="L181" s="1" t="s">
        <v>286</v>
      </c>
      <c r="M181" s="1" t="s">
        <v>286</v>
      </c>
      <c r="N181" s="1" t="s">
        <v>286</v>
      </c>
      <c r="O181" s="1" t="s">
        <v>286</v>
      </c>
      <c r="P181" s="1" t="s">
        <v>286</v>
      </c>
      <c r="Q181" s="1" t="s">
        <v>286</v>
      </c>
    </row>
    <row r="182" spans="1:17" x14ac:dyDescent="0.25">
      <c r="A182" s="4" t="s">
        <v>320</v>
      </c>
      <c r="B182" t="s">
        <v>320</v>
      </c>
      <c r="C182" t="s">
        <v>320</v>
      </c>
      <c r="D182" s="1" t="s">
        <v>288</v>
      </c>
      <c r="E182" s="1" t="s">
        <v>288</v>
      </c>
      <c r="F182" s="1" t="s">
        <v>288</v>
      </c>
      <c r="G182" s="1" t="s">
        <v>288</v>
      </c>
      <c r="H182" s="1" t="s">
        <v>288</v>
      </c>
      <c r="I182" s="1" t="s">
        <v>288</v>
      </c>
      <c r="J182" s="1" t="s">
        <v>288</v>
      </c>
      <c r="K182" s="1" t="s">
        <v>288</v>
      </c>
      <c r="L182" s="1" t="s">
        <v>288</v>
      </c>
      <c r="M182" s="1" t="s">
        <v>288</v>
      </c>
      <c r="N182" s="1" t="s">
        <v>288</v>
      </c>
      <c r="O182" s="1" t="s">
        <v>288</v>
      </c>
      <c r="P182" s="1" t="s">
        <v>288</v>
      </c>
      <c r="Q182" s="1" t="s">
        <v>288</v>
      </c>
    </row>
    <row r="183" spans="1:17" x14ac:dyDescent="0.25">
      <c r="A183" s="4" t="s">
        <v>321</v>
      </c>
      <c r="B183" t="s">
        <v>322</v>
      </c>
      <c r="C183" t="s">
        <v>322</v>
      </c>
      <c r="D183" s="1" t="s">
        <v>290</v>
      </c>
      <c r="E183" s="1" t="s">
        <v>290</v>
      </c>
      <c r="F183" s="1" t="s">
        <v>290</v>
      </c>
      <c r="G183" s="1" t="s">
        <v>290</v>
      </c>
      <c r="H183" s="1" t="s">
        <v>290</v>
      </c>
      <c r="I183" s="1" t="s">
        <v>290</v>
      </c>
      <c r="J183" s="1" t="s">
        <v>290</v>
      </c>
      <c r="K183" s="1" t="s">
        <v>290</v>
      </c>
      <c r="L183" s="1" t="s">
        <v>290</v>
      </c>
      <c r="M183" s="1" t="s">
        <v>290</v>
      </c>
      <c r="N183" s="1" t="s">
        <v>290</v>
      </c>
      <c r="O183" s="1" t="s">
        <v>290</v>
      </c>
      <c r="P183" s="1" t="s">
        <v>290</v>
      </c>
      <c r="Q183" s="1" t="s">
        <v>290</v>
      </c>
    </row>
    <row r="184" spans="1:17" x14ac:dyDescent="0.25">
      <c r="A184" s="4" t="s">
        <v>114</v>
      </c>
      <c r="B184" t="s">
        <v>115</v>
      </c>
      <c r="C184" t="s">
        <v>115</v>
      </c>
      <c r="D184" s="1" t="s">
        <v>291</v>
      </c>
      <c r="E184" s="1" t="s">
        <v>291</v>
      </c>
      <c r="F184" s="1" t="s">
        <v>291</v>
      </c>
      <c r="G184" s="1" t="s">
        <v>291</v>
      </c>
      <c r="H184" s="1" t="s">
        <v>291</v>
      </c>
      <c r="I184" s="1" t="s">
        <v>291</v>
      </c>
      <c r="J184" s="1" t="s">
        <v>291</v>
      </c>
      <c r="K184" s="1" t="s">
        <v>291</v>
      </c>
      <c r="L184" s="1" t="s">
        <v>291</v>
      </c>
      <c r="M184" s="1" t="s">
        <v>291</v>
      </c>
      <c r="N184" s="1" t="s">
        <v>291</v>
      </c>
      <c r="O184" s="1" t="s">
        <v>291</v>
      </c>
      <c r="P184" s="1" t="s">
        <v>291</v>
      </c>
      <c r="Q184" s="1" t="s">
        <v>291</v>
      </c>
    </row>
    <row r="185" spans="1:17" x14ac:dyDescent="0.25">
      <c r="A185" s="4" t="s">
        <v>87</v>
      </c>
      <c r="B185" t="s">
        <v>88</v>
      </c>
      <c r="C185" t="s">
        <v>88</v>
      </c>
      <c r="D185" s="1" t="s">
        <v>293</v>
      </c>
      <c r="E185" s="1" t="s">
        <v>293</v>
      </c>
      <c r="F185" s="1" t="s">
        <v>293</v>
      </c>
      <c r="G185" s="1" t="s">
        <v>293</v>
      </c>
      <c r="H185" s="1" t="s">
        <v>293</v>
      </c>
      <c r="I185" s="1" t="s">
        <v>293</v>
      </c>
      <c r="J185" s="1" t="s">
        <v>293</v>
      </c>
      <c r="K185" s="1" t="s">
        <v>293</v>
      </c>
      <c r="L185" s="1" t="s">
        <v>293</v>
      </c>
      <c r="M185" s="1" t="s">
        <v>293</v>
      </c>
      <c r="N185" s="1" t="s">
        <v>293</v>
      </c>
      <c r="O185" s="1" t="s">
        <v>293</v>
      </c>
      <c r="P185" s="1" t="s">
        <v>293</v>
      </c>
      <c r="Q185" s="1" t="s">
        <v>293</v>
      </c>
    </row>
    <row r="186" spans="1:17" x14ac:dyDescent="0.25">
      <c r="A186" s="4" t="s">
        <v>118</v>
      </c>
      <c r="B186" t="s">
        <v>119</v>
      </c>
      <c r="C186" t="s">
        <v>119</v>
      </c>
      <c r="D186" s="1" t="s">
        <v>295</v>
      </c>
      <c r="E186" s="1" t="s">
        <v>295</v>
      </c>
      <c r="F186" s="1" t="s">
        <v>295</v>
      </c>
      <c r="G186" s="1" t="s">
        <v>295</v>
      </c>
      <c r="H186" s="1" t="s">
        <v>295</v>
      </c>
      <c r="I186" s="1" t="s">
        <v>295</v>
      </c>
      <c r="J186" s="1" t="s">
        <v>295</v>
      </c>
      <c r="K186" s="1" t="s">
        <v>295</v>
      </c>
      <c r="L186" s="1" t="s">
        <v>295</v>
      </c>
      <c r="M186" s="1" t="s">
        <v>295</v>
      </c>
      <c r="N186" s="1" t="s">
        <v>295</v>
      </c>
      <c r="O186" s="1" t="s">
        <v>295</v>
      </c>
      <c r="P186" s="1" t="s">
        <v>295</v>
      </c>
      <c r="Q186" s="1" t="s">
        <v>295</v>
      </c>
    </row>
    <row r="187" spans="1:17" x14ac:dyDescent="0.25">
      <c r="A187" s="5"/>
      <c r="D187" s="1" t="s">
        <v>296</v>
      </c>
      <c r="E187" s="1" t="s">
        <v>296</v>
      </c>
      <c r="F187" s="1" t="s">
        <v>296</v>
      </c>
      <c r="G187" s="1" t="s">
        <v>296</v>
      </c>
      <c r="H187" s="1" t="s">
        <v>296</v>
      </c>
      <c r="I187" s="1" t="s">
        <v>296</v>
      </c>
      <c r="J187" s="1" t="s">
        <v>296</v>
      </c>
      <c r="K187" s="1" t="s">
        <v>296</v>
      </c>
      <c r="L187" s="1" t="s">
        <v>296</v>
      </c>
      <c r="M187" s="1" t="s">
        <v>296</v>
      </c>
      <c r="N187" s="1" t="s">
        <v>296</v>
      </c>
      <c r="O187" s="1" t="s">
        <v>296</v>
      </c>
      <c r="P187" s="1" t="s">
        <v>296</v>
      </c>
      <c r="Q187" s="1" t="s">
        <v>296</v>
      </c>
    </row>
    <row r="188" spans="1:17" x14ac:dyDescent="0.25">
      <c r="A188" s="4" t="s">
        <v>323</v>
      </c>
      <c r="B188" t="s">
        <v>324</v>
      </c>
      <c r="C188" t="s">
        <v>324</v>
      </c>
      <c r="D188" s="1" t="s">
        <v>298</v>
      </c>
      <c r="E188" s="1" t="s">
        <v>298</v>
      </c>
      <c r="F188" s="1" t="s">
        <v>298</v>
      </c>
      <c r="G188" s="1" t="s">
        <v>298</v>
      </c>
      <c r="H188" s="1" t="s">
        <v>298</v>
      </c>
      <c r="I188" s="1" t="s">
        <v>298</v>
      </c>
      <c r="J188" s="1" t="s">
        <v>298</v>
      </c>
      <c r="K188" s="1" t="s">
        <v>298</v>
      </c>
      <c r="L188" s="1" t="s">
        <v>298</v>
      </c>
      <c r="M188" s="1" t="s">
        <v>298</v>
      </c>
      <c r="N188" s="1" t="s">
        <v>298</v>
      </c>
      <c r="O188" s="1" t="s">
        <v>298</v>
      </c>
      <c r="P188" s="1" t="s">
        <v>298</v>
      </c>
      <c r="Q188" s="1" t="s">
        <v>298</v>
      </c>
    </row>
    <row r="189" spans="1:17" x14ac:dyDescent="0.25">
      <c r="A189" s="4" t="s">
        <v>325</v>
      </c>
      <c r="B189" t="s">
        <v>127</v>
      </c>
      <c r="C189" t="s">
        <v>127</v>
      </c>
      <c r="D189" s="1" t="s">
        <v>300</v>
      </c>
      <c r="E189" s="1" t="s">
        <v>300</v>
      </c>
      <c r="F189" s="1" t="s">
        <v>300</v>
      </c>
      <c r="G189" s="1" t="s">
        <v>300</v>
      </c>
      <c r="H189" s="1" t="s">
        <v>300</v>
      </c>
      <c r="I189" s="1" t="s">
        <v>300</v>
      </c>
      <c r="J189" s="1" t="s">
        <v>300</v>
      </c>
      <c r="K189" s="1" t="s">
        <v>300</v>
      </c>
      <c r="L189" s="1" t="s">
        <v>300</v>
      </c>
      <c r="M189" s="1" t="s">
        <v>300</v>
      </c>
      <c r="N189" s="1" t="s">
        <v>300</v>
      </c>
      <c r="O189" s="1" t="s">
        <v>300</v>
      </c>
      <c r="P189" s="1" t="s">
        <v>300</v>
      </c>
      <c r="Q189" s="1" t="s">
        <v>300</v>
      </c>
    </row>
    <row r="190" spans="1:17" x14ac:dyDescent="0.25">
      <c r="A190" s="4" t="s">
        <v>326</v>
      </c>
      <c r="B190" t="s">
        <v>327</v>
      </c>
      <c r="C190" t="s">
        <v>327</v>
      </c>
      <c r="D190" s="1" t="s">
        <v>302</v>
      </c>
      <c r="E190" s="1" t="s">
        <v>302</v>
      </c>
      <c r="F190" s="1" t="s">
        <v>302</v>
      </c>
      <c r="G190" s="1" t="s">
        <v>302</v>
      </c>
      <c r="H190" s="1" t="s">
        <v>302</v>
      </c>
      <c r="I190" s="1" t="s">
        <v>302</v>
      </c>
      <c r="J190" s="1" t="s">
        <v>302</v>
      </c>
      <c r="K190" s="1" t="s">
        <v>302</v>
      </c>
      <c r="L190" s="1" t="s">
        <v>302</v>
      </c>
      <c r="M190" s="1" t="s">
        <v>302</v>
      </c>
      <c r="N190" s="1" t="s">
        <v>302</v>
      </c>
      <c r="O190" s="1" t="s">
        <v>302</v>
      </c>
      <c r="P190" s="1" t="s">
        <v>302</v>
      </c>
      <c r="Q190" s="1" t="s">
        <v>302</v>
      </c>
    </row>
    <row r="191" spans="1:17" x14ac:dyDescent="0.25">
      <c r="A191" s="3" t="s">
        <v>328</v>
      </c>
      <c r="B191" t="s">
        <v>329</v>
      </c>
      <c r="C191" t="s">
        <v>329</v>
      </c>
      <c r="D191" s="1" t="s">
        <v>304</v>
      </c>
      <c r="E191" s="1" t="s">
        <v>304</v>
      </c>
      <c r="F191" s="1" t="s">
        <v>304</v>
      </c>
      <c r="G191" s="1" t="s">
        <v>304</v>
      </c>
      <c r="H191" s="1" t="s">
        <v>304</v>
      </c>
      <c r="I191" s="1" t="s">
        <v>304</v>
      </c>
      <c r="J191" s="1" t="s">
        <v>304</v>
      </c>
      <c r="K191" s="1" t="s">
        <v>304</v>
      </c>
      <c r="L191" s="1" t="s">
        <v>304</v>
      </c>
      <c r="M191" s="1" t="s">
        <v>304</v>
      </c>
      <c r="N191" s="1" t="s">
        <v>304</v>
      </c>
      <c r="O191" s="1" t="s">
        <v>304</v>
      </c>
      <c r="P191" s="1" t="s">
        <v>304</v>
      </c>
      <c r="Q191" s="1" t="s">
        <v>304</v>
      </c>
    </row>
    <row r="192" spans="1:17" x14ac:dyDescent="0.25">
      <c r="A192" s="4" t="s">
        <v>330</v>
      </c>
      <c r="B192" t="s">
        <v>331</v>
      </c>
      <c r="C192" t="s">
        <v>331</v>
      </c>
      <c r="D192" s="1" t="s">
        <v>306</v>
      </c>
      <c r="E192" s="1" t="s">
        <v>306</v>
      </c>
      <c r="F192" s="1" t="s">
        <v>306</v>
      </c>
      <c r="G192" s="1" t="s">
        <v>306</v>
      </c>
      <c r="H192" s="1" t="s">
        <v>306</v>
      </c>
      <c r="I192" s="1" t="s">
        <v>306</v>
      </c>
      <c r="J192" s="1" t="s">
        <v>306</v>
      </c>
      <c r="K192" s="1" t="s">
        <v>306</v>
      </c>
      <c r="L192" s="1" t="s">
        <v>306</v>
      </c>
      <c r="M192" s="1" t="s">
        <v>306</v>
      </c>
      <c r="N192" s="1" t="s">
        <v>306</v>
      </c>
      <c r="O192" s="1" t="s">
        <v>306</v>
      </c>
      <c r="P192" s="1" t="s">
        <v>306</v>
      </c>
      <c r="Q192" s="1" t="s">
        <v>306</v>
      </c>
    </row>
    <row r="193" spans="1:17" x14ac:dyDescent="0.25">
      <c r="A193" s="4" t="s">
        <v>332</v>
      </c>
      <c r="B193" t="s">
        <v>333</v>
      </c>
      <c r="C193" t="s">
        <v>333</v>
      </c>
      <c r="D193" s="1" t="s">
        <v>308</v>
      </c>
      <c r="E193" s="1" t="s">
        <v>308</v>
      </c>
      <c r="F193" s="1" t="s">
        <v>308</v>
      </c>
      <c r="G193" s="1" t="s">
        <v>308</v>
      </c>
      <c r="H193" s="1" t="s">
        <v>308</v>
      </c>
      <c r="I193" s="1" t="s">
        <v>308</v>
      </c>
      <c r="J193" s="1" t="s">
        <v>308</v>
      </c>
      <c r="K193" s="1" t="s">
        <v>308</v>
      </c>
      <c r="L193" s="1" t="s">
        <v>308</v>
      </c>
      <c r="M193" s="1" t="s">
        <v>308</v>
      </c>
      <c r="N193" s="1" t="s">
        <v>308</v>
      </c>
      <c r="O193" s="1" t="s">
        <v>308</v>
      </c>
      <c r="P193" s="1" t="s">
        <v>308</v>
      </c>
      <c r="Q193" s="1" t="s">
        <v>308</v>
      </c>
    </row>
    <row r="194" spans="1:17" x14ac:dyDescent="0.25">
      <c r="A194" s="4" t="s">
        <v>334</v>
      </c>
      <c r="B194" t="s">
        <v>335</v>
      </c>
      <c r="C194" t="s">
        <v>335</v>
      </c>
      <c r="D194" s="1" t="s">
        <v>310</v>
      </c>
      <c r="E194" s="1" t="s">
        <v>310</v>
      </c>
      <c r="F194" s="1" t="s">
        <v>310</v>
      </c>
      <c r="G194" s="1" t="s">
        <v>310</v>
      </c>
      <c r="H194" s="1" t="s">
        <v>310</v>
      </c>
      <c r="I194" s="1" t="s">
        <v>310</v>
      </c>
      <c r="J194" s="1" t="s">
        <v>310</v>
      </c>
      <c r="K194" s="1" t="s">
        <v>310</v>
      </c>
      <c r="L194" s="1" t="s">
        <v>310</v>
      </c>
      <c r="M194" s="1" t="s">
        <v>310</v>
      </c>
      <c r="N194" s="1" t="s">
        <v>310</v>
      </c>
      <c r="O194" s="1" t="s">
        <v>310</v>
      </c>
      <c r="P194" s="1" t="s">
        <v>310</v>
      </c>
      <c r="Q194" s="1" t="s">
        <v>310</v>
      </c>
    </row>
    <row r="195" spans="1:17" x14ac:dyDescent="0.25">
      <c r="A195" s="4" t="s">
        <v>336</v>
      </c>
      <c r="B195" t="s">
        <v>337</v>
      </c>
      <c r="C195" t="s">
        <v>337</v>
      </c>
      <c r="D195" s="1" t="s">
        <v>312</v>
      </c>
      <c r="E195" s="1" t="s">
        <v>312</v>
      </c>
      <c r="F195" s="1" t="s">
        <v>312</v>
      </c>
      <c r="G195" s="1" t="s">
        <v>312</v>
      </c>
      <c r="H195" s="1" t="s">
        <v>312</v>
      </c>
      <c r="I195" s="1" t="s">
        <v>312</v>
      </c>
      <c r="J195" s="1" t="s">
        <v>312</v>
      </c>
      <c r="K195" s="1" t="s">
        <v>312</v>
      </c>
      <c r="L195" s="1" t="s">
        <v>312</v>
      </c>
      <c r="M195" s="1" t="s">
        <v>312</v>
      </c>
      <c r="N195" s="1" t="s">
        <v>312</v>
      </c>
      <c r="O195" s="1" t="s">
        <v>312</v>
      </c>
      <c r="P195" s="1" t="s">
        <v>312</v>
      </c>
      <c r="Q195" s="1" t="s">
        <v>312</v>
      </c>
    </row>
    <row r="196" spans="1:17" x14ac:dyDescent="0.25">
      <c r="A196" s="4" t="s">
        <v>338</v>
      </c>
      <c r="B196" t="s">
        <v>339</v>
      </c>
      <c r="C196" t="s">
        <v>339</v>
      </c>
      <c r="D196" s="1" t="s">
        <v>315</v>
      </c>
      <c r="E196" s="1" t="s">
        <v>315</v>
      </c>
      <c r="F196" s="1" t="s">
        <v>315</v>
      </c>
      <c r="G196" s="1" t="s">
        <v>315</v>
      </c>
      <c r="H196" s="1" t="s">
        <v>315</v>
      </c>
      <c r="I196" s="1" t="s">
        <v>315</v>
      </c>
      <c r="J196" s="1" t="s">
        <v>315</v>
      </c>
      <c r="K196" s="1" t="s">
        <v>315</v>
      </c>
      <c r="L196" s="1" t="s">
        <v>315</v>
      </c>
      <c r="M196" s="1" t="s">
        <v>315</v>
      </c>
      <c r="N196" s="1" t="s">
        <v>315</v>
      </c>
      <c r="O196" s="1" t="s">
        <v>315</v>
      </c>
      <c r="P196" s="1" t="s">
        <v>315</v>
      </c>
      <c r="Q196" s="1" t="s">
        <v>315</v>
      </c>
    </row>
    <row r="197" spans="1:17" x14ac:dyDescent="0.25">
      <c r="A197" s="5"/>
      <c r="D197" s="1" t="s">
        <v>317</v>
      </c>
      <c r="E197" s="1" t="s">
        <v>317</v>
      </c>
      <c r="F197" s="1" t="s">
        <v>317</v>
      </c>
      <c r="G197" s="1" t="s">
        <v>317</v>
      </c>
      <c r="H197" s="1" t="s">
        <v>317</v>
      </c>
      <c r="I197" s="1" t="s">
        <v>317</v>
      </c>
      <c r="J197" s="1" t="s">
        <v>317</v>
      </c>
      <c r="K197" s="1" t="s">
        <v>317</v>
      </c>
      <c r="L197" s="1" t="s">
        <v>317</v>
      </c>
      <c r="M197" s="1" t="s">
        <v>317</v>
      </c>
      <c r="N197" s="1" t="s">
        <v>317</v>
      </c>
      <c r="O197" s="1" t="s">
        <v>317</v>
      </c>
      <c r="P197" s="1" t="s">
        <v>317</v>
      </c>
      <c r="Q197" s="1" t="s">
        <v>317</v>
      </c>
    </row>
    <row r="198" spans="1:17" x14ac:dyDescent="0.25">
      <c r="A198" s="4" t="s">
        <v>332</v>
      </c>
      <c r="B198" t="s">
        <v>333</v>
      </c>
      <c r="C198" t="s">
        <v>333</v>
      </c>
      <c r="D198" s="1" t="s">
        <v>117</v>
      </c>
      <c r="E198" s="1" t="s">
        <v>117</v>
      </c>
      <c r="F198" s="1" t="s">
        <v>117</v>
      </c>
      <c r="G198" s="1" t="s">
        <v>117</v>
      </c>
      <c r="H198" s="1" t="s">
        <v>117</v>
      </c>
      <c r="I198" s="1" t="s">
        <v>117</v>
      </c>
      <c r="J198" s="1" t="s">
        <v>117</v>
      </c>
      <c r="K198" s="1" t="s">
        <v>117</v>
      </c>
      <c r="L198" s="1" t="s">
        <v>117</v>
      </c>
      <c r="M198" s="1" t="s">
        <v>117</v>
      </c>
      <c r="N198" s="1" t="s">
        <v>117</v>
      </c>
      <c r="O198" s="1" t="s">
        <v>117</v>
      </c>
      <c r="P198" s="1" t="s">
        <v>117</v>
      </c>
      <c r="Q198" s="1" t="s">
        <v>117</v>
      </c>
    </row>
    <row r="199" spans="1:17" x14ac:dyDescent="0.25">
      <c r="A199" s="4" t="s">
        <v>340</v>
      </c>
      <c r="B199" t="s">
        <v>341</v>
      </c>
      <c r="C199" t="s">
        <v>341</v>
      </c>
      <c r="D199" s="1" t="s">
        <v>119</v>
      </c>
      <c r="E199" s="1" t="s">
        <v>119</v>
      </c>
      <c r="F199" s="1" t="s">
        <v>119</v>
      </c>
      <c r="G199" s="1" t="s">
        <v>119</v>
      </c>
      <c r="H199" s="1" t="s">
        <v>119</v>
      </c>
      <c r="I199" s="1" t="s">
        <v>119</v>
      </c>
      <c r="J199" s="1" t="s">
        <v>119</v>
      </c>
      <c r="K199" s="1" t="s">
        <v>119</v>
      </c>
      <c r="L199" s="1" t="s">
        <v>119</v>
      </c>
      <c r="M199" s="1" t="s">
        <v>119</v>
      </c>
      <c r="N199" s="1" t="s">
        <v>119</v>
      </c>
      <c r="O199" s="1" t="s">
        <v>119</v>
      </c>
      <c r="P199" s="1" t="s">
        <v>119</v>
      </c>
      <c r="Q199" s="1" t="s">
        <v>119</v>
      </c>
    </row>
    <row r="200" spans="1:17" x14ac:dyDescent="0.25">
      <c r="A200" s="4" t="s">
        <v>342</v>
      </c>
      <c r="B200" t="s">
        <v>343</v>
      </c>
      <c r="C200" t="s">
        <v>343</v>
      </c>
      <c r="D200" s="1" t="s">
        <v>319</v>
      </c>
      <c r="E200" s="1" t="s">
        <v>319</v>
      </c>
      <c r="F200" s="1" t="s">
        <v>319</v>
      </c>
      <c r="G200" s="1" t="s">
        <v>319</v>
      </c>
      <c r="H200" s="1" t="s">
        <v>319</v>
      </c>
      <c r="I200" s="1" t="s">
        <v>319</v>
      </c>
      <c r="J200" s="1" t="s">
        <v>319</v>
      </c>
      <c r="K200" s="1" t="s">
        <v>319</v>
      </c>
      <c r="L200" s="1" t="s">
        <v>319</v>
      </c>
      <c r="M200" s="1" t="s">
        <v>319</v>
      </c>
      <c r="N200" s="1" t="s">
        <v>319</v>
      </c>
      <c r="O200" s="1" t="s">
        <v>319</v>
      </c>
      <c r="P200" s="1" t="s">
        <v>319</v>
      </c>
      <c r="Q200" s="1" t="s">
        <v>319</v>
      </c>
    </row>
    <row r="201" spans="1:17" x14ac:dyDescent="0.25">
      <c r="A201" s="4" t="s">
        <v>338</v>
      </c>
      <c r="B201" t="s">
        <v>339</v>
      </c>
      <c r="C201" t="s">
        <v>339</v>
      </c>
      <c r="D201" s="1" t="s">
        <v>320</v>
      </c>
      <c r="E201" s="1" t="s">
        <v>320</v>
      </c>
      <c r="F201" s="1" t="s">
        <v>320</v>
      </c>
      <c r="G201" s="1" t="s">
        <v>320</v>
      </c>
      <c r="H201" s="1" t="s">
        <v>320</v>
      </c>
      <c r="I201" s="1" t="s">
        <v>320</v>
      </c>
      <c r="J201" s="1" t="s">
        <v>320</v>
      </c>
      <c r="K201" s="1" t="s">
        <v>320</v>
      </c>
      <c r="L201" s="1" t="s">
        <v>320</v>
      </c>
      <c r="M201" s="1" t="s">
        <v>320</v>
      </c>
      <c r="N201" s="1" t="s">
        <v>320</v>
      </c>
      <c r="O201" s="1" t="s">
        <v>320</v>
      </c>
      <c r="P201" s="1" t="s">
        <v>320</v>
      </c>
      <c r="Q201" s="1" t="s">
        <v>320</v>
      </c>
    </row>
    <row r="202" spans="1:17" x14ac:dyDescent="0.25">
      <c r="A202" s="5"/>
      <c r="D202" s="1" t="s">
        <v>322</v>
      </c>
      <c r="E202" s="1" t="s">
        <v>322</v>
      </c>
      <c r="F202" s="1" t="s">
        <v>322</v>
      </c>
      <c r="G202" s="1" t="s">
        <v>322</v>
      </c>
      <c r="H202" s="1" t="s">
        <v>322</v>
      </c>
      <c r="I202" s="1" t="s">
        <v>322</v>
      </c>
      <c r="J202" s="1" t="s">
        <v>322</v>
      </c>
      <c r="K202" s="1" t="s">
        <v>322</v>
      </c>
      <c r="L202" s="1" t="s">
        <v>322</v>
      </c>
      <c r="M202" s="1" t="s">
        <v>322</v>
      </c>
      <c r="N202" s="1" t="s">
        <v>322</v>
      </c>
      <c r="O202" s="1" t="s">
        <v>322</v>
      </c>
      <c r="P202" s="1" t="s">
        <v>322</v>
      </c>
      <c r="Q202" s="1" t="s">
        <v>322</v>
      </c>
    </row>
    <row r="203" spans="1:17" x14ac:dyDescent="0.25">
      <c r="A203" s="4" t="s">
        <v>332</v>
      </c>
      <c r="B203" t="s">
        <v>333</v>
      </c>
      <c r="C203" t="s">
        <v>333</v>
      </c>
      <c r="D203" s="1" t="s">
        <v>115</v>
      </c>
      <c r="E203" s="1" t="s">
        <v>115</v>
      </c>
      <c r="F203" s="1" t="s">
        <v>115</v>
      </c>
      <c r="G203" s="1" t="s">
        <v>115</v>
      </c>
      <c r="H203" s="1" t="s">
        <v>115</v>
      </c>
      <c r="I203" s="1" t="s">
        <v>115</v>
      </c>
      <c r="J203" s="1" t="s">
        <v>115</v>
      </c>
      <c r="K203" s="1" t="s">
        <v>115</v>
      </c>
      <c r="L203" s="1" t="s">
        <v>115</v>
      </c>
      <c r="M203" s="1" t="s">
        <v>115</v>
      </c>
      <c r="N203" s="1" t="s">
        <v>115</v>
      </c>
      <c r="O203" s="1" t="s">
        <v>115</v>
      </c>
      <c r="P203" s="1" t="s">
        <v>115</v>
      </c>
      <c r="Q203" s="1" t="s">
        <v>115</v>
      </c>
    </row>
    <row r="204" spans="1:17" x14ac:dyDescent="0.25">
      <c r="A204" s="4" t="s">
        <v>344</v>
      </c>
      <c r="B204" t="s">
        <v>345</v>
      </c>
      <c r="C204" t="s">
        <v>345</v>
      </c>
      <c r="D204" s="1" t="s">
        <v>88</v>
      </c>
      <c r="E204" s="1" t="s">
        <v>88</v>
      </c>
      <c r="F204" s="1" t="s">
        <v>88</v>
      </c>
      <c r="G204" s="1" t="s">
        <v>88</v>
      </c>
      <c r="H204" s="1" t="s">
        <v>88</v>
      </c>
      <c r="I204" s="1" t="s">
        <v>88</v>
      </c>
      <c r="J204" s="1" t="s">
        <v>88</v>
      </c>
      <c r="K204" s="1" t="s">
        <v>88</v>
      </c>
      <c r="L204" s="1" t="s">
        <v>88</v>
      </c>
      <c r="M204" s="1" t="s">
        <v>88</v>
      </c>
      <c r="N204" s="1" t="s">
        <v>88</v>
      </c>
      <c r="O204" s="1" t="s">
        <v>88</v>
      </c>
      <c r="P204" s="1" t="s">
        <v>88</v>
      </c>
      <c r="Q204" s="1" t="s">
        <v>88</v>
      </c>
    </row>
    <row r="205" spans="1:17" x14ac:dyDescent="0.25">
      <c r="A205" s="4" t="s">
        <v>346</v>
      </c>
      <c r="B205" t="s">
        <v>347</v>
      </c>
      <c r="C205" t="s">
        <v>347</v>
      </c>
      <c r="D205" s="1" t="s">
        <v>119</v>
      </c>
      <c r="E205" s="1" t="s">
        <v>119</v>
      </c>
      <c r="F205" s="1" t="s">
        <v>119</v>
      </c>
      <c r="G205" s="1" t="s">
        <v>119</v>
      </c>
      <c r="H205" s="1" t="s">
        <v>119</v>
      </c>
      <c r="I205" s="1" t="s">
        <v>119</v>
      </c>
      <c r="J205" s="1" t="s">
        <v>119</v>
      </c>
      <c r="K205" s="1" t="s">
        <v>119</v>
      </c>
      <c r="L205" s="1" t="s">
        <v>119</v>
      </c>
      <c r="M205" s="1" t="s">
        <v>119</v>
      </c>
      <c r="N205" s="1" t="s">
        <v>119</v>
      </c>
      <c r="O205" s="1" t="s">
        <v>119</v>
      </c>
      <c r="P205" s="1" t="s">
        <v>119</v>
      </c>
      <c r="Q205" s="1" t="s">
        <v>119</v>
      </c>
    </row>
    <row r="206" spans="1:17" x14ac:dyDescent="0.25">
      <c r="A206" s="4" t="s">
        <v>338</v>
      </c>
      <c r="B206" t="s">
        <v>339</v>
      </c>
      <c r="C206" t="s">
        <v>339</v>
      </c>
      <c r="D206" s="1" t="s">
        <v>348</v>
      </c>
      <c r="E206" s="1" t="s">
        <v>348</v>
      </c>
      <c r="F206" s="1" t="s">
        <v>348</v>
      </c>
      <c r="G206" s="1" t="s">
        <v>348</v>
      </c>
      <c r="H206" s="1" t="s">
        <v>348</v>
      </c>
      <c r="I206" s="1" t="s">
        <v>348</v>
      </c>
      <c r="J206" s="1" t="s">
        <v>348</v>
      </c>
      <c r="K206" s="1" t="s">
        <v>348</v>
      </c>
      <c r="L206" s="1" t="s">
        <v>348</v>
      </c>
      <c r="M206" s="1" t="s">
        <v>348</v>
      </c>
      <c r="N206" s="1" t="s">
        <v>348</v>
      </c>
      <c r="O206" s="1" t="s">
        <v>348</v>
      </c>
      <c r="P206" s="1" t="s">
        <v>348</v>
      </c>
      <c r="Q206" s="1" t="s">
        <v>348</v>
      </c>
    </row>
    <row r="207" spans="1:17" x14ac:dyDescent="0.25">
      <c r="A207" s="4" t="s">
        <v>332</v>
      </c>
      <c r="B207" t="s">
        <v>333</v>
      </c>
      <c r="C207" t="s">
        <v>333</v>
      </c>
      <c r="E207" s="1"/>
      <c r="F207" s="1"/>
      <c r="G207" s="1"/>
      <c r="H207" s="1"/>
      <c r="I207" s="1"/>
      <c r="J207" s="1"/>
      <c r="K207" s="1"/>
      <c r="L207" s="1"/>
      <c r="M207" s="1"/>
      <c r="N207" s="1"/>
      <c r="O207" s="1"/>
      <c r="P207" s="1"/>
      <c r="Q207" s="1"/>
    </row>
    <row r="208" spans="1:17" x14ac:dyDescent="0.25">
      <c r="A208" s="4" t="s">
        <v>349</v>
      </c>
      <c r="B208" t="s">
        <v>350</v>
      </c>
      <c r="C208" t="s">
        <v>350</v>
      </c>
      <c r="D208" s="1" t="s">
        <v>351</v>
      </c>
      <c r="E208" s="1" t="s">
        <v>351</v>
      </c>
      <c r="F208" s="1" t="s">
        <v>351</v>
      </c>
      <c r="G208" s="1" t="s">
        <v>351</v>
      </c>
      <c r="H208" s="1" t="s">
        <v>351</v>
      </c>
      <c r="I208" s="1" t="s">
        <v>351</v>
      </c>
      <c r="J208" s="1" t="s">
        <v>351</v>
      </c>
      <c r="K208" s="1" t="s">
        <v>351</v>
      </c>
      <c r="L208" s="1" t="s">
        <v>351</v>
      </c>
      <c r="M208" s="1" t="s">
        <v>351</v>
      </c>
      <c r="N208" s="1" t="s">
        <v>351</v>
      </c>
      <c r="O208" s="1" t="s">
        <v>351</v>
      </c>
      <c r="P208" s="1" t="s">
        <v>351</v>
      </c>
      <c r="Q208" s="1" t="s">
        <v>351</v>
      </c>
    </row>
    <row r="209" spans="1:17" x14ac:dyDescent="0.25">
      <c r="A209" s="4" t="s">
        <v>352</v>
      </c>
      <c r="B209" t="s">
        <v>353</v>
      </c>
      <c r="C209" t="s">
        <v>353</v>
      </c>
      <c r="D209" s="1" t="s">
        <v>354</v>
      </c>
      <c r="E209" s="1" t="s">
        <v>354</v>
      </c>
      <c r="F209" s="1" t="s">
        <v>354</v>
      </c>
      <c r="G209" s="1" t="s">
        <v>354</v>
      </c>
      <c r="H209" s="1" t="s">
        <v>354</v>
      </c>
      <c r="I209" s="1" t="s">
        <v>354</v>
      </c>
      <c r="J209" s="1" t="s">
        <v>354</v>
      </c>
      <c r="K209" s="1" t="s">
        <v>354</v>
      </c>
      <c r="L209" s="1" t="s">
        <v>354</v>
      </c>
      <c r="M209" s="1" t="s">
        <v>354</v>
      </c>
      <c r="N209" s="1" t="s">
        <v>354</v>
      </c>
      <c r="O209" s="1" t="s">
        <v>354</v>
      </c>
      <c r="P209" s="1" t="s">
        <v>354</v>
      </c>
      <c r="Q209" s="1" t="s">
        <v>354</v>
      </c>
    </row>
    <row r="210" spans="1:17" x14ac:dyDescent="0.25">
      <c r="A210" s="4" t="s">
        <v>338</v>
      </c>
      <c r="B210" t="s">
        <v>339</v>
      </c>
      <c r="C210" t="s">
        <v>339</v>
      </c>
      <c r="D210" s="1" t="s">
        <v>355</v>
      </c>
      <c r="E210" s="1" t="s">
        <v>355</v>
      </c>
      <c r="F210" s="1" t="s">
        <v>355</v>
      </c>
      <c r="G210" s="1" t="s">
        <v>355</v>
      </c>
      <c r="H210" s="1" t="s">
        <v>355</v>
      </c>
      <c r="I210" s="1" t="s">
        <v>355</v>
      </c>
      <c r="J210" s="1" t="s">
        <v>355</v>
      </c>
      <c r="K210" s="1" t="s">
        <v>355</v>
      </c>
      <c r="L210" s="1" t="s">
        <v>355</v>
      </c>
      <c r="M210" s="1" t="s">
        <v>355</v>
      </c>
      <c r="N210" s="1" t="s">
        <v>355</v>
      </c>
      <c r="O210" s="1" t="s">
        <v>355</v>
      </c>
      <c r="P210" s="1" t="s">
        <v>355</v>
      </c>
      <c r="Q210" s="1" t="s">
        <v>355</v>
      </c>
    </row>
    <row r="211" spans="1:17" x14ac:dyDescent="0.25">
      <c r="A211" s="4" t="s">
        <v>356</v>
      </c>
      <c r="B211" t="s">
        <v>357</v>
      </c>
      <c r="C211" t="s">
        <v>357</v>
      </c>
      <c r="D211" s="1" t="s">
        <v>358</v>
      </c>
      <c r="E211" s="1" t="s">
        <v>358</v>
      </c>
      <c r="F211" s="1" t="s">
        <v>358</v>
      </c>
      <c r="G211" s="1" t="s">
        <v>358</v>
      </c>
      <c r="H211" s="1" t="s">
        <v>358</v>
      </c>
      <c r="I211" s="1" t="s">
        <v>358</v>
      </c>
      <c r="J211" s="1" t="s">
        <v>358</v>
      </c>
      <c r="K211" s="1" t="s">
        <v>358</v>
      </c>
      <c r="L211" s="1" t="s">
        <v>358</v>
      </c>
      <c r="M211" s="1" t="s">
        <v>358</v>
      </c>
      <c r="N211" s="1" t="s">
        <v>358</v>
      </c>
      <c r="O211" s="1" t="s">
        <v>358</v>
      </c>
      <c r="P211" s="1" t="s">
        <v>358</v>
      </c>
      <c r="Q211" s="1" t="s">
        <v>358</v>
      </c>
    </row>
    <row r="212" spans="1:17" x14ac:dyDescent="0.25">
      <c r="A212" s="4" t="s">
        <v>359</v>
      </c>
      <c r="B212" t="s">
        <v>360</v>
      </c>
      <c r="C212" t="s">
        <v>360</v>
      </c>
      <c r="D212" s="1" t="s">
        <v>42</v>
      </c>
      <c r="E212" s="1" t="s">
        <v>42</v>
      </c>
      <c r="F212" s="1" t="s">
        <v>42</v>
      </c>
      <c r="G212" s="1" t="s">
        <v>42</v>
      </c>
      <c r="H212" s="1" t="s">
        <v>42</v>
      </c>
      <c r="I212" s="1" t="s">
        <v>42</v>
      </c>
      <c r="J212" s="1" t="s">
        <v>42</v>
      </c>
      <c r="K212" s="1" t="s">
        <v>42</v>
      </c>
      <c r="L212" s="1" t="s">
        <v>42</v>
      </c>
      <c r="M212" s="1" t="s">
        <v>42</v>
      </c>
      <c r="N212" s="1" t="s">
        <v>42</v>
      </c>
      <c r="O212" s="1" t="s">
        <v>42</v>
      </c>
      <c r="P212" s="1" t="s">
        <v>42</v>
      </c>
      <c r="Q212" s="1" t="s">
        <v>42</v>
      </c>
    </row>
    <row r="213" spans="1:17" x14ac:dyDescent="0.25">
      <c r="A213" s="4" t="s">
        <v>361</v>
      </c>
      <c r="B213" t="s">
        <v>362</v>
      </c>
      <c r="C213" t="s">
        <v>362</v>
      </c>
      <c r="D213" s="1" t="s">
        <v>363</v>
      </c>
      <c r="E213" s="1" t="s">
        <v>363</v>
      </c>
      <c r="F213" s="1" t="s">
        <v>363</v>
      </c>
      <c r="G213" s="1" t="s">
        <v>363</v>
      </c>
      <c r="H213" s="1" t="s">
        <v>363</v>
      </c>
      <c r="I213" s="1" t="s">
        <v>363</v>
      </c>
      <c r="J213" s="1" t="s">
        <v>363</v>
      </c>
      <c r="K213" s="1" t="s">
        <v>363</v>
      </c>
      <c r="L213" s="1" t="s">
        <v>363</v>
      </c>
      <c r="M213" s="1" t="s">
        <v>363</v>
      </c>
      <c r="N213" s="1" t="s">
        <v>363</v>
      </c>
      <c r="O213" s="1" t="s">
        <v>363</v>
      </c>
      <c r="P213" s="1" t="s">
        <v>363</v>
      </c>
      <c r="Q213" s="1" t="s">
        <v>363</v>
      </c>
    </row>
    <row r="214" spans="1:17" x14ac:dyDescent="0.25">
      <c r="A214" s="4" t="s">
        <v>338</v>
      </c>
      <c r="B214" t="s">
        <v>339</v>
      </c>
      <c r="C214" t="s">
        <v>339</v>
      </c>
      <c r="D214" s="1" t="s">
        <v>364</v>
      </c>
      <c r="E214" s="1" t="s">
        <v>364</v>
      </c>
      <c r="F214" s="1" t="s">
        <v>364</v>
      </c>
      <c r="G214" s="1" t="s">
        <v>364</v>
      </c>
      <c r="H214" s="1" t="s">
        <v>364</v>
      </c>
      <c r="I214" s="1" t="s">
        <v>364</v>
      </c>
      <c r="J214" s="1" t="s">
        <v>364</v>
      </c>
      <c r="K214" s="1" t="s">
        <v>364</v>
      </c>
      <c r="L214" s="1" t="s">
        <v>364</v>
      </c>
      <c r="M214" s="1" t="s">
        <v>364</v>
      </c>
      <c r="N214" s="1" t="s">
        <v>364</v>
      </c>
      <c r="O214" s="1" t="s">
        <v>364</v>
      </c>
      <c r="P214" s="1" t="s">
        <v>364</v>
      </c>
      <c r="Q214" s="1" t="s">
        <v>364</v>
      </c>
    </row>
    <row r="215" spans="1:17" x14ac:dyDescent="0.25">
      <c r="A215" s="4" t="s">
        <v>356</v>
      </c>
      <c r="B215" t="s">
        <v>357</v>
      </c>
      <c r="C215" t="s">
        <v>357</v>
      </c>
      <c r="D215" s="1" t="s">
        <v>365</v>
      </c>
      <c r="E215" s="1" t="s">
        <v>365</v>
      </c>
      <c r="F215" s="1" t="s">
        <v>365</v>
      </c>
      <c r="G215" s="1" t="s">
        <v>365</v>
      </c>
      <c r="H215" s="1" t="s">
        <v>365</v>
      </c>
      <c r="I215" s="1" t="s">
        <v>365</v>
      </c>
      <c r="J215" s="1" t="s">
        <v>365</v>
      </c>
      <c r="K215" s="1" t="s">
        <v>365</v>
      </c>
      <c r="L215" s="1" t="s">
        <v>365</v>
      </c>
      <c r="M215" s="1" t="s">
        <v>365</v>
      </c>
      <c r="N215" s="1" t="s">
        <v>365</v>
      </c>
      <c r="O215" s="1" t="s">
        <v>365</v>
      </c>
      <c r="P215" s="1" t="s">
        <v>365</v>
      </c>
      <c r="Q215" s="1" t="s">
        <v>365</v>
      </c>
    </row>
    <row r="216" spans="1:17" x14ac:dyDescent="0.25">
      <c r="A216" s="4" t="s">
        <v>366</v>
      </c>
      <c r="B216" t="s">
        <v>367</v>
      </c>
      <c r="C216" t="s">
        <v>367</v>
      </c>
      <c r="D216" s="1" t="s">
        <v>368</v>
      </c>
      <c r="E216" s="1" t="s">
        <v>368</v>
      </c>
      <c r="F216" s="1" t="s">
        <v>368</v>
      </c>
      <c r="G216" s="1" t="s">
        <v>368</v>
      </c>
      <c r="H216" s="1" t="s">
        <v>368</v>
      </c>
      <c r="I216" s="1" t="s">
        <v>368</v>
      </c>
      <c r="J216" s="1" t="s">
        <v>368</v>
      </c>
      <c r="K216" s="1" t="s">
        <v>368</v>
      </c>
      <c r="L216" s="1" t="s">
        <v>368</v>
      </c>
      <c r="M216" s="1" t="s">
        <v>368</v>
      </c>
      <c r="N216" s="1" t="s">
        <v>368</v>
      </c>
      <c r="O216" s="1" t="s">
        <v>368</v>
      </c>
      <c r="P216" s="1" t="s">
        <v>368</v>
      </c>
      <c r="Q216" s="1" t="s">
        <v>368</v>
      </c>
    </row>
    <row r="217" spans="1:17" x14ac:dyDescent="0.25">
      <c r="A217" s="4" t="s">
        <v>369</v>
      </c>
      <c r="B217" t="s">
        <v>370</v>
      </c>
      <c r="C217" t="s">
        <v>370</v>
      </c>
      <c r="D217" s="1" t="s">
        <v>371</v>
      </c>
      <c r="E217" s="1" t="s">
        <v>371</v>
      </c>
      <c r="F217" s="1" t="s">
        <v>371</v>
      </c>
      <c r="G217" s="1" t="s">
        <v>371</v>
      </c>
      <c r="H217" s="1" t="s">
        <v>371</v>
      </c>
      <c r="I217" s="1" t="s">
        <v>371</v>
      </c>
      <c r="J217" s="1" t="s">
        <v>371</v>
      </c>
      <c r="K217" s="1" t="s">
        <v>371</v>
      </c>
      <c r="L217" s="1" t="s">
        <v>371</v>
      </c>
      <c r="M217" s="1" t="s">
        <v>371</v>
      </c>
      <c r="N217" s="1" t="s">
        <v>371</v>
      </c>
      <c r="O217" s="1" t="s">
        <v>371</v>
      </c>
      <c r="P217" s="1" t="s">
        <v>371</v>
      </c>
      <c r="Q217" s="1" t="s">
        <v>371</v>
      </c>
    </row>
    <row r="218" spans="1:17" x14ac:dyDescent="0.25">
      <c r="A218" s="4" t="s">
        <v>338</v>
      </c>
      <c r="B218" t="s">
        <v>339</v>
      </c>
      <c r="C218" t="s">
        <v>339</v>
      </c>
      <c r="D218" s="1" t="s">
        <v>372</v>
      </c>
      <c r="E218" s="1" t="s">
        <v>372</v>
      </c>
      <c r="F218" s="1" t="s">
        <v>372</v>
      </c>
      <c r="G218" s="1" t="s">
        <v>372</v>
      </c>
      <c r="H218" s="1" t="s">
        <v>372</v>
      </c>
      <c r="I218" s="1" t="s">
        <v>372</v>
      </c>
      <c r="J218" s="1" t="s">
        <v>372</v>
      </c>
      <c r="K218" s="1" t="s">
        <v>372</v>
      </c>
      <c r="L218" s="1" t="s">
        <v>372</v>
      </c>
      <c r="M218" s="1" t="s">
        <v>372</v>
      </c>
      <c r="N218" s="1" t="s">
        <v>372</v>
      </c>
      <c r="O218" s="1" t="s">
        <v>372</v>
      </c>
      <c r="P218" s="1" t="s">
        <v>372</v>
      </c>
      <c r="Q218" s="1" t="s">
        <v>372</v>
      </c>
    </row>
    <row r="219" spans="1:17" x14ac:dyDescent="0.25">
      <c r="A219" s="4" t="s">
        <v>114</v>
      </c>
      <c r="B219" t="s">
        <v>115</v>
      </c>
      <c r="C219" t="s">
        <v>115</v>
      </c>
      <c r="E219" s="1"/>
      <c r="F219" s="1"/>
      <c r="G219" s="1"/>
      <c r="H219" s="1"/>
      <c r="I219" s="1"/>
      <c r="J219" s="1"/>
      <c r="K219" s="1"/>
      <c r="L219" s="1"/>
      <c r="M219" s="1"/>
      <c r="N219" s="1"/>
      <c r="O219" s="1"/>
      <c r="P219" s="1"/>
      <c r="Q219" s="1"/>
    </row>
    <row r="220" spans="1:17" x14ac:dyDescent="0.25">
      <c r="A220" s="4" t="s">
        <v>87</v>
      </c>
      <c r="B220" t="s">
        <v>88</v>
      </c>
      <c r="C220" t="s">
        <v>88</v>
      </c>
      <c r="E220" s="1"/>
      <c r="F220" s="1"/>
      <c r="G220" s="1"/>
      <c r="H220" s="1"/>
      <c r="I220" s="1"/>
      <c r="J220" s="1"/>
      <c r="K220" s="1"/>
      <c r="L220" s="1"/>
      <c r="M220" s="1"/>
      <c r="N220" s="1"/>
      <c r="O220" s="1"/>
      <c r="P220" s="1"/>
      <c r="Q220" s="1"/>
    </row>
    <row r="221" spans="1:17" x14ac:dyDescent="0.25">
      <c r="A221" s="4" t="s">
        <v>118</v>
      </c>
      <c r="B221" t="s">
        <v>119</v>
      </c>
      <c r="C221" t="s">
        <v>119</v>
      </c>
      <c r="E221" s="1"/>
      <c r="F221" s="1"/>
      <c r="G221" s="1"/>
      <c r="H221" s="1"/>
      <c r="I221" s="1"/>
      <c r="J221" s="1"/>
      <c r="K221" s="1"/>
      <c r="L221" s="1"/>
      <c r="M221" s="1"/>
      <c r="N221" s="1"/>
      <c r="O221" s="1"/>
      <c r="P221" s="1"/>
      <c r="Q221" s="1"/>
    </row>
    <row r="222" spans="1:17" x14ac:dyDescent="0.25">
      <c r="A222" s="5"/>
      <c r="E222" s="1"/>
      <c r="F222" s="1"/>
      <c r="G222" s="1"/>
      <c r="H222" s="1"/>
      <c r="I222" s="1"/>
      <c r="J222" s="1"/>
      <c r="K222" s="1"/>
      <c r="L222" s="1"/>
      <c r="M222" s="1"/>
      <c r="N222" s="1"/>
      <c r="O222" s="1"/>
      <c r="P222" s="1"/>
      <c r="Q222" s="1"/>
    </row>
    <row r="223" spans="1:17" x14ac:dyDescent="0.25">
      <c r="A223" s="4" t="s">
        <v>373</v>
      </c>
      <c r="B223" t="s">
        <v>124</v>
      </c>
      <c r="C223" t="s">
        <v>124</v>
      </c>
      <c r="E223" s="1"/>
      <c r="F223" s="1"/>
      <c r="G223" s="1"/>
      <c r="H223" s="1"/>
      <c r="I223" s="1"/>
      <c r="J223" s="1"/>
      <c r="K223" s="1"/>
      <c r="L223" s="1"/>
      <c r="M223" s="1"/>
      <c r="N223" s="1"/>
      <c r="O223" s="1"/>
      <c r="P223" s="1"/>
      <c r="Q223" s="1"/>
    </row>
    <row r="224" spans="1:17" x14ac:dyDescent="0.25">
      <c r="A224" s="4" t="s">
        <v>325</v>
      </c>
      <c r="B224" t="s">
        <v>127</v>
      </c>
      <c r="C224" t="s">
        <v>127</v>
      </c>
      <c r="E224" s="1"/>
      <c r="F224" s="1"/>
      <c r="G224" s="1"/>
      <c r="H224" s="1"/>
      <c r="I224" s="1"/>
      <c r="J224" s="1"/>
      <c r="K224" s="1"/>
      <c r="L224" s="1"/>
      <c r="M224" s="1"/>
      <c r="N224" s="1"/>
      <c r="O224" s="1"/>
      <c r="P224" s="1"/>
      <c r="Q224" s="1"/>
    </row>
    <row r="225" spans="1:17" x14ac:dyDescent="0.25">
      <c r="A225" s="4" t="s">
        <v>374</v>
      </c>
      <c r="B225" t="s">
        <v>130</v>
      </c>
      <c r="C225" t="s">
        <v>130</v>
      </c>
      <c r="E225" s="1"/>
      <c r="F225" s="1"/>
      <c r="G225" s="1"/>
      <c r="H225" s="1"/>
      <c r="I225" s="1"/>
      <c r="J225" s="1"/>
      <c r="K225" s="1"/>
      <c r="L225" s="1"/>
      <c r="M225" s="1"/>
      <c r="N225" s="1"/>
      <c r="O225" s="1"/>
      <c r="P225" s="1"/>
      <c r="Q225" s="1"/>
    </row>
    <row r="226" spans="1:17" x14ac:dyDescent="0.25">
      <c r="A226" s="4" t="s">
        <v>375</v>
      </c>
      <c r="B226" t="s">
        <v>133</v>
      </c>
      <c r="C226" t="s">
        <v>133</v>
      </c>
      <c r="E226" s="1"/>
      <c r="F226" s="1"/>
      <c r="G226" s="1"/>
      <c r="H226" s="1"/>
      <c r="I226" s="1"/>
      <c r="J226" s="1"/>
      <c r="K226" s="1"/>
      <c r="L226" s="1"/>
      <c r="M226" s="1"/>
      <c r="N226" s="1"/>
      <c r="O226" s="1"/>
      <c r="P226" s="1"/>
      <c r="Q226" s="1"/>
    </row>
    <row r="227" spans="1:17" x14ac:dyDescent="0.25">
      <c r="A227" s="4" t="s">
        <v>376</v>
      </c>
      <c r="B227" t="s">
        <v>135</v>
      </c>
      <c r="C227" t="s">
        <v>135</v>
      </c>
      <c r="E227" s="1"/>
      <c r="F227" s="1"/>
      <c r="G227" s="1"/>
      <c r="H227" s="1"/>
      <c r="I227" s="1"/>
      <c r="J227" s="1"/>
      <c r="K227" s="1"/>
      <c r="L227" s="1"/>
      <c r="M227" s="1"/>
      <c r="N227" s="1"/>
      <c r="O227" s="1"/>
      <c r="P227" s="1"/>
      <c r="Q227" s="1"/>
    </row>
    <row r="228" spans="1:17" x14ac:dyDescent="0.25">
      <c r="A228" s="4" t="s">
        <v>114</v>
      </c>
      <c r="B228" t="s">
        <v>115</v>
      </c>
      <c r="C228" t="s">
        <v>115</v>
      </c>
      <c r="E228" s="1"/>
      <c r="F228" s="1"/>
      <c r="G228" s="1"/>
      <c r="H228" s="1"/>
      <c r="I228" s="1"/>
      <c r="J228" s="1"/>
      <c r="K228" s="1"/>
      <c r="L228" s="1"/>
      <c r="M228" s="1"/>
      <c r="N228" s="1"/>
      <c r="O228" s="1"/>
      <c r="P228" s="1"/>
      <c r="Q228" s="1"/>
    </row>
    <row r="229" spans="1:17" x14ac:dyDescent="0.25">
      <c r="A229" s="5"/>
      <c r="E229" s="1"/>
      <c r="F229" s="1"/>
      <c r="G229" s="1"/>
      <c r="H229" s="1"/>
      <c r="I229" s="1"/>
      <c r="J229" s="1"/>
      <c r="K229" s="1"/>
      <c r="L229" s="1"/>
      <c r="M229" s="1"/>
      <c r="N229" s="1"/>
      <c r="O229" s="1"/>
      <c r="P229" s="1"/>
      <c r="Q229" s="1"/>
    </row>
    <row r="230" spans="1:17" x14ac:dyDescent="0.25">
      <c r="A230" s="4" t="s">
        <v>377</v>
      </c>
      <c r="B230" t="s">
        <v>378</v>
      </c>
      <c r="C230" t="s">
        <v>378</v>
      </c>
      <c r="E230" s="1"/>
      <c r="F230" s="1"/>
      <c r="G230" s="1"/>
      <c r="H230" s="1"/>
      <c r="I230" s="1"/>
      <c r="J230" s="1"/>
      <c r="K230" s="1"/>
      <c r="L230" s="1"/>
      <c r="M230" s="1"/>
      <c r="N230" s="1"/>
      <c r="O230" s="1"/>
      <c r="P230" s="1"/>
      <c r="Q230" s="1"/>
    </row>
    <row r="231" spans="1:17" x14ac:dyDescent="0.25">
      <c r="A231" s="4" t="s">
        <v>140</v>
      </c>
      <c r="B231" t="s">
        <v>140</v>
      </c>
      <c r="C231" t="s">
        <v>140</v>
      </c>
      <c r="E231" s="1"/>
      <c r="F231" s="1"/>
      <c r="G231" s="1"/>
      <c r="H231" s="1"/>
      <c r="I231" s="1"/>
      <c r="J231" s="1"/>
      <c r="K231" s="1"/>
      <c r="L231" s="1"/>
      <c r="M231" s="1"/>
      <c r="N231" s="1"/>
      <c r="O231" s="1"/>
      <c r="P231" s="1"/>
      <c r="Q231" s="1"/>
    </row>
    <row r="232" spans="1:17" x14ac:dyDescent="0.25">
      <c r="A232" s="4" t="s">
        <v>379</v>
      </c>
      <c r="B232" t="s">
        <v>143</v>
      </c>
      <c r="C232" t="s">
        <v>143</v>
      </c>
      <c r="E232" s="1"/>
      <c r="F232" s="1"/>
      <c r="G232" s="1"/>
      <c r="H232" s="1"/>
      <c r="I232" s="1"/>
      <c r="J232" s="1"/>
      <c r="K232" s="1"/>
      <c r="L232" s="1"/>
      <c r="M232" s="1"/>
      <c r="N232" s="1"/>
      <c r="O232" s="1"/>
      <c r="P232" s="1"/>
      <c r="Q232" s="1"/>
    </row>
    <row r="233" spans="1:17" x14ac:dyDescent="0.25">
      <c r="A233" s="4" t="s">
        <v>380</v>
      </c>
      <c r="B233" t="s">
        <v>146</v>
      </c>
      <c r="C233" t="s">
        <v>146</v>
      </c>
      <c r="E233" s="1"/>
      <c r="F233" s="1"/>
      <c r="G233" s="1"/>
      <c r="H233" s="1"/>
      <c r="I233" s="1"/>
      <c r="J233" s="1"/>
      <c r="K233" s="1"/>
      <c r="L233" s="1"/>
      <c r="M233" s="1"/>
      <c r="N233" s="1"/>
      <c r="O233" s="1"/>
      <c r="P233" s="1"/>
      <c r="Q233" s="1"/>
    </row>
    <row r="234" spans="1:17" x14ac:dyDescent="0.25">
      <c r="A234" s="4" t="s">
        <v>87</v>
      </c>
      <c r="B234" t="s">
        <v>88</v>
      </c>
      <c r="C234" t="s">
        <v>88</v>
      </c>
      <c r="E234" s="1"/>
      <c r="F234" s="1"/>
      <c r="G234" s="1"/>
      <c r="H234" s="1"/>
      <c r="I234" s="1"/>
      <c r="J234" s="1"/>
      <c r="K234" s="1"/>
      <c r="L234" s="1"/>
      <c r="M234" s="1"/>
      <c r="N234" s="1"/>
      <c r="O234" s="1"/>
      <c r="P234" s="1"/>
      <c r="Q234" s="1"/>
    </row>
    <row r="235" spans="1:17" x14ac:dyDescent="0.25">
      <c r="A235" s="4" t="s">
        <v>118</v>
      </c>
      <c r="B235" t="s">
        <v>119</v>
      </c>
      <c r="C235" t="s">
        <v>119</v>
      </c>
      <c r="E235" s="1"/>
      <c r="F235" s="1"/>
      <c r="G235" s="1"/>
      <c r="H235" s="1"/>
      <c r="I235" s="1"/>
      <c r="J235" s="1"/>
      <c r="K235" s="1"/>
      <c r="L235" s="1"/>
      <c r="M235" s="1"/>
      <c r="N235" s="1"/>
      <c r="O235" s="1"/>
      <c r="P235" s="1"/>
      <c r="Q235" s="1"/>
    </row>
    <row r="236" spans="1:17" x14ac:dyDescent="0.25">
      <c r="A236" s="4" t="s">
        <v>381</v>
      </c>
      <c r="B236" t="s">
        <v>348</v>
      </c>
      <c r="C236" t="s">
        <v>348</v>
      </c>
      <c r="E236" s="1"/>
      <c r="F236" s="1"/>
      <c r="G236" s="1"/>
      <c r="H236" s="1"/>
      <c r="I236" s="1"/>
      <c r="J236" s="1"/>
      <c r="K236" s="1"/>
      <c r="L236" s="1"/>
      <c r="M236" s="1"/>
      <c r="N236" s="1"/>
      <c r="O236" s="1"/>
      <c r="P236" s="1"/>
      <c r="Q236" s="1"/>
    </row>
    <row r="237" spans="1:17" x14ac:dyDescent="0.25">
      <c r="A237" s="5"/>
      <c r="E237" s="1"/>
      <c r="F237" s="1"/>
      <c r="G237" s="1"/>
      <c r="H237" s="1"/>
      <c r="I237" s="1"/>
      <c r="J237" s="1"/>
      <c r="K237" s="1"/>
      <c r="L237" s="1"/>
      <c r="M237" s="1"/>
      <c r="N237" s="1"/>
      <c r="O237" s="1"/>
      <c r="P237" s="1"/>
      <c r="Q237" s="1"/>
    </row>
    <row r="238" spans="1:17" x14ac:dyDescent="0.25">
      <c r="A238" s="4" t="s">
        <v>382</v>
      </c>
      <c r="B238" t="s">
        <v>351</v>
      </c>
      <c r="C238" t="s">
        <v>351</v>
      </c>
      <c r="E238" s="1"/>
      <c r="F238" s="1"/>
      <c r="G238" s="1"/>
      <c r="H238" s="1"/>
      <c r="I238" s="1"/>
      <c r="J238" s="1"/>
      <c r="K238" s="1"/>
      <c r="L238" s="1"/>
      <c r="M238" s="1"/>
      <c r="N238" s="1"/>
      <c r="O238" s="1"/>
      <c r="P238" s="1"/>
      <c r="Q238" s="1"/>
    </row>
    <row r="239" spans="1:17" x14ac:dyDescent="0.25">
      <c r="A239" s="4" t="s">
        <v>383</v>
      </c>
      <c r="B239" t="s">
        <v>354</v>
      </c>
      <c r="C239" t="s">
        <v>354</v>
      </c>
      <c r="E239" s="1"/>
      <c r="F239" s="1"/>
      <c r="G239" s="1"/>
      <c r="H239" s="1"/>
      <c r="I239" s="1"/>
      <c r="J239" s="1"/>
      <c r="K239" s="1"/>
      <c r="L239" s="1"/>
      <c r="M239" s="1"/>
      <c r="N239" s="1"/>
      <c r="O239" s="1"/>
      <c r="P239" s="1"/>
      <c r="Q239" s="1"/>
    </row>
    <row r="240" spans="1:17" x14ac:dyDescent="0.25">
      <c r="A240" s="4" t="s">
        <v>384</v>
      </c>
      <c r="B240" t="s">
        <v>355</v>
      </c>
      <c r="C240" t="s">
        <v>355</v>
      </c>
      <c r="E240" s="1"/>
      <c r="F240" s="1"/>
      <c r="G240" s="1"/>
      <c r="H240" s="1"/>
      <c r="I240" s="1"/>
      <c r="J240" s="1"/>
      <c r="K240" s="1"/>
      <c r="L240" s="1"/>
      <c r="M240" s="1"/>
      <c r="N240" s="1"/>
      <c r="O240" s="1"/>
      <c r="P240" s="1"/>
      <c r="Q240" s="1"/>
    </row>
    <row r="241" spans="1:17" x14ac:dyDescent="0.25">
      <c r="A241" s="4" t="s">
        <v>385</v>
      </c>
      <c r="B241" t="s">
        <v>358</v>
      </c>
      <c r="C241" t="s">
        <v>358</v>
      </c>
      <c r="E241" s="1"/>
      <c r="F241" s="1"/>
      <c r="G241" s="1"/>
      <c r="H241" s="1"/>
      <c r="I241" s="1"/>
      <c r="J241" s="1"/>
      <c r="K241" s="1"/>
      <c r="L241" s="1"/>
      <c r="M241" s="1"/>
      <c r="N241" s="1"/>
      <c r="O241" s="1"/>
      <c r="P241" s="1"/>
      <c r="Q241" s="1"/>
    </row>
    <row r="242" spans="1:17" x14ac:dyDescent="0.25">
      <c r="A242" s="4" t="s">
        <v>41</v>
      </c>
      <c r="B242" t="s">
        <v>42</v>
      </c>
      <c r="C242" t="s">
        <v>42</v>
      </c>
      <c r="E242" s="1"/>
      <c r="F242" s="1"/>
      <c r="G242" s="1"/>
      <c r="H242" s="1"/>
      <c r="I242" s="1"/>
      <c r="J242" s="1"/>
      <c r="K242" s="1"/>
      <c r="L242" s="1"/>
      <c r="M242" s="1"/>
      <c r="N242" s="1"/>
      <c r="O242" s="1"/>
      <c r="P242" s="1"/>
      <c r="Q242" s="1"/>
    </row>
    <row r="243" spans="1:17" x14ac:dyDescent="0.25">
      <c r="A243" s="4" t="s">
        <v>386</v>
      </c>
      <c r="B243" t="s">
        <v>363</v>
      </c>
      <c r="C243" t="s">
        <v>363</v>
      </c>
      <c r="E243" s="1"/>
      <c r="F243" s="1"/>
      <c r="G243" s="1"/>
      <c r="H243" s="1"/>
      <c r="I243" s="1"/>
      <c r="J243" s="1"/>
      <c r="K243" s="1"/>
      <c r="L243" s="1"/>
      <c r="M243" s="1"/>
      <c r="N243" s="1"/>
      <c r="O243" s="1"/>
      <c r="P243" s="1"/>
      <c r="Q243" s="1"/>
    </row>
    <row r="244" spans="1:17" x14ac:dyDescent="0.25">
      <c r="A244" s="4" t="s">
        <v>387</v>
      </c>
      <c r="B244" t="s">
        <v>364</v>
      </c>
      <c r="C244" t="s">
        <v>364</v>
      </c>
      <c r="E244" s="1"/>
      <c r="F244" s="1"/>
      <c r="G244" s="1"/>
      <c r="H244" s="1"/>
      <c r="I244" s="1"/>
      <c r="J244" s="1"/>
      <c r="K244" s="1"/>
      <c r="L244" s="1"/>
      <c r="M244" s="1"/>
      <c r="N244" s="1"/>
      <c r="O244" s="1"/>
      <c r="P244" s="1"/>
      <c r="Q244" s="1"/>
    </row>
    <row r="245" spans="1:17" x14ac:dyDescent="0.25">
      <c r="A245" s="4" t="s">
        <v>388</v>
      </c>
      <c r="B245" t="s">
        <v>365</v>
      </c>
      <c r="C245" t="s">
        <v>365</v>
      </c>
      <c r="E245" s="1"/>
      <c r="F245" s="1"/>
      <c r="G245" s="1"/>
      <c r="H245" s="1"/>
      <c r="I245" s="1"/>
      <c r="J245" s="1"/>
      <c r="K245" s="1"/>
      <c r="L245" s="1"/>
      <c r="M245" s="1"/>
      <c r="N245" s="1"/>
      <c r="O245" s="1"/>
      <c r="P245" s="1"/>
      <c r="Q245" s="1"/>
    </row>
    <row r="246" spans="1:17" x14ac:dyDescent="0.25">
      <c r="A246" s="4" t="s">
        <v>389</v>
      </c>
      <c r="B246" t="s">
        <v>368</v>
      </c>
      <c r="C246" t="s">
        <v>368</v>
      </c>
      <c r="E246" s="1"/>
      <c r="F246" s="1"/>
      <c r="G246" s="1"/>
      <c r="H246" s="1"/>
      <c r="I246" s="1"/>
      <c r="J246" s="1"/>
      <c r="K246" s="1"/>
      <c r="L246" s="1"/>
      <c r="M246" s="1"/>
      <c r="N246" s="1"/>
      <c r="O246" s="1"/>
      <c r="P246" s="1"/>
      <c r="Q246" s="1"/>
    </row>
    <row r="247" spans="1:17" x14ac:dyDescent="0.25">
      <c r="A247" s="9" t="s">
        <v>390</v>
      </c>
      <c r="B247" t="s">
        <v>371</v>
      </c>
      <c r="C247" t="s">
        <v>371</v>
      </c>
      <c r="E247" s="1"/>
      <c r="F247" s="1"/>
      <c r="G247" s="1"/>
      <c r="H247" s="1"/>
      <c r="I247" s="1"/>
      <c r="J247" s="1"/>
      <c r="K247" s="1"/>
      <c r="L247" s="1"/>
      <c r="M247" s="1"/>
      <c r="N247" s="1"/>
      <c r="O247" s="1"/>
      <c r="P247" s="1"/>
      <c r="Q247" s="1"/>
    </row>
    <row r="248" spans="1:17" x14ac:dyDescent="0.25">
      <c r="A248" s="3" t="s">
        <v>391</v>
      </c>
      <c r="B248" t="s">
        <v>372</v>
      </c>
      <c r="C248" t="s">
        <v>372</v>
      </c>
      <c r="E248" s="1"/>
      <c r="F248" s="1"/>
      <c r="G248" s="1"/>
      <c r="H248" s="1"/>
      <c r="I248" s="1"/>
      <c r="J248" s="1"/>
      <c r="K248" s="1"/>
      <c r="L248" s="1"/>
      <c r="M248" s="1"/>
      <c r="N248" s="1"/>
      <c r="O248" s="1"/>
      <c r="P248" s="1"/>
      <c r="Q248" s="1"/>
    </row>
  </sheetData>
  <pageMargins left="0.7" right="0.7" top="0.78749999999999998" bottom="0.78749999999999998"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6</vt:i4>
      </vt:variant>
    </vt:vector>
  </HeadingPairs>
  <TitlesOfParts>
    <vt:vector size="6" baseType="lpstr">
      <vt:lpstr>Exerzitien_archive_de</vt:lpstr>
      <vt:lpstr>header_block_de</vt:lpstr>
      <vt:lpstr>form_block_de</vt:lpstr>
      <vt:lpstr>exerzitien-katalog</vt:lpstr>
      <vt:lpstr>Tabelle2</vt:lpstr>
      <vt:lpstr>Exerzitien_archive_en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Joshua Roe</dc:creator>
  <dc:description/>
  <cp:lastModifiedBy>Joshua Roe</cp:lastModifiedBy>
  <cp:revision>1</cp:revision>
  <dcterms:created xsi:type="dcterms:W3CDTF">2026-08-13T08:06:23Z</dcterms:created>
  <dcterms:modified xsi:type="dcterms:W3CDTF">2026-09-07T14:56:55Z</dcterms:modified>
  <dc:language>en-GB</dc:language>
</cp:coreProperties>
</file>